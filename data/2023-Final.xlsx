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 defaultThemeVersion="124226"/>
  <xr:revisionPtr revIDLastSave="0" documentId="8_{F29563B5-8BEE-4D3C-9293-1A058E3E30AD}" xr6:coauthVersionLast="47" xr6:coauthVersionMax="47" xr10:uidLastSave="{00000000-0000-0000-0000-000000000000}"/>
  <bookViews>
    <workbookView xWindow="-120" yWindow="-120" windowWidth="20730" windowHeight="11040" firstSheet="22" activeTab="26" xr2:uid="{00000000-000D-0000-FFFF-FFFF00000000}"/>
  </bookViews>
  <sheets>
    <sheet name="SUMMARY" sheetId="23" r:id="rId1"/>
    <sheet name="Province of Bohol" sheetId="17" r:id="rId2"/>
    <sheet name="December 2023 (group)  " sheetId="115" r:id="rId3"/>
    <sheet name="December 2023" sheetId="112" r:id="rId4"/>
    <sheet name="November 2023 (group) " sheetId="110" r:id="rId5"/>
    <sheet name="November 2023" sheetId="111" r:id="rId6"/>
    <sheet name="October 2023 (group)" sheetId="109" r:id="rId7"/>
    <sheet name="October 2023" sheetId="108" r:id="rId8"/>
    <sheet name="September 2023 (Group)  " sheetId="107" r:id="rId9"/>
    <sheet name="September 2023" sheetId="106" r:id="rId10"/>
    <sheet name="August 2023 (Group) " sheetId="105" r:id="rId11"/>
    <sheet name="August 2023" sheetId="104" r:id="rId12"/>
    <sheet name="July 2023 (Group)" sheetId="103" r:id="rId13"/>
    <sheet name="July 2023" sheetId="102" r:id="rId14"/>
    <sheet name="June 2023 (Group)   " sheetId="101" r:id="rId15"/>
    <sheet name="June 2023" sheetId="100" r:id="rId16"/>
    <sheet name="May 2023 (Group)  " sheetId="98" r:id="rId17"/>
    <sheet name="May 2023" sheetId="99" r:id="rId18"/>
    <sheet name="April 2023 (Group) " sheetId="96" r:id="rId19"/>
    <sheet name="April 2023" sheetId="95" r:id="rId20"/>
    <sheet name="March 2023 (Group)" sheetId="92" r:id="rId21"/>
    <sheet name="March 2023" sheetId="91" r:id="rId22"/>
    <sheet name="February 2023 (Group)" sheetId="90" r:id="rId23"/>
    <sheet name="February 2023" sheetId="89" r:id="rId24"/>
    <sheet name="January 2023 (Group)" sheetId="88" r:id="rId25"/>
    <sheet name="January 2023" sheetId="87" r:id="rId26"/>
    <sheet name="Sheet2" sheetId="94" r:id="rId27"/>
    <sheet name="PRODUCTION SUMMARY 2019-APR (2" sheetId="76" r:id="rId28"/>
    <sheet name="Region 7 Tilapia Production" sheetId="25" r:id="rId29"/>
  </sheets>
  <definedNames>
    <definedName name="_xlnm.Print_Area" localSheetId="19">'April 2023'!$A$1:$U$233</definedName>
    <definedName name="_xlnm.Print_Area" localSheetId="18">'April 2023 (Group) '!$A$1:$M$33</definedName>
    <definedName name="_xlnm.Print_Area" localSheetId="11">'August 2023'!$A$1:$U$236</definedName>
    <definedName name="_xlnm.Print_Area" localSheetId="10">'August 2023 (Group) '!$A$1:$M$34</definedName>
    <definedName name="_xlnm.Print_Area" localSheetId="3">'December 2023'!$A$1:$U$185</definedName>
    <definedName name="_xlnm.Print_Area" localSheetId="2">'December 2023 (group)  '!$A$1:$M$38</definedName>
    <definedName name="_xlnm.Print_Area" localSheetId="23">'February 2023'!$A$1:$U$146</definedName>
    <definedName name="_xlnm.Print_Area" localSheetId="22">'February 2023 (Group)'!$A$1:$M$33</definedName>
    <definedName name="_xlnm.Print_Area" localSheetId="25">'January 2023'!$A$1:$U$131</definedName>
    <definedName name="_xlnm.Print_Area" localSheetId="24">'January 2023 (Group)'!$A$1:$M$32</definedName>
    <definedName name="_xlnm.Print_Area" localSheetId="13">'July 2023'!$A$1:$U$210</definedName>
    <definedName name="_xlnm.Print_Area" localSheetId="12">'July 2023 (Group)'!$A$1:$M$34</definedName>
    <definedName name="_xlnm.Print_Area" localSheetId="15">'June 2023'!$A$1:$U$154</definedName>
    <definedName name="_xlnm.Print_Area" localSheetId="14">'June 2023 (Group)   '!$A$1:$M$34</definedName>
    <definedName name="_xlnm.Print_Area" localSheetId="21">'March 2023'!$A$1:$U$233</definedName>
    <definedName name="_xlnm.Print_Area" localSheetId="20">'March 2023 (Group)'!$A$1:$M$33</definedName>
    <definedName name="_xlnm.Print_Area" localSheetId="17">'May 2023'!$A$1:$U$91</definedName>
    <definedName name="_xlnm.Print_Area" localSheetId="16">'May 2023 (Group)  '!$A$1:$M$33</definedName>
    <definedName name="_xlnm.Print_Area" localSheetId="5">'November 2023'!$A$1:$U$219</definedName>
    <definedName name="_xlnm.Print_Area" localSheetId="4">'November 2023 (group) '!$A$1:$M$40</definedName>
    <definedName name="_xlnm.Print_Area" localSheetId="7">'October 2023'!$A$1:$U$215</definedName>
    <definedName name="_xlnm.Print_Area" localSheetId="6">'October 2023 (group)'!$A$1:$M$40</definedName>
    <definedName name="_xlnm.Print_Area" localSheetId="27">'PRODUCTION SUMMARY 2019-APR (2'!$A$1:$W$9</definedName>
    <definedName name="_xlnm.Print_Area" localSheetId="9">'September 2023'!$A$1:$U$208</definedName>
    <definedName name="_xlnm.Print_Area" localSheetId="8">'September 2023 (Group)  '!$A$1:$M$39</definedName>
    <definedName name="_xlnm.Print_Area" localSheetId="0">SUMMARY!$A$1:$U$93</definedName>
  </definedNames>
  <calcPr calcId="191029"/>
</workbook>
</file>

<file path=xl/calcChain.xml><?xml version="1.0" encoding="utf-8"?>
<calcChain xmlns="http://schemas.openxmlformats.org/spreadsheetml/2006/main">
  <c r="D71" i="23" l="1"/>
  <c r="D69" i="23"/>
  <c r="P21" i="112"/>
  <c r="P5" i="112" l="1"/>
  <c r="P5" i="111"/>
  <c r="P3" i="108"/>
  <c r="P4" i="106"/>
  <c r="P3" i="104"/>
  <c r="P8" i="102"/>
  <c r="P5" i="100"/>
  <c r="P9" i="99"/>
  <c r="P4" i="95"/>
  <c r="O5" i="91"/>
  <c r="P5" i="89"/>
  <c r="P11" i="87"/>
  <c r="P18" i="112" l="1"/>
  <c r="P15" i="112"/>
  <c r="P16" i="112" l="1"/>
  <c r="P12" i="112" l="1"/>
  <c r="S66" i="23" l="1"/>
  <c r="S67" i="23"/>
  <c r="S68" i="23"/>
  <c r="P66" i="23"/>
  <c r="P67" i="23"/>
  <c r="P68" i="23"/>
  <c r="M66" i="23"/>
  <c r="M67" i="23"/>
  <c r="M68" i="23"/>
  <c r="G66" i="23"/>
  <c r="G67" i="23"/>
  <c r="G68" i="23"/>
  <c r="D66" i="23"/>
  <c r="D67" i="23"/>
  <c r="D68" i="23"/>
  <c r="P13" i="112"/>
  <c r="M153" i="112" l="1"/>
  <c r="M152" i="112"/>
  <c r="M151" i="112"/>
  <c r="M150" i="112"/>
  <c r="M149" i="112"/>
  <c r="M148" i="112"/>
  <c r="M147" i="112"/>
  <c r="M146" i="112"/>
  <c r="M145" i="112"/>
  <c r="M144" i="112"/>
  <c r="M143" i="112"/>
  <c r="M142" i="112"/>
  <c r="M141" i="112"/>
  <c r="M140" i="112"/>
  <c r="M139" i="112"/>
  <c r="M138" i="112"/>
  <c r="M137" i="112"/>
  <c r="M136" i="112"/>
  <c r="M135" i="112"/>
  <c r="M134" i="112"/>
  <c r="M133" i="112"/>
  <c r="M132" i="112"/>
  <c r="M131" i="112"/>
  <c r="M130" i="112"/>
  <c r="M129" i="112"/>
  <c r="M128" i="112"/>
  <c r="M127" i="112"/>
  <c r="M126" i="112"/>
  <c r="M125" i="112"/>
  <c r="M124" i="112"/>
  <c r="M123" i="112"/>
  <c r="M122" i="112"/>
  <c r="M121" i="112"/>
  <c r="M120" i="112"/>
  <c r="M119" i="112"/>
  <c r="M118" i="112"/>
  <c r="M117" i="112"/>
  <c r="M116" i="112"/>
  <c r="M115" i="112"/>
  <c r="M114" i="112"/>
  <c r="M113" i="112"/>
  <c r="M112" i="112"/>
  <c r="M111" i="112"/>
  <c r="M110" i="112"/>
  <c r="M109" i="112"/>
  <c r="M108" i="112"/>
  <c r="M107" i="112"/>
  <c r="M106" i="112"/>
  <c r="M105" i="112"/>
  <c r="M104" i="112"/>
  <c r="M103" i="112"/>
  <c r="M102" i="112"/>
  <c r="M101" i="112"/>
  <c r="M100" i="112"/>
  <c r="M99" i="112"/>
  <c r="M98" i="112"/>
  <c r="M97" i="112"/>
  <c r="M96" i="112"/>
  <c r="M95" i="112"/>
  <c r="M94" i="112"/>
  <c r="M93" i="112"/>
  <c r="M92" i="112"/>
  <c r="M91" i="112"/>
  <c r="M90" i="112"/>
  <c r="M89" i="112"/>
  <c r="M88" i="112"/>
  <c r="M87" i="112"/>
  <c r="M86" i="112"/>
  <c r="M85" i="112"/>
  <c r="M84" i="112"/>
  <c r="M83" i="112"/>
  <c r="M82" i="112"/>
  <c r="M81" i="112"/>
  <c r="M80" i="112"/>
  <c r="M79" i="112"/>
  <c r="M78" i="112"/>
  <c r="M77" i="112"/>
  <c r="M76" i="112"/>
  <c r="M75" i="112"/>
  <c r="M74" i="112"/>
  <c r="M73" i="112"/>
  <c r="M72" i="112"/>
  <c r="M71" i="112"/>
  <c r="M70" i="112"/>
  <c r="M69" i="112"/>
  <c r="M68" i="112"/>
  <c r="M67" i="112"/>
  <c r="M66" i="112"/>
  <c r="M65" i="112"/>
  <c r="M64" i="112"/>
  <c r="M63" i="112"/>
  <c r="M62" i="112"/>
  <c r="M61" i="112"/>
  <c r="M60" i="112"/>
  <c r="M59" i="112"/>
  <c r="M58" i="112"/>
  <c r="M57" i="112"/>
  <c r="M56" i="112"/>
  <c r="M55" i="112"/>
  <c r="M54" i="112"/>
  <c r="M53" i="112"/>
  <c r="M52" i="112"/>
  <c r="M51" i="112"/>
  <c r="M50" i="112"/>
  <c r="M49" i="112"/>
  <c r="M48" i="112"/>
  <c r="M47" i="112"/>
  <c r="M46" i="112"/>
  <c r="M45" i="112"/>
  <c r="M44" i="112"/>
  <c r="M43" i="112"/>
  <c r="M42" i="112"/>
  <c r="M41" i="112"/>
  <c r="M40" i="112"/>
  <c r="M39" i="112"/>
  <c r="M38" i="112"/>
  <c r="M37" i="112"/>
  <c r="M36" i="112"/>
  <c r="M35" i="112"/>
  <c r="M34" i="112"/>
  <c r="M33" i="112"/>
  <c r="M32" i="112"/>
  <c r="M31" i="112"/>
  <c r="M30" i="112"/>
  <c r="M29" i="112"/>
  <c r="M28" i="112"/>
  <c r="M27" i="112"/>
  <c r="M26" i="112"/>
  <c r="M25" i="112"/>
  <c r="M24" i="112"/>
  <c r="M23" i="112"/>
  <c r="M22" i="112"/>
  <c r="M21" i="112"/>
  <c r="M20" i="112"/>
  <c r="M19" i="112"/>
  <c r="M18" i="112"/>
  <c r="M17" i="112"/>
  <c r="M16" i="112"/>
  <c r="M15" i="112"/>
  <c r="M14" i="112"/>
  <c r="M13" i="112"/>
  <c r="M12" i="112"/>
  <c r="M155" i="112" l="1"/>
  <c r="B76" i="23"/>
  <c r="E77" i="23"/>
  <c r="M189" i="111" l="1"/>
  <c r="O5" i="111" l="1"/>
  <c r="P28" i="111"/>
  <c r="P27" i="111"/>
  <c r="M187" i="111"/>
  <c r="M186" i="111"/>
  <c r="M185" i="111"/>
  <c r="M184" i="111"/>
  <c r="M183" i="111"/>
  <c r="M182" i="111"/>
  <c r="M179" i="111"/>
  <c r="M178" i="111"/>
  <c r="M177" i="111"/>
  <c r="P166" i="111" l="1"/>
  <c r="P24" i="111"/>
  <c r="S64" i="23" l="1"/>
  <c r="S65" i="23"/>
  <c r="P64" i="23"/>
  <c r="P65" i="23"/>
  <c r="M64" i="23"/>
  <c r="M65" i="23"/>
  <c r="G64" i="23"/>
  <c r="G65" i="23"/>
  <c r="D64" i="23"/>
  <c r="D65" i="23"/>
  <c r="P22" i="111"/>
  <c r="P20" i="111" l="1"/>
  <c r="P19" i="111"/>
  <c r="P17" i="111" l="1"/>
  <c r="P16" i="111"/>
  <c r="S61" i="23" l="1"/>
  <c r="S62" i="23"/>
  <c r="S63" i="23"/>
  <c r="P61" i="23"/>
  <c r="P62" i="23"/>
  <c r="P63" i="23"/>
  <c r="M61" i="23"/>
  <c r="M62" i="23"/>
  <c r="M63" i="23"/>
  <c r="G61" i="23"/>
  <c r="G62" i="23"/>
  <c r="G63" i="23"/>
  <c r="D61" i="23"/>
  <c r="D62" i="23"/>
  <c r="D63" i="23"/>
  <c r="P13" i="111" l="1"/>
  <c r="P12" i="111"/>
  <c r="M181" i="111"/>
  <c r="M180" i="111"/>
  <c r="M176" i="111"/>
  <c r="M175" i="111"/>
  <c r="M174" i="111"/>
  <c r="M173" i="111"/>
  <c r="M172" i="111"/>
  <c r="M171" i="111"/>
  <c r="M170" i="111"/>
  <c r="M169" i="111"/>
  <c r="M168" i="111"/>
  <c r="M167" i="111"/>
  <c r="M166" i="111"/>
  <c r="M165" i="111"/>
  <c r="M164" i="111"/>
  <c r="M163" i="111"/>
  <c r="M162" i="111"/>
  <c r="M161" i="111"/>
  <c r="M160" i="111"/>
  <c r="M159" i="111"/>
  <c r="M158" i="111"/>
  <c r="M157" i="111"/>
  <c r="M156" i="111"/>
  <c r="M155" i="111"/>
  <c r="M154" i="111"/>
  <c r="M153" i="111"/>
  <c r="M152" i="111"/>
  <c r="M151" i="111"/>
  <c r="M150" i="111"/>
  <c r="M149" i="111"/>
  <c r="M148" i="111"/>
  <c r="M147" i="111"/>
  <c r="M146" i="111"/>
  <c r="M145" i="111"/>
  <c r="M144" i="111"/>
  <c r="M143" i="111"/>
  <c r="M142" i="111"/>
  <c r="M141" i="111"/>
  <c r="M140" i="111"/>
  <c r="M139" i="111"/>
  <c r="M138" i="111"/>
  <c r="M137" i="111"/>
  <c r="M136" i="111"/>
  <c r="M135" i="111"/>
  <c r="M134" i="111"/>
  <c r="M133" i="111"/>
  <c r="M132" i="111"/>
  <c r="M131" i="111"/>
  <c r="M130" i="111"/>
  <c r="M129" i="111"/>
  <c r="M128" i="111"/>
  <c r="M127" i="111"/>
  <c r="M126" i="111"/>
  <c r="M125" i="111"/>
  <c r="M124" i="111"/>
  <c r="M123" i="111"/>
  <c r="M122" i="111"/>
  <c r="M121" i="111"/>
  <c r="M120" i="111"/>
  <c r="M119" i="111"/>
  <c r="M118" i="111"/>
  <c r="M117" i="111"/>
  <c r="M116" i="111"/>
  <c r="M115" i="111"/>
  <c r="M114" i="111"/>
  <c r="M113" i="111"/>
  <c r="M112" i="111"/>
  <c r="M111" i="111"/>
  <c r="M110" i="111"/>
  <c r="M109" i="111"/>
  <c r="M108" i="111"/>
  <c r="M107" i="111"/>
  <c r="M106" i="111"/>
  <c r="M105" i="111"/>
  <c r="M104" i="111"/>
  <c r="M103" i="111"/>
  <c r="M102" i="111"/>
  <c r="M101" i="111"/>
  <c r="M100" i="111"/>
  <c r="M99" i="111"/>
  <c r="M98" i="111"/>
  <c r="M97" i="111"/>
  <c r="M96" i="111"/>
  <c r="M95" i="111"/>
  <c r="M94" i="111"/>
  <c r="M93" i="111"/>
  <c r="M92" i="111"/>
  <c r="M91" i="111"/>
  <c r="M90" i="111"/>
  <c r="M89" i="111"/>
  <c r="M88" i="111"/>
  <c r="M87" i="111"/>
  <c r="M86" i="111"/>
  <c r="M85" i="111"/>
  <c r="M84" i="111"/>
  <c r="M83" i="111"/>
  <c r="M82" i="111"/>
  <c r="M81" i="111"/>
  <c r="M80" i="111"/>
  <c r="M79" i="111"/>
  <c r="M78" i="111"/>
  <c r="M77" i="111"/>
  <c r="M76" i="111"/>
  <c r="M75" i="111"/>
  <c r="M74" i="111"/>
  <c r="M73" i="111"/>
  <c r="M72" i="111"/>
  <c r="M71" i="111"/>
  <c r="M70" i="111"/>
  <c r="M69" i="111"/>
  <c r="M68" i="111"/>
  <c r="M67" i="111"/>
  <c r="M66" i="111"/>
  <c r="M65" i="111"/>
  <c r="M64" i="111"/>
  <c r="M63" i="111"/>
  <c r="M62" i="111"/>
  <c r="M61" i="111"/>
  <c r="M60" i="111"/>
  <c r="M59" i="111"/>
  <c r="M58" i="111"/>
  <c r="M57" i="111"/>
  <c r="M56" i="111"/>
  <c r="M55" i="111"/>
  <c r="M54" i="111"/>
  <c r="M53" i="111"/>
  <c r="M52" i="111"/>
  <c r="M51" i="111"/>
  <c r="M50" i="111"/>
  <c r="M49" i="111"/>
  <c r="M48" i="111"/>
  <c r="M47" i="111"/>
  <c r="M46" i="111"/>
  <c r="M45" i="111"/>
  <c r="M44" i="111"/>
  <c r="M43" i="111"/>
  <c r="M42" i="111"/>
  <c r="M41" i="111"/>
  <c r="M40" i="111"/>
  <c r="M39" i="111"/>
  <c r="M38" i="111"/>
  <c r="M37" i="111"/>
  <c r="M36" i="111"/>
  <c r="M35" i="111"/>
  <c r="M34" i="111"/>
  <c r="M33" i="111"/>
  <c r="M32" i="111"/>
  <c r="M31" i="111"/>
  <c r="M30" i="111"/>
  <c r="M29" i="111"/>
  <c r="M28" i="111"/>
  <c r="M27" i="111"/>
  <c r="M26" i="111"/>
  <c r="M25" i="111"/>
  <c r="M24" i="111"/>
  <c r="M23" i="111"/>
  <c r="M22" i="111"/>
  <c r="M21" i="111"/>
  <c r="M20" i="111"/>
  <c r="M19" i="111"/>
  <c r="M18" i="111"/>
  <c r="M17" i="111"/>
  <c r="M16" i="111"/>
  <c r="M15" i="111"/>
  <c r="M14" i="111"/>
  <c r="M13" i="111"/>
  <c r="M12" i="111"/>
  <c r="P19" i="108" l="1"/>
  <c r="J190" i="108"/>
  <c r="L28" i="109"/>
  <c r="P52" i="108" l="1"/>
  <c r="P51" i="108"/>
  <c r="P50" i="108"/>
  <c r="P49" i="108"/>
  <c r="P32" i="108"/>
  <c r="M181" i="108"/>
  <c r="M184" i="108"/>
  <c r="P33" i="108" l="1"/>
  <c r="P29" i="108" l="1"/>
  <c r="P27" i="108" l="1"/>
  <c r="P26" i="108"/>
  <c r="P25" i="108"/>
  <c r="P24" i="108"/>
  <c r="S56" i="23" l="1"/>
  <c r="S57" i="23"/>
  <c r="S58" i="23"/>
  <c r="S59" i="23"/>
  <c r="S60" i="23"/>
  <c r="P56" i="23"/>
  <c r="P57" i="23"/>
  <c r="P58" i="23"/>
  <c r="P59" i="23"/>
  <c r="P60" i="23"/>
  <c r="M56" i="23"/>
  <c r="M57" i="23"/>
  <c r="M58" i="23"/>
  <c r="M59" i="23"/>
  <c r="M60" i="23"/>
  <c r="G57" i="23"/>
  <c r="G58" i="23"/>
  <c r="G59" i="23"/>
  <c r="G60" i="23"/>
  <c r="D57" i="23"/>
  <c r="D58" i="23"/>
  <c r="D59" i="23"/>
  <c r="D60" i="23"/>
  <c r="M109" i="108" l="1"/>
  <c r="P16" i="108" l="1"/>
  <c r="P15" i="108"/>
  <c r="P14" i="108"/>
  <c r="P12" i="108"/>
  <c r="M180" i="108" l="1"/>
  <c r="M176" i="108"/>
  <c r="M175" i="108"/>
  <c r="M174" i="108"/>
  <c r="M173" i="108"/>
  <c r="M172" i="108"/>
  <c r="M171" i="108"/>
  <c r="M170" i="108"/>
  <c r="M169" i="108"/>
  <c r="M168" i="108"/>
  <c r="M167" i="108"/>
  <c r="M166" i="108"/>
  <c r="M165" i="108"/>
  <c r="M164" i="108"/>
  <c r="M163" i="108"/>
  <c r="M162" i="108"/>
  <c r="M161" i="108"/>
  <c r="M160" i="108"/>
  <c r="M159" i="108"/>
  <c r="M158" i="108"/>
  <c r="M157" i="108"/>
  <c r="M156" i="108"/>
  <c r="M155" i="108"/>
  <c r="M154" i="108"/>
  <c r="M153" i="108"/>
  <c r="M152" i="108"/>
  <c r="M151" i="108"/>
  <c r="M150" i="108"/>
  <c r="M149" i="108"/>
  <c r="M148" i="108"/>
  <c r="M147" i="108"/>
  <c r="M146" i="108"/>
  <c r="M145" i="108"/>
  <c r="M144" i="108"/>
  <c r="M143" i="108"/>
  <c r="M142" i="108"/>
  <c r="M141" i="108"/>
  <c r="M140" i="108"/>
  <c r="M139" i="108"/>
  <c r="M138" i="108"/>
  <c r="M137" i="108"/>
  <c r="M136" i="108"/>
  <c r="M135" i="108"/>
  <c r="M134" i="108"/>
  <c r="M133" i="108"/>
  <c r="M132" i="108"/>
  <c r="M131" i="108"/>
  <c r="M130" i="108"/>
  <c r="M129" i="108"/>
  <c r="M128" i="108"/>
  <c r="M127" i="108"/>
  <c r="M126" i="108"/>
  <c r="M125" i="108"/>
  <c r="M124" i="108"/>
  <c r="M123" i="108"/>
  <c r="M122" i="108"/>
  <c r="M121" i="108"/>
  <c r="M120" i="108"/>
  <c r="M119" i="108"/>
  <c r="M118" i="108"/>
  <c r="M117" i="108"/>
  <c r="M116" i="108"/>
  <c r="M115" i="108"/>
  <c r="M114" i="108"/>
  <c r="M113" i="108"/>
  <c r="M112" i="108"/>
  <c r="M111" i="108"/>
  <c r="M110" i="108"/>
  <c r="M108" i="108"/>
  <c r="M107" i="108"/>
  <c r="M106" i="108"/>
  <c r="M105" i="108"/>
  <c r="M104" i="108"/>
  <c r="M103" i="108"/>
  <c r="M102" i="108"/>
  <c r="M101" i="108"/>
  <c r="M100" i="108"/>
  <c r="M99" i="108"/>
  <c r="M98" i="108"/>
  <c r="M97" i="108"/>
  <c r="M96" i="108"/>
  <c r="M95" i="108"/>
  <c r="M94" i="108"/>
  <c r="M93" i="108"/>
  <c r="M92" i="108"/>
  <c r="M91" i="108"/>
  <c r="M90" i="108"/>
  <c r="M89" i="108"/>
  <c r="M88" i="108"/>
  <c r="M87" i="108"/>
  <c r="M86" i="108"/>
  <c r="M85" i="108"/>
  <c r="M84" i="108"/>
  <c r="M83" i="108"/>
  <c r="M82" i="108"/>
  <c r="M81" i="108"/>
  <c r="M80" i="108"/>
  <c r="M79" i="108"/>
  <c r="M78" i="108"/>
  <c r="M77" i="108"/>
  <c r="M76" i="108"/>
  <c r="M75" i="108"/>
  <c r="M74" i="108"/>
  <c r="M73" i="108"/>
  <c r="M72" i="108"/>
  <c r="M71" i="108"/>
  <c r="M70" i="108"/>
  <c r="M69" i="108"/>
  <c r="M68" i="108"/>
  <c r="M67" i="108"/>
  <c r="M66" i="108"/>
  <c r="M65" i="108"/>
  <c r="M64" i="108"/>
  <c r="M63" i="108"/>
  <c r="M62" i="108"/>
  <c r="M61" i="108"/>
  <c r="M60" i="108"/>
  <c r="M59" i="108"/>
  <c r="M58" i="108"/>
  <c r="M57" i="108"/>
  <c r="M56" i="108"/>
  <c r="M55" i="108"/>
  <c r="M54" i="108"/>
  <c r="M53" i="108"/>
  <c r="M52" i="108"/>
  <c r="M51" i="108"/>
  <c r="M50" i="108"/>
  <c r="M49" i="108"/>
  <c r="M48" i="108"/>
  <c r="M47" i="108"/>
  <c r="M46" i="108"/>
  <c r="M45" i="108"/>
  <c r="M44" i="108"/>
  <c r="M43" i="108"/>
  <c r="M42" i="108"/>
  <c r="M41" i="108"/>
  <c r="M40" i="108"/>
  <c r="M39" i="108"/>
  <c r="M38" i="108"/>
  <c r="M37" i="108"/>
  <c r="M36" i="108"/>
  <c r="M35" i="108"/>
  <c r="M34" i="108"/>
  <c r="M33" i="108"/>
  <c r="M32" i="108"/>
  <c r="M31" i="108"/>
  <c r="M30" i="108"/>
  <c r="M29" i="108"/>
  <c r="M28" i="108"/>
  <c r="M27" i="108"/>
  <c r="M26" i="108"/>
  <c r="M25" i="108"/>
  <c r="M24" i="108"/>
  <c r="M23" i="108"/>
  <c r="M22" i="108"/>
  <c r="M21" i="108"/>
  <c r="M20" i="108"/>
  <c r="M19" i="108"/>
  <c r="M18" i="108"/>
  <c r="M17" i="108"/>
  <c r="M16" i="108"/>
  <c r="M15" i="108"/>
  <c r="M14" i="108"/>
  <c r="M13" i="108"/>
  <c r="M12" i="108"/>
  <c r="P38" i="106" l="1"/>
  <c r="P41" i="106" l="1"/>
  <c r="P40" i="106"/>
  <c r="P182" i="106" l="1"/>
  <c r="P35" i="106"/>
  <c r="P34" i="106"/>
  <c r="P32" i="106" l="1"/>
  <c r="P31" i="106"/>
  <c r="P30" i="106"/>
  <c r="S53" i="23" l="1"/>
  <c r="S54" i="23"/>
  <c r="S55" i="23"/>
  <c r="P53" i="23"/>
  <c r="P54" i="23"/>
  <c r="P55" i="23"/>
  <c r="M53" i="23"/>
  <c r="M54" i="23"/>
  <c r="M55" i="23"/>
  <c r="G53" i="23"/>
  <c r="G54" i="23"/>
  <c r="G55" i="23"/>
  <c r="G56" i="23"/>
  <c r="D53" i="23"/>
  <c r="D54" i="23"/>
  <c r="D55" i="23"/>
  <c r="D56" i="23"/>
  <c r="P27" i="106" l="1"/>
  <c r="P24" i="106" l="1"/>
  <c r="P25" i="106" l="1"/>
  <c r="P21" i="106" l="1"/>
  <c r="D46" i="23"/>
  <c r="D47" i="23"/>
  <c r="M46" i="23"/>
  <c r="M47" i="23"/>
  <c r="P46" i="23"/>
  <c r="P22" i="106" l="1"/>
  <c r="P18" i="106" l="1"/>
  <c r="P19" i="106"/>
  <c r="S43" i="23" l="1"/>
  <c r="S44" i="23"/>
  <c r="S45" i="23"/>
  <c r="S46" i="23"/>
  <c r="S47" i="23"/>
  <c r="S48" i="23"/>
  <c r="S49" i="23"/>
  <c r="S50" i="23"/>
  <c r="S51" i="23"/>
  <c r="S52" i="23"/>
  <c r="S70" i="23"/>
  <c r="P47" i="23"/>
  <c r="P48" i="23"/>
  <c r="P49" i="23"/>
  <c r="P50" i="23"/>
  <c r="P51" i="23"/>
  <c r="M48" i="23"/>
  <c r="M49" i="23"/>
  <c r="M50" i="23"/>
  <c r="M51" i="23"/>
  <c r="G46" i="23"/>
  <c r="G47" i="23"/>
  <c r="G48" i="23"/>
  <c r="G49" i="23"/>
  <c r="G50" i="23"/>
  <c r="G51" i="23"/>
  <c r="G52" i="23"/>
  <c r="G69" i="23"/>
  <c r="D49" i="23"/>
  <c r="D50" i="23"/>
  <c r="D51" i="23"/>
  <c r="M45" i="23" l="1"/>
  <c r="D48" i="23"/>
  <c r="D52" i="23"/>
  <c r="D70" i="23"/>
  <c r="P14" i="106"/>
  <c r="P13" i="106"/>
  <c r="M176" i="106" l="1"/>
  <c r="M175" i="106"/>
  <c r="M174" i="106"/>
  <c r="M173" i="106"/>
  <c r="M172" i="106"/>
  <c r="M171" i="106"/>
  <c r="M170" i="106"/>
  <c r="M169" i="106"/>
  <c r="M168" i="106"/>
  <c r="M167" i="106"/>
  <c r="M166" i="106"/>
  <c r="M165" i="106"/>
  <c r="M164" i="106"/>
  <c r="M163" i="106"/>
  <c r="M162" i="106"/>
  <c r="M161" i="106"/>
  <c r="M160" i="106"/>
  <c r="M159" i="106"/>
  <c r="M158" i="106"/>
  <c r="M157" i="106"/>
  <c r="M156" i="106"/>
  <c r="M155" i="106"/>
  <c r="M154" i="106"/>
  <c r="M153" i="106"/>
  <c r="M152" i="106"/>
  <c r="M151" i="106"/>
  <c r="M150" i="106"/>
  <c r="M149" i="106"/>
  <c r="M148" i="106"/>
  <c r="M147" i="106"/>
  <c r="M146" i="106"/>
  <c r="M145" i="106"/>
  <c r="M144" i="106"/>
  <c r="M143" i="106"/>
  <c r="M142" i="106"/>
  <c r="M141" i="106"/>
  <c r="M140" i="106"/>
  <c r="M139" i="106"/>
  <c r="M138" i="106"/>
  <c r="M137" i="106"/>
  <c r="M136" i="106"/>
  <c r="M135" i="106"/>
  <c r="M134" i="106"/>
  <c r="M133" i="106"/>
  <c r="M132" i="106"/>
  <c r="M131" i="106"/>
  <c r="M130" i="106"/>
  <c r="M129" i="106"/>
  <c r="M128" i="106"/>
  <c r="M127" i="106"/>
  <c r="M126" i="106"/>
  <c r="M125" i="106"/>
  <c r="M124" i="106"/>
  <c r="M123" i="106"/>
  <c r="M122" i="106"/>
  <c r="M121" i="106"/>
  <c r="M120" i="106"/>
  <c r="M119" i="106"/>
  <c r="M118" i="106"/>
  <c r="M117" i="106"/>
  <c r="M116" i="106"/>
  <c r="M115" i="106"/>
  <c r="M114" i="106"/>
  <c r="M113" i="106"/>
  <c r="M112" i="106"/>
  <c r="M111" i="106"/>
  <c r="M110" i="106"/>
  <c r="M109" i="106"/>
  <c r="M108" i="106"/>
  <c r="M107" i="106"/>
  <c r="M106" i="106"/>
  <c r="M105" i="106"/>
  <c r="M104" i="106"/>
  <c r="M103" i="106"/>
  <c r="M102" i="106"/>
  <c r="M101" i="106"/>
  <c r="M100" i="106"/>
  <c r="M99" i="106"/>
  <c r="M98" i="106"/>
  <c r="M97" i="106"/>
  <c r="M96" i="106"/>
  <c r="M95" i="106"/>
  <c r="M94" i="106"/>
  <c r="M93" i="106"/>
  <c r="M92" i="106"/>
  <c r="M91" i="106"/>
  <c r="M90" i="106"/>
  <c r="M89" i="106"/>
  <c r="M88" i="106"/>
  <c r="M87" i="106"/>
  <c r="M86" i="106"/>
  <c r="M85" i="106"/>
  <c r="M84" i="106"/>
  <c r="M83" i="106"/>
  <c r="M82" i="106"/>
  <c r="M81" i="106"/>
  <c r="M80" i="106"/>
  <c r="M79" i="106"/>
  <c r="M78" i="106"/>
  <c r="M77" i="106"/>
  <c r="M76" i="106"/>
  <c r="M75" i="106"/>
  <c r="M74" i="106"/>
  <c r="M73" i="106"/>
  <c r="M72" i="106"/>
  <c r="M71" i="106"/>
  <c r="M70" i="106"/>
  <c r="M69" i="106"/>
  <c r="M68" i="106"/>
  <c r="M67" i="106"/>
  <c r="M66" i="106"/>
  <c r="M65" i="106"/>
  <c r="M64" i="106"/>
  <c r="M63" i="106"/>
  <c r="M62" i="106"/>
  <c r="M61" i="106"/>
  <c r="M60" i="106"/>
  <c r="M59" i="106"/>
  <c r="M58" i="106"/>
  <c r="M57" i="106"/>
  <c r="M56" i="106"/>
  <c r="M55" i="106"/>
  <c r="M54" i="106"/>
  <c r="M53" i="106"/>
  <c r="M52" i="106"/>
  <c r="M51" i="106"/>
  <c r="M50" i="106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M26" i="106"/>
  <c r="M25" i="106"/>
  <c r="M24" i="106"/>
  <c r="M23" i="106"/>
  <c r="M22" i="106"/>
  <c r="M21" i="106"/>
  <c r="M20" i="106"/>
  <c r="M19" i="106"/>
  <c r="M18" i="106"/>
  <c r="M17" i="106"/>
  <c r="M16" i="106"/>
  <c r="M15" i="106"/>
  <c r="M14" i="106"/>
  <c r="M13" i="106"/>
  <c r="M12" i="106"/>
  <c r="M177" i="106" l="1"/>
  <c r="P37" i="104"/>
  <c r="P36" i="104"/>
  <c r="P35" i="104"/>
  <c r="M204" i="104"/>
  <c r="M205" i="104"/>
  <c r="M203" i="104"/>
  <c r="M202" i="104"/>
  <c r="M201" i="104"/>
  <c r="M200" i="104"/>
  <c r="M199" i="104"/>
  <c r="M198" i="104"/>
  <c r="M197" i="104"/>
  <c r="M196" i="104"/>
  <c r="M195" i="104"/>
  <c r="M194" i="104" l="1"/>
  <c r="M193" i="104"/>
  <c r="M192" i="104"/>
  <c r="M191" i="104"/>
  <c r="M190" i="104"/>
  <c r="M189" i="104"/>
  <c r="M188" i="104"/>
  <c r="M187" i="104"/>
  <c r="M186" i="104"/>
  <c r="M185" i="104"/>
  <c r="M184" i="104"/>
  <c r="M183" i="104"/>
  <c r="M182" i="104"/>
  <c r="M181" i="104"/>
  <c r="M180" i="104"/>
  <c r="M179" i="104"/>
  <c r="M178" i="104"/>
  <c r="M177" i="104"/>
  <c r="M176" i="104"/>
  <c r="M175" i="104"/>
  <c r="M174" i="104"/>
  <c r="M173" i="104"/>
  <c r="M172" i="104"/>
  <c r="M171" i="104"/>
  <c r="M168" i="104"/>
  <c r="G39" i="23" l="1"/>
  <c r="G40" i="23"/>
  <c r="G41" i="23"/>
  <c r="G42" i="23"/>
  <c r="G43" i="23"/>
  <c r="G44" i="23"/>
  <c r="P44" i="23"/>
  <c r="P45" i="23"/>
  <c r="P52" i="23"/>
  <c r="P69" i="23"/>
  <c r="M44" i="23"/>
  <c r="M52" i="23"/>
  <c r="M69" i="23"/>
  <c r="D44" i="23"/>
  <c r="D45" i="23"/>
  <c r="P33" i="104"/>
  <c r="P32" i="104"/>
  <c r="P31" i="104"/>
  <c r="M154" i="104"/>
  <c r="M42" i="23" l="1"/>
  <c r="M43" i="23"/>
  <c r="P43" i="23"/>
  <c r="D42" i="23"/>
  <c r="D43" i="23"/>
  <c r="P28" i="104"/>
  <c r="P27" i="104"/>
  <c r="M41" i="23" l="1"/>
  <c r="S41" i="23"/>
  <c r="S42" i="23"/>
  <c r="P42" i="23"/>
  <c r="P41" i="23" l="1"/>
  <c r="D41" i="23"/>
  <c r="P19" i="104"/>
  <c r="P20" i="104"/>
  <c r="P18" i="104"/>
  <c r="S40" i="23"/>
  <c r="P40" i="23" l="1"/>
  <c r="P15" i="104"/>
  <c r="P14" i="104" l="1"/>
  <c r="P13" i="104"/>
  <c r="M170" i="104"/>
  <c r="M169" i="104"/>
  <c r="M167" i="104"/>
  <c r="M166" i="104"/>
  <c r="M165" i="104"/>
  <c r="M164" i="104"/>
  <c r="M163" i="104"/>
  <c r="M162" i="104"/>
  <c r="M161" i="104"/>
  <c r="M160" i="104"/>
  <c r="M159" i="104"/>
  <c r="M158" i="104"/>
  <c r="M157" i="104"/>
  <c r="M156" i="104"/>
  <c r="M155" i="104"/>
  <c r="M153" i="104"/>
  <c r="M152" i="104"/>
  <c r="M151" i="104"/>
  <c r="M150" i="104"/>
  <c r="M149" i="104"/>
  <c r="M148" i="104"/>
  <c r="M147" i="104"/>
  <c r="M146" i="104"/>
  <c r="M145" i="104"/>
  <c r="M144" i="104"/>
  <c r="M143" i="104"/>
  <c r="M142" i="104"/>
  <c r="M141" i="104"/>
  <c r="M140" i="104"/>
  <c r="M139" i="104"/>
  <c r="M138" i="104"/>
  <c r="M137" i="104"/>
  <c r="M136" i="104"/>
  <c r="M135" i="104"/>
  <c r="M134" i="104"/>
  <c r="M133" i="104"/>
  <c r="M132" i="104"/>
  <c r="M131" i="104"/>
  <c r="M130" i="104"/>
  <c r="M129" i="104"/>
  <c r="M128" i="104"/>
  <c r="M127" i="104"/>
  <c r="M126" i="104"/>
  <c r="M125" i="104"/>
  <c r="M124" i="104"/>
  <c r="M123" i="104"/>
  <c r="M122" i="104"/>
  <c r="M121" i="104"/>
  <c r="M120" i="104"/>
  <c r="M119" i="104"/>
  <c r="M118" i="104"/>
  <c r="M117" i="104"/>
  <c r="M116" i="104"/>
  <c r="M115" i="104"/>
  <c r="M114" i="104"/>
  <c r="M113" i="104"/>
  <c r="M112" i="104"/>
  <c r="M111" i="104"/>
  <c r="M110" i="104"/>
  <c r="M109" i="104"/>
  <c r="M108" i="104"/>
  <c r="M107" i="104"/>
  <c r="M106" i="104"/>
  <c r="M105" i="104"/>
  <c r="M104" i="104"/>
  <c r="M103" i="104"/>
  <c r="M102" i="104"/>
  <c r="M101" i="104"/>
  <c r="M100" i="104"/>
  <c r="M99" i="104"/>
  <c r="M98" i="104"/>
  <c r="M97" i="104"/>
  <c r="M96" i="104"/>
  <c r="M95" i="104"/>
  <c r="M94" i="104"/>
  <c r="M93" i="104"/>
  <c r="M92" i="104"/>
  <c r="M91" i="104"/>
  <c r="M90" i="104"/>
  <c r="M89" i="104"/>
  <c r="M88" i="104"/>
  <c r="M87" i="104"/>
  <c r="M86" i="104"/>
  <c r="M85" i="104"/>
  <c r="M84" i="104"/>
  <c r="M83" i="104"/>
  <c r="M82" i="104"/>
  <c r="M81" i="104"/>
  <c r="M80" i="104"/>
  <c r="M79" i="104"/>
  <c r="M78" i="104"/>
  <c r="M77" i="104"/>
  <c r="M76" i="104"/>
  <c r="M75" i="104"/>
  <c r="M74" i="104"/>
  <c r="M73" i="104"/>
  <c r="M72" i="104"/>
  <c r="M71" i="104"/>
  <c r="M70" i="104"/>
  <c r="M69" i="104"/>
  <c r="M68" i="104"/>
  <c r="M67" i="104"/>
  <c r="M66" i="104"/>
  <c r="M65" i="104"/>
  <c r="M64" i="104"/>
  <c r="M63" i="104"/>
  <c r="M62" i="104"/>
  <c r="M61" i="104"/>
  <c r="M60" i="104"/>
  <c r="M59" i="104"/>
  <c r="M58" i="104"/>
  <c r="M57" i="104"/>
  <c r="M56" i="104"/>
  <c r="M55" i="104"/>
  <c r="M54" i="104"/>
  <c r="M53" i="104"/>
  <c r="M52" i="104"/>
  <c r="M51" i="104"/>
  <c r="M50" i="104"/>
  <c r="M49" i="104"/>
  <c r="M48" i="104"/>
  <c r="M47" i="104"/>
  <c r="M46" i="104"/>
  <c r="M45" i="104"/>
  <c r="M44" i="104"/>
  <c r="M43" i="104"/>
  <c r="M42" i="104"/>
  <c r="M41" i="104"/>
  <c r="M40" i="104"/>
  <c r="M39" i="104"/>
  <c r="M38" i="104"/>
  <c r="M37" i="104"/>
  <c r="M36" i="104"/>
  <c r="M35" i="104"/>
  <c r="M34" i="104"/>
  <c r="M33" i="104"/>
  <c r="M32" i="104"/>
  <c r="M31" i="104"/>
  <c r="M30" i="104"/>
  <c r="M29" i="104"/>
  <c r="M28" i="104"/>
  <c r="M27" i="104"/>
  <c r="M26" i="104"/>
  <c r="M25" i="104"/>
  <c r="M24" i="104"/>
  <c r="M23" i="104"/>
  <c r="M22" i="104"/>
  <c r="M21" i="104"/>
  <c r="M20" i="104"/>
  <c r="M19" i="104"/>
  <c r="M18" i="104"/>
  <c r="M17" i="104"/>
  <c r="M16" i="104"/>
  <c r="M15" i="104"/>
  <c r="M14" i="104"/>
  <c r="M13" i="104"/>
  <c r="M12" i="104"/>
  <c r="D39" i="23" l="1"/>
  <c r="D35" i="23" l="1"/>
  <c r="D36" i="23"/>
  <c r="D37" i="23"/>
  <c r="D38" i="23"/>
  <c r="D5" i="23"/>
  <c r="P39" i="23" l="1"/>
  <c r="M40" i="23"/>
  <c r="M39" i="23"/>
  <c r="P25" i="102"/>
  <c r="P24" i="102"/>
  <c r="P23" i="102"/>
  <c r="M167" i="102"/>
  <c r="M166" i="102"/>
  <c r="M165" i="102"/>
  <c r="M164" i="102"/>
  <c r="M163" i="102"/>
  <c r="M162" i="102"/>
  <c r="M161" i="102"/>
  <c r="M160" i="102"/>
  <c r="M159" i="102"/>
  <c r="M158" i="102"/>
  <c r="M157" i="102"/>
  <c r="M156" i="102"/>
  <c r="M155" i="102"/>
  <c r="M154" i="102"/>
  <c r="M153" i="102"/>
  <c r="M152" i="102"/>
  <c r="M151" i="102"/>
  <c r="M150" i="102"/>
  <c r="M149" i="102"/>
  <c r="M148" i="102"/>
  <c r="M147" i="102"/>
  <c r="M146" i="102"/>
  <c r="M145" i="102"/>
  <c r="M144" i="102"/>
  <c r="M143" i="102"/>
  <c r="M142" i="102"/>
  <c r="M141" i="102"/>
  <c r="M140" i="102"/>
  <c r="M139" i="102"/>
  <c r="M138" i="102"/>
  <c r="M137" i="102"/>
  <c r="M136" i="102"/>
  <c r="M135" i="102"/>
  <c r="M134" i="102"/>
  <c r="M133" i="102"/>
  <c r="P19" i="102"/>
  <c r="M132" i="102"/>
  <c r="M131" i="102"/>
  <c r="M130" i="102"/>
  <c r="M129" i="102"/>
  <c r="M128" i="102"/>
  <c r="M127" i="102"/>
  <c r="M126" i="102"/>
  <c r="M125" i="102"/>
  <c r="M124" i="102"/>
  <c r="M123" i="102"/>
  <c r="M122" i="102"/>
  <c r="P37" i="23" l="1"/>
  <c r="P38" i="23"/>
  <c r="G37" i="23"/>
  <c r="M37" i="23"/>
  <c r="P17" i="102"/>
  <c r="P16" i="102"/>
  <c r="P15" i="102"/>
  <c r="M121" i="102"/>
  <c r="M120" i="102"/>
  <c r="M87" i="102"/>
  <c r="D40" i="23" l="1"/>
  <c r="P13" i="102" l="1"/>
  <c r="P12" i="102" l="1"/>
  <c r="M168" i="102"/>
  <c r="M119" i="102"/>
  <c r="M118" i="102"/>
  <c r="M117" i="102"/>
  <c r="M116" i="102"/>
  <c r="M115" i="102"/>
  <c r="M114" i="102"/>
  <c r="M113" i="102"/>
  <c r="M112" i="102"/>
  <c r="M111" i="102"/>
  <c r="M110" i="102"/>
  <c r="M109" i="102"/>
  <c r="M108" i="102"/>
  <c r="M107" i="102"/>
  <c r="M106" i="102"/>
  <c r="M105" i="102"/>
  <c r="M104" i="102"/>
  <c r="M103" i="102"/>
  <c r="M102" i="102"/>
  <c r="M101" i="102"/>
  <c r="M100" i="102"/>
  <c r="M99" i="102"/>
  <c r="M98" i="102"/>
  <c r="M97" i="102"/>
  <c r="M96" i="102"/>
  <c r="M95" i="102"/>
  <c r="M94" i="102"/>
  <c r="M93" i="102"/>
  <c r="M92" i="102"/>
  <c r="M91" i="102"/>
  <c r="M90" i="102"/>
  <c r="M89" i="102"/>
  <c r="M88" i="102"/>
  <c r="M86" i="102"/>
  <c r="M85" i="102"/>
  <c r="M84" i="102"/>
  <c r="M83" i="102"/>
  <c r="M82" i="102"/>
  <c r="M81" i="102"/>
  <c r="M80" i="102"/>
  <c r="M79" i="102"/>
  <c r="M78" i="102"/>
  <c r="M77" i="102"/>
  <c r="M76" i="102"/>
  <c r="M75" i="102"/>
  <c r="M74" i="102"/>
  <c r="M73" i="102"/>
  <c r="M72" i="102"/>
  <c r="M71" i="102"/>
  <c r="M70" i="102"/>
  <c r="M69" i="102"/>
  <c r="M68" i="102"/>
  <c r="M67" i="102"/>
  <c r="M66" i="102"/>
  <c r="M65" i="102"/>
  <c r="M64" i="102"/>
  <c r="M63" i="102"/>
  <c r="M62" i="102"/>
  <c r="M61" i="102"/>
  <c r="M60" i="102"/>
  <c r="M59" i="102"/>
  <c r="M58" i="102"/>
  <c r="M57" i="102"/>
  <c r="M56" i="102"/>
  <c r="M55" i="102"/>
  <c r="M54" i="102"/>
  <c r="M53" i="102"/>
  <c r="M52" i="102"/>
  <c r="M51" i="102"/>
  <c r="M50" i="102"/>
  <c r="M49" i="102"/>
  <c r="M48" i="102"/>
  <c r="M47" i="102"/>
  <c r="M46" i="102"/>
  <c r="M45" i="102"/>
  <c r="M44" i="102"/>
  <c r="M43" i="102"/>
  <c r="M42" i="102"/>
  <c r="M41" i="102"/>
  <c r="M40" i="102"/>
  <c r="M39" i="102"/>
  <c r="M38" i="102"/>
  <c r="M37" i="102"/>
  <c r="M36" i="102"/>
  <c r="M35" i="102"/>
  <c r="M34" i="102"/>
  <c r="M33" i="102"/>
  <c r="M32" i="102"/>
  <c r="M31" i="102"/>
  <c r="M30" i="102"/>
  <c r="M29" i="102"/>
  <c r="M28" i="102"/>
  <c r="M27" i="102"/>
  <c r="M26" i="102"/>
  <c r="M25" i="102"/>
  <c r="M24" i="102"/>
  <c r="M23" i="102"/>
  <c r="M22" i="102"/>
  <c r="M21" i="102"/>
  <c r="M20" i="102"/>
  <c r="M19" i="102"/>
  <c r="M18" i="102"/>
  <c r="M17" i="102"/>
  <c r="M16" i="102"/>
  <c r="M15" i="102"/>
  <c r="M14" i="102"/>
  <c r="M13" i="102"/>
  <c r="M12" i="102"/>
  <c r="M179" i="102" l="1"/>
  <c r="P15" i="89" l="1"/>
  <c r="P14" i="89"/>
  <c r="P13" i="89"/>
  <c r="P12" i="89"/>
  <c r="P21" i="91"/>
  <c r="P20" i="91"/>
  <c r="P19" i="91"/>
  <c r="P16" i="91"/>
  <c r="O16" i="91"/>
  <c r="P15" i="91"/>
  <c r="O15" i="91"/>
  <c r="P14" i="91"/>
  <c r="P13" i="91"/>
  <c r="P12" i="91"/>
  <c r="Q15" i="95" l="1"/>
  <c r="P15" i="95"/>
  <c r="P13" i="95"/>
  <c r="P12" i="95"/>
  <c r="P15" i="99"/>
  <c r="P14" i="99"/>
  <c r="D28" i="23"/>
  <c r="P133" i="100"/>
  <c r="P132" i="100"/>
  <c r="P131" i="100"/>
  <c r="P130" i="100"/>
  <c r="P129" i="100"/>
  <c r="P51" i="100"/>
  <c r="M118" i="100"/>
  <c r="M117" i="100"/>
  <c r="M116" i="100"/>
  <c r="M115" i="100"/>
  <c r="M114" i="100"/>
  <c r="M113" i="100"/>
  <c r="M112" i="100"/>
  <c r="M111" i="100"/>
  <c r="M110" i="100"/>
  <c r="M109" i="100"/>
  <c r="N129" i="100" l="1"/>
  <c r="M108" i="100"/>
  <c r="M107" i="100"/>
  <c r="M106" i="100"/>
  <c r="M105" i="100"/>
  <c r="P87" i="100" l="1"/>
  <c r="M104" i="100"/>
  <c r="M103" i="100"/>
  <c r="P42" i="100" l="1"/>
  <c r="M102" i="100"/>
  <c r="M101" i="100"/>
  <c r="M100" i="100"/>
  <c r="M99" i="100"/>
  <c r="M98" i="100"/>
  <c r="M97" i="100"/>
  <c r="M96" i="100"/>
  <c r="M95" i="100"/>
  <c r="M94" i="100"/>
  <c r="M93" i="100"/>
  <c r="M92" i="100"/>
  <c r="M91" i="100"/>
  <c r="M90" i="100"/>
  <c r="M89" i="100"/>
  <c r="M88" i="100"/>
  <c r="M87" i="100"/>
  <c r="M86" i="100"/>
  <c r="M85" i="100"/>
  <c r="M84" i="100"/>
  <c r="M83" i="100"/>
  <c r="M82" i="100"/>
  <c r="M81" i="100"/>
  <c r="P19" i="23" l="1"/>
  <c r="P20" i="23"/>
  <c r="P21" i="23"/>
  <c r="P22" i="23"/>
  <c r="P23" i="23"/>
  <c r="P24" i="23"/>
  <c r="P25" i="23"/>
  <c r="P26" i="23"/>
  <c r="P27" i="23"/>
  <c r="P28" i="23"/>
  <c r="P29" i="23"/>
  <c r="P30" i="23"/>
  <c r="P31" i="23"/>
  <c r="P32" i="23"/>
  <c r="P33" i="23"/>
  <c r="P34" i="23"/>
  <c r="P35" i="23"/>
  <c r="P36" i="23"/>
  <c r="M28" i="23"/>
  <c r="M29" i="23"/>
  <c r="M30" i="23"/>
  <c r="M31" i="23"/>
  <c r="M32" i="23"/>
  <c r="M33" i="23"/>
  <c r="M34" i="23"/>
  <c r="M35" i="23"/>
  <c r="M36" i="23"/>
  <c r="M38" i="23"/>
  <c r="G31" i="23"/>
  <c r="G32" i="23"/>
  <c r="G33" i="23"/>
  <c r="G34" i="23"/>
  <c r="G35" i="23"/>
  <c r="G36" i="23"/>
  <c r="G38" i="23"/>
  <c r="G45" i="23"/>
  <c r="D31" i="23"/>
  <c r="D32" i="23"/>
  <c r="D33" i="23"/>
  <c r="D34" i="23"/>
  <c r="G28" i="23" l="1"/>
  <c r="G29" i="23"/>
  <c r="G30" i="23"/>
  <c r="D30" i="23"/>
  <c r="P38" i="100"/>
  <c r="M80" i="100"/>
  <c r="M78" i="100"/>
  <c r="M77" i="100"/>
  <c r="M76" i="100"/>
  <c r="M75" i="100"/>
  <c r="M74" i="100"/>
  <c r="M73" i="100"/>
  <c r="M72" i="100"/>
  <c r="M71" i="100"/>
  <c r="M70" i="100"/>
  <c r="M69" i="100"/>
  <c r="M68" i="100"/>
  <c r="M67" i="100"/>
  <c r="M66" i="100"/>
  <c r="D29" i="23" l="1"/>
  <c r="P35" i="100"/>
  <c r="P33" i="100"/>
  <c r="P32" i="100"/>
  <c r="P34" i="100" s="1"/>
  <c r="M65" i="100"/>
  <c r="M64" i="100"/>
  <c r="M63" i="100"/>
  <c r="M61" i="100"/>
  <c r="M60" i="100"/>
  <c r="M59" i="100"/>
  <c r="M56" i="100"/>
  <c r="M55" i="100"/>
  <c r="M54" i="100"/>
  <c r="D27" i="23" l="1"/>
  <c r="P13" i="100"/>
  <c r="M121" i="100"/>
  <c r="M79" i="100"/>
  <c r="M62" i="100"/>
  <c r="M58" i="100"/>
  <c r="M57" i="100"/>
  <c r="M53" i="100"/>
  <c r="M52" i="100"/>
  <c r="M51" i="100"/>
  <c r="M50" i="100"/>
  <c r="M49" i="100"/>
  <c r="M48" i="100"/>
  <c r="M47" i="100"/>
  <c r="M46" i="100"/>
  <c r="M45" i="100"/>
  <c r="M44" i="100"/>
  <c r="M43" i="100"/>
  <c r="M42" i="100"/>
  <c r="M41" i="100"/>
  <c r="M40" i="100"/>
  <c r="M39" i="100"/>
  <c r="M38" i="100"/>
  <c r="M37" i="100"/>
  <c r="M36" i="100"/>
  <c r="M35" i="100"/>
  <c r="M34" i="100"/>
  <c r="M33" i="100"/>
  <c r="M32" i="100"/>
  <c r="M31" i="100"/>
  <c r="M30" i="100"/>
  <c r="M29" i="100"/>
  <c r="M28" i="100"/>
  <c r="M27" i="100"/>
  <c r="M26" i="100"/>
  <c r="M25" i="100"/>
  <c r="M24" i="100"/>
  <c r="M23" i="100"/>
  <c r="M22" i="100"/>
  <c r="M21" i="100"/>
  <c r="M20" i="100"/>
  <c r="M19" i="100"/>
  <c r="M18" i="100"/>
  <c r="M17" i="100"/>
  <c r="M16" i="100"/>
  <c r="M15" i="100"/>
  <c r="M14" i="100"/>
  <c r="M13" i="100"/>
  <c r="M12" i="100"/>
  <c r="M123" i="100" l="1"/>
  <c r="M58" i="99"/>
  <c r="M57" i="99"/>
  <c r="M56" i="99"/>
  <c r="M55" i="99"/>
  <c r="M54" i="99"/>
  <c r="M53" i="99"/>
  <c r="M52" i="99"/>
  <c r="M51" i="99"/>
  <c r="M50" i="99"/>
  <c r="M49" i="99"/>
  <c r="M48" i="99"/>
  <c r="M47" i="99"/>
  <c r="M46" i="99"/>
  <c r="M45" i="99"/>
  <c r="M44" i="99"/>
  <c r="M43" i="99"/>
  <c r="M42" i="99"/>
  <c r="M41" i="99"/>
  <c r="M40" i="99"/>
  <c r="M39" i="99"/>
  <c r="M38" i="99"/>
  <c r="M37" i="99"/>
  <c r="M36" i="99"/>
  <c r="M35" i="99"/>
  <c r="M34" i="99"/>
  <c r="M33" i="99"/>
  <c r="M32" i="99"/>
  <c r="M31" i="99"/>
  <c r="M30" i="99"/>
  <c r="M29" i="99"/>
  <c r="M28" i="99"/>
  <c r="M27" i="99"/>
  <c r="M26" i="99"/>
  <c r="M25" i="99"/>
  <c r="M24" i="99"/>
  <c r="M23" i="99"/>
  <c r="M22" i="99"/>
  <c r="M21" i="99"/>
  <c r="M20" i="99"/>
  <c r="M19" i="99"/>
  <c r="M18" i="99"/>
  <c r="M17" i="99"/>
  <c r="M16" i="99"/>
  <c r="M15" i="99"/>
  <c r="M14" i="99"/>
  <c r="P13" i="99"/>
  <c r="M13" i="99"/>
  <c r="P12" i="99"/>
  <c r="M12" i="99"/>
  <c r="M60" i="99" s="1"/>
  <c r="M27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G27" i="23"/>
  <c r="G26" i="23" l="1"/>
  <c r="M23" i="23"/>
  <c r="M24" i="23"/>
  <c r="M25" i="23"/>
  <c r="M26" i="23"/>
  <c r="D26" i="23"/>
  <c r="G25" i="23" l="1"/>
  <c r="D25" i="23"/>
  <c r="G24" i="23" l="1"/>
  <c r="D24" i="23"/>
  <c r="G23" i="23" l="1"/>
  <c r="D23" i="23"/>
  <c r="M200" i="95" l="1"/>
  <c r="M199" i="95"/>
  <c r="M198" i="95"/>
  <c r="M197" i="95"/>
  <c r="M196" i="95"/>
  <c r="M195" i="95"/>
  <c r="M194" i="95"/>
  <c r="M193" i="95"/>
  <c r="M192" i="95"/>
  <c r="M191" i="95"/>
  <c r="M190" i="95"/>
  <c r="M189" i="95"/>
  <c r="M188" i="95"/>
  <c r="M187" i="95"/>
  <c r="M186" i="95"/>
  <c r="M185" i="95"/>
  <c r="M184" i="95"/>
  <c r="M183" i="95"/>
  <c r="M182" i="95"/>
  <c r="M181" i="95"/>
  <c r="M180" i="95"/>
  <c r="M179" i="95"/>
  <c r="M178" i="95"/>
  <c r="M177" i="95"/>
  <c r="M176" i="95"/>
  <c r="M175" i="95"/>
  <c r="M174" i="95"/>
  <c r="M173" i="95"/>
  <c r="M172" i="95"/>
  <c r="M171" i="95"/>
  <c r="M170" i="95"/>
  <c r="M169" i="95"/>
  <c r="M168" i="95"/>
  <c r="M167" i="95"/>
  <c r="M166" i="95"/>
  <c r="M165" i="95"/>
  <c r="M164" i="95"/>
  <c r="M163" i="95"/>
  <c r="M162" i="95"/>
  <c r="M161" i="95"/>
  <c r="M160" i="95"/>
  <c r="M159" i="95"/>
  <c r="M158" i="95"/>
  <c r="M157" i="95"/>
  <c r="M156" i="95"/>
  <c r="M155" i="95"/>
  <c r="M154" i="95"/>
  <c r="M153" i="95"/>
  <c r="M152" i="95"/>
  <c r="M151" i="95"/>
  <c r="M150" i="95"/>
  <c r="M149" i="95"/>
  <c r="M148" i="95"/>
  <c r="M147" i="95"/>
  <c r="M146" i="95"/>
  <c r="M145" i="95"/>
  <c r="M144" i="95"/>
  <c r="M143" i="95"/>
  <c r="M142" i="95"/>
  <c r="M141" i="95"/>
  <c r="M140" i="95"/>
  <c r="M139" i="95"/>
  <c r="M138" i="95"/>
  <c r="M137" i="95"/>
  <c r="M136" i="95"/>
  <c r="M135" i="95"/>
  <c r="M134" i="95"/>
  <c r="M133" i="95"/>
  <c r="M132" i="95"/>
  <c r="M131" i="95"/>
  <c r="M130" i="95"/>
  <c r="M129" i="95"/>
  <c r="M128" i="95"/>
  <c r="M127" i="95"/>
  <c r="M126" i="95"/>
  <c r="M125" i="95"/>
  <c r="M124" i="95"/>
  <c r="M123" i="95"/>
  <c r="M122" i="95"/>
  <c r="M121" i="95"/>
  <c r="M120" i="95"/>
  <c r="M119" i="95"/>
  <c r="M118" i="95"/>
  <c r="M117" i="95"/>
  <c r="M116" i="95"/>
  <c r="M115" i="95"/>
  <c r="M114" i="95"/>
  <c r="M113" i="95"/>
  <c r="M112" i="95"/>
  <c r="M111" i="95"/>
  <c r="M110" i="95"/>
  <c r="M109" i="95"/>
  <c r="M108" i="95"/>
  <c r="M107" i="95"/>
  <c r="M106" i="95"/>
  <c r="M105" i="95"/>
  <c r="M104" i="95"/>
  <c r="M103" i="95"/>
  <c r="M102" i="95"/>
  <c r="M101" i="95"/>
  <c r="M100" i="95"/>
  <c r="M99" i="95"/>
  <c r="M98" i="95"/>
  <c r="M97" i="95"/>
  <c r="M96" i="95"/>
  <c r="M95" i="95"/>
  <c r="M94" i="95"/>
  <c r="M93" i="95"/>
  <c r="M92" i="95"/>
  <c r="M91" i="95"/>
  <c r="M90" i="95"/>
  <c r="M89" i="95"/>
  <c r="M88" i="95"/>
  <c r="M87" i="95"/>
  <c r="M86" i="95"/>
  <c r="M85" i="95"/>
  <c r="M84" i="95"/>
  <c r="M83" i="95"/>
  <c r="M82" i="95"/>
  <c r="M81" i="95"/>
  <c r="M80" i="95"/>
  <c r="M79" i="95"/>
  <c r="M78" i="95"/>
  <c r="M77" i="95"/>
  <c r="M76" i="95"/>
  <c r="M75" i="95"/>
  <c r="M74" i="95"/>
  <c r="M73" i="95"/>
  <c r="M72" i="95"/>
  <c r="M71" i="95"/>
  <c r="M70" i="95"/>
  <c r="M69" i="95"/>
  <c r="M68" i="95"/>
  <c r="M67" i="95"/>
  <c r="M66" i="95"/>
  <c r="M65" i="95"/>
  <c r="M64" i="95"/>
  <c r="M63" i="95"/>
  <c r="M62" i="95"/>
  <c r="M61" i="95"/>
  <c r="M60" i="95"/>
  <c r="M59" i="95"/>
  <c r="M58" i="95"/>
  <c r="M57" i="95"/>
  <c r="M56" i="95"/>
  <c r="M55" i="95"/>
  <c r="M54" i="95"/>
  <c r="M53" i="95"/>
  <c r="M52" i="95"/>
  <c r="M51" i="95"/>
  <c r="M50" i="95"/>
  <c r="M49" i="95"/>
  <c r="M48" i="95"/>
  <c r="M47" i="95"/>
  <c r="M46" i="95"/>
  <c r="M45" i="95"/>
  <c r="M44" i="95"/>
  <c r="M43" i="95"/>
  <c r="M42" i="95"/>
  <c r="M41" i="95"/>
  <c r="M40" i="95"/>
  <c r="M39" i="95"/>
  <c r="M38" i="95"/>
  <c r="M37" i="95"/>
  <c r="M36" i="95"/>
  <c r="M35" i="95"/>
  <c r="M34" i="95"/>
  <c r="M33" i="95"/>
  <c r="M32" i="95"/>
  <c r="M31" i="95"/>
  <c r="M30" i="95"/>
  <c r="M29" i="95"/>
  <c r="M28" i="95"/>
  <c r="M27" i="95"/>
  <c r="M26" i="95"/>
  <c r="M25" i="95"/>
  <c r="M24" i="95"/>
  <c r="M23" i="95"/>
  <c r="M22" i="95"/>
  <c r="M21" i="95"/>
  <c r="M20" i="95"/>
  <c r="M19" i="95"/>
  <c r="M18" i="95"/>
  <c r="M17" i="95"/>
  <c r="M16" i="95"/>
  <c r="M15" i="95"/>
  <c r="M14" i="95"/>
  <c r="M13" i="95"/>
  <c r="M12" i="95"/>
  <c r="M202" i="95" l="1"/>
  <c r="M200" i="91"/>
  <c r="M202" i="91"/>
  <c r="M199" i="91"/>
  <c r="M198" i="91"/>
  <c r="M197" i="91"/>
  <c r="M196" i="91"/>
  <c r="M195" i="91"/>
  <c r="M194" i="91" l="1"/>
  <c r="M193" i="91"/>
  <c r="M192" i="91"/>
  <c r="M191" i="91"/>
  <c r="M190" i="91"/>
  <c r="M189" i="91"/>
  <c r="M188" i="91"/>
  <c r="M187" i="91"/>
  <c r="M186" i="91"/>
  <c r="M185" i="91" l="1"/>
  <c r="M184" i="91"/>
  <c r="M183" i="91"/>
  <c r="M182" i="91"/>
  <c r="M181" i="91"/>
  <c r="M180" i="91"/>
  <c r="M179" i="91"/>
  <c r="M178" i="91"/>
  <c r="M177" i="91"/>
  <c r="M176" i="91"/>
  <c r="M175" i="91"/>
  <c r="M174" i="91"/>
  <c r="M173" i="91"/>
  <c r="M172" i="91"/>
  <c r="M171" i="91"/>
  <c r="M170" i="91"/>
  <c r="M169" i="91"/>
  <c r="M168" i="91"/>
  <c r="M167" i="91"/>
  <c r="M166" i="91"/>
  <c r="M165" i="91"/>
  <c r="M164" i="91"/>
  <c r="M163" i="91"/>
  <c r="M162" i="91"/>
  <c r="M161" i="91"/>
  <c r="G19" i="23" l="1"/>
  <c r="M160" i="91" l="1"/>
  <c r="M159" i="91"/>
  <c r="M158" i="91"/>
  <c r="M157" i="91"/>
  <c r="M156" i="91"/>
  <c r="M155" i="91"/>
  <c r="M154" i="91"/>
  <c r="M153" i="91"/>
  <c r="M152" i="91"/>
  <c r="M151" i="91"/>
  <c r="M150" i="91"/>
  <c r="M149" i="91"/>
  <c r="M148" i="91"/>
  <c r="M147" i="91"/>
  <c r="M146" i="91"/>
  <c r="M145" i="91"/>
  <c r="M144" i="91"/>
  <c r="M143" i="91"/>
  <c r="M142" i="91"/>
  <c r="M141" i="91"/>
  <c r="M140" i="91"/>
  <c r="M139" i="91"/>
  <c r="M138" i="91"/>
  <c r="M137" i="91"/>
  <c r="M136" i="91"/>
  <c r="M135" i="91"/>
  <c r="M134" i="91"/>
  <c r="M133" i="91"/>
  <c r="M132" i="91"/>
  <c r="M131" i="91"/>
  <c r="M130" i="91" l="1"/>
  <c r="M129" i="91"/>
  <c r="M128" i="91"/>
  <c r="M127" i="91"/>
  <c r="M126" i="91"/>
  <c r="M124" i="91" l="1"/>
  <c r="M123" i="91"/>
  <c r="M122" i="91"/>
  <c r="M121" i="91"/>
  <c r="M108" i="91"/>
  <c r="M107" i="91"/>
  <c r="M106" i="91"/>
  <c r="M105" i="91"/>
  <c r="M104" i="91"/>
  <c r="M103" i="91"/>
  <c r="M102" i="91"/>
  <c r="M125" i="91" l="1"/>
  <c r="M120" i="91"/>
  <c r="M119" i="91"/>
  <c r="M118" i="91"/>
  <c r="M117" i="91"/>
  <c r="M116" i="91"/>
  <c r="M115" i="91"/>
  <c r="M114" i="91"/>
  <c r="M113" i="91"/>
  <c r="M112" i="91"/>
  <c r="M111" i="91"/>
  <c r="M110" i="91"/>
  <c r="M109" i="91"/>
  <c r="M101" i="91"/>
  <c r="M100" i="91"/>
  <c r="M99" i="91"/>
  <c r="M98" i="91"/>
  <c r="M97" i="91"/>
  <c r="M96" i="91"/>
  <c r="M95" i="91"/>
  <c r="M94" i="91"/>
  <c r="M93" i="91"/>
  <c r="M92" i="91"/>
  <c r="M91" i="91"/>
  <c r="M90" i="91"/>
  <c r="M89" i="91"/>
  <c r="M88" i="91"/>
  <c r="M87" i="91"/>
  <c r="M86" i="91"/>
  <c r="M85" i="91"/>
  <c r="M84" i="91"/>
  <c r="M83" i="91"/>
  <c r="M82" i="91"/>
  <c r="M81" i="91"/>
  <c r="M80" i="91"/>
  <c r="M79" i="91"/>
  <c r="M78" i="91"/>
  <c r="M77" i="91"/>
  <c r="M76" i="91"/>
  <c r="M75" i="91"/>
  <c r="M74" i="91"/>
  <c r="M73" i="91"/>
  <c r="M72" i="91"/>
  <c r="M71" i="91"/>
  <c r="M70" i="91"/>
  <c r="M69" i="91"/>
  <c r="M68" i="91"/>
  <c r="M67" i="91"/>
  <c r="M66" i="91"/>
  <c r="M65" i="91"/>
  <c r="M64" i="91"/>
  <c r="M63" i="91"/>
  <c r="M62" i="91"/>
  <c r="M61" i="91"/>
  <c r="M60" i="91"/>
  <c r="M59" i="91"/>
  <c r="M58" i="91"/>
  <c r="M57" i="91"/>
  <c r="M56" i="91"/>
  <c r="M55" i="91"/>
  <c r="M54" i="91"/>
  <c r="M53" i="91"/>
  <c r="M52" i="91"/>
  <c r="M51" i="91"/>
  <c r="M50" i="91"/>
  <c r="M49" i="91"/>
  <c r="M48" i="91"/>
  <c r="M47" i="91"/>
  <c r="M46" i="91"/>
  <c r="M45" i="91"/>
  <c r="M44" i="91"/>
  <c r="M43" i="91"/>
  <c r="M42" i="91"/>
  <c r="M41" i="91"/>
  <c r="M40" i="91"/>
  <c r="M39" i="91"/>
  <c r="M38" i="91"/>
  <c r="M37" i="91"/>
  <c r="M36" i="91"/>
  <c r="M35" i="91"/>
  <c r="M34" i="91"/>
  <c r="M33" i="91"/>
  <c r="M32" i="91"/>
  <c r="M31" i="91"/>
  <c r="M30" i="91"/>
  <c r="M29" i="91"/>
  <c r="M28" i="91"/>
  <c r="M27" i="91"/>
  <c r="M26" i="91"/>
  <c r="M25" i="91"/>
  <c r="M24" i="91"/>
  <c r="M23" i="91"/>
  <c r="M22" i="91"/>
  <c r="M21" i="91"/>
  <c r="M20" i="91"/>
  <c r="M19" i="91"/>
  <c r="M18" i="91"/>
  <c r="M17" i="91"/>
  <c r="M16" i="91"/>
  <c r="M15" i="91"/>
  <c r="M14" i="91"/>
  <c r="M13" i="91"/>
  <c r="M12" i="91"/>
  <c r="S15" i="23" l="1"/>
  <c r="M95" i="89"/>
  <c r="M96" i="89"/>
  <c r="M97" i="89"/>
  <c r="M98" i="89"/>
  <c r="M99" i="89"/>
  <c r="M100" i="89"/>
  <c r="M101" i="89"/>
  <c r="M102" i="89"/>
  <c r="M103" i="89"/>
  <c r="M104" i="89"/>
  <c r="M105" i="89"/>
  <c r="M106" i="89"/>
  <c r="M107" i="89"/>
  <c r="M108" i="89"/>
  <c r="M109" i="89"/>
  <c r="M110" i="89"/>
  <c r="M111" i="89"/>
  <c r="M112" i="89"/>
  <c r="M113" i="89"/>
  <c r="M114" i="89"/>
  <c r="M65" i="89" l="1"/>
  <c r="M94" i="89" l="1"/>
  <c r="M93" i="89"/>
  <c r="M92" i="89"/>
  <c r="M91" i="89"/>
  <c r="M90" i="89"/>
  <c r="M89" i="89"/>
  <c r="M88" i="89"/>
  <c r="M87" i="89"/>
  <c r="M86" i="89"/>
  <c r="M85" i="89"/>
  <c r="M84" i="89"/>
  <c r="M83" i="89"/>
  <c r="M82" i="89"/>
  <c r="M81" i="89"/>
  <c r="M80" i="89"/>
  <c r="M79" i="89"/>
  <c r="M78" i="89"/>
  <c r="M77" i="89"/>
  <c r="M76" i="89"/>
  <c r="M75" i="89"/>
  <c r="M74" i="89"/>
  <c r="M73" i="89"/>
  <c r="M72" i="89"/>
  <c r="M71" i="89"/>
  <c r="M70" i="89"/>
  <c r="M69" i="89"/>
  <c r="M68" i="89"/>
  <c r="M67" i="89"/>
  <c r="M66" i="89"/>
  <c r="M64" i="89"/>
  <c r="M63" i="89"/>
  <c r="M62" i="89"/>
  <c r="M61" i="89"/>
  <c r="M60" i="89"/>
  <c r="M59" i="89"/>
  <c r="M58" i="89"/>
  <c r="M57" i="89"/>
  <c r="M56" i="89"/>
  <c r="M55" i="89"/>
  <c r="M54" i="89"/>
  <c r="M53" i="89"/>
  <c r="M52" i="89"/>
  <c r="M51" i="89"/>
  <c r="M50" i="89"/>
  <c r="M49" i="89"/>
  <c r="M48" i="89"/>
  <c r="M47" i="89"/>
  <c r="M46" i="89"/>
  <c r="M45" i="89"/>
  <c r="M44" i="89"/>
  <c r="M43" i="89"/>
  <c r="M42" i="89"/>
  <c r="M41" i="89"/>
  <c r="M40" i="89"/>
  <c r="M39" i="89"/>
  <c r="M38" i="89"/>
  <c r="M37" i="89"/>
  <c r="M36" i="89"/>
  <c r="M35" i="89"/>
  <c r="M34" i="89"/>
  <c r="M33" i="89"/>
  <c r="M32" i="89"/>
  <c r="M31" i="89"/>
  <c r="M30" i="89"/>
  <c r="M29" i="89"/>
  <c r="M28" i="89"/>
  <c r="M27" i="89"/>
  <c r="M26" i="89"/>
  <c r="M25" i="89"/>
  <c r="M24" i="89"/>
  <c r="M23" i="89"/>
  <c r="M22" i="89"/>
  <c r="M21" i="89"/>
  <c r="M20" i="89"/>
  <c r="M19" i="89"/>
  <c r="M18" i="89"/>
  <c r="M17" i="89"/>
  <c r="M16" i="89"/>
  <c r="M15" i="89"/>
  <c r="M14" i="89"/>
  <c r="M13" i="89"/>
  <c r="M12" i="89"/>
  <c r="M115" i="89" l="1"/>
  <c r="C80" i="23"/>
  <c r="B80" i="23"/>
  <c r="D80" i="23" s="1"/>
  <c r="T71" i="23" l="1"/>
  <c r="P9" i="23"/>
  <c r="M8" i="23" l="1"/>
  <c r="D11" i="23" l="1"/>
  <c r="M99" i="87"/>
  <c r="M98" i="87"/>
  <c r="P6" i="23" l="1"/>
  <c r="P7" i="23"/>
  <c r="P8" i="23"/>
  <c r="P10" i="23"/>
  <c r="P11" i="23"/>
  <c r="P12" i="23"/>
  <c r="P13" i="23"/>
  <c r="P14" i="23"/>
  <c r="P15" i="23"/>
  <c r="P16" i="23"/>
  <c r="P17" i="23"/>
  <c r="P18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G11" i="23"/>
  <c r="G12" i="23"/>
  <c r="G13" i="23"/>
  <c r="G14" i="23"/>
  <c r="G15" i="23"/>
  <c r="G16" i="23"/>
  <c r="G17" i="23"/>
  <c r="G18" i="23"/>
  <c r="G20" i="23"/>
  <c r="G21" i="23"/>
  <c r="G22" i="23"/>
  <c r="D13" i="23"/>
  <c r="D14" i="23"/>
  <c r="D15" i="23"/>
  <c r="D18" i="23"/>
  <c r="D19" i="23"/>
  <c r="D20" i="23"/>
  <c r="D21" i="23"/>
  <c r="D22" i="23"/>
  <c r="G10" i="23"/>
  <c r="D10" i="23"/>
  <c r="M97" i="87"/>
  <c r="M96" i="87"/>
  <c r="M95" i="87"/>
  <c r="M94" i="87"/>
  <c r="M93" i="87"/>
  <c r="M92" i="87"/>
  <c r="M91" i="87"/>
  <c r="M90" i="87"/>
  <c r="M89" i="87"/>
  <c r="M88" i="87"/>
  <c r="G6" i="23" l="1"/>
  <c r="G7" i="23"/>
  <c r="G8" i="23"/>
  <c r="D8" i="23"/>
  <c r="M87" i="87" l="1"/>
  <c r="M86" i="87"/>
  <c r="M85" i="87"/>
  <c r="M84" i="87"/>
  <c r="M83" i="87"/>
  <c r="M82" i="87"/>
  <c r="M81" i="87"/>
  <c r="M80" i="87"/>
  <c r="M79" i="87" l="1"/>
  <c r="M78" i="87"/>
  <c r="M77" i="87"/>
  <c r="M76" i="87"/>
  <c r="M75" i="87"/>
  <c r="M74" i="87"/>
  <c r="M73" i="87"/>
  <c r="M72" i="87"/>
  <c r="M71" i="87"/>
  <c r="M70" i="87"/>
  <c r="M69" i="87"/>
  <c r="M68" i="87"/>
  <c r="M67" i="87"/>
  <c r="M7" i="23" l="1"/>
  <c r="M6" i="23"/>
  <c r="D7" i="23"/>
  <c r="D6" i="23"/>
  <c r="E76" i="23" s="1"/>
  <c r="M63" i="87"/>
  <c r="M62" i="87"/>
  <c r="M61" i="87"/>
  <c r="M60" i="87"/>
  <c r="M59" i="87"/>
  <c r="M58" i="87"/>
  <c r="M57" i="87"/>
  <c r="M56" i="87"/>
  <c r="M55" i="87"/>
  <c r="M54" i="87"/>
  <c r="M53" i="87"/>
  <c r="M52" i="87"/>
  <c r="M51" i="87"/>
  <c r="M50" i="87"/>
  <c r="M49" i="87"/>
  <c r="M48" i="87"/>
  <c r="M47" i="87"/>
  <c r="D76" i="23" l="1"/>
  <c r="P5" i="23"/>
  <c r="M5" i="23"/>
  <c r="G5" i="23"/>
  <c r="M46" i="87"/>
  <c r="M45" i="87"/>
  <c r="M44" i="87"/>
  <c r="M43" i="87"/>
  <c r="U15" i="76"/>
  <c r="U8" i="76" s="1"/>
  <c r="Q15" i="76"/>
  <c r="Q8" i="76" s="1"/>
  <c r="T8" i="76"/>
  <c r="P8" i="76"/>
  <c r="L8" i="76"/>
  <c r="H8" i="76"/>
  <c r="D8" i="76"/>
  <c r="E15" i="76" l="1"/>
  <c r="E8" i="76" s="1"/>
  <c r="I15" i="76"/>
  <c r="I8" i="76" s="1"/>
  <c r="M15" i="76"/>
  <c r="M8" i="76" s="1"/>
  <c r="M66" i="87"/>
  <c r="M64" i="87"/>
  <c r="M42" i="87"/>
  <c r="M41" i="87"/>
  <c r="M40" i="87"/>
  <c r="M39" i="87"/>
  <c r="M38" i="87"/>
  <c r="M37" i="87"/>
  <c r="M36" i="87"/>
  <c r="M35" i="87"/>
  <c r="M34" i="87"/>
  <c r="M33" i="87"/>
  <c r="M32" i="87"/>
  <c r="M31" i="87"/>
  <c r="M30" i="87"/>
  <c r="M29" i="87"/>
  <c r="M28" i="87"/>
  <c r="M27" i="87"/>
  <c r="M26" i="87"/>
  <c r="M25" i="87"/>
  <c r="M24" i="87"/>
  <c r="M23" i="87"/>
  <c r="M22" i="87"/>
  <c r="M21" i="87"/>
  <c r="M20" i="87"/>
  <c r="M19" i="87"/>
  <c r="M18" i="87"/>
  <c r="M17" i="87"/>
  <c r="M16" i="87"/>
  <c r="M15" i="87"/>
  <c r="M14" i="87"/>
  <c r="M13" i="87"/>
  <c r="M12" i="87"/>
  <c r="M101" i="87" l="1"/>
  <c r="Q14" i="76"/>
  <c r="Q7" i="76" s="1"/>
  <c r="T7" i="76"/>
  <c r="U14" i="76" s="1"/>
  <c r="U7" i="76" s="1"/>
  <c r="L7" i="76"/>
  <c r="M14" i="76" s="1"/>
  <c r="M7" i="76" s="1"/>
  <c r="H7" i="76"/>
  <c r="I14" i="76" s="1"/>
  <c r="D7" i="76"/>
  <c r="E14" i="76" s="1"/>
  <c r="E7" i="76" s="1"/>
  <c r="T6" i="76"/>
  <c r="U13" i="76" s="1"/>
  <c r="P6" i="76"/>
  <c r="Q13" i="76" s="1"/>
  <c r="Q6" i="76" s="1"/>
  <c r="L6" i="76"/>
  <c r="M13" i="76" s="1"/>
  <c r="H6" i="76"/>
  <c r="I13" i="76" s="1"/>
  <c r="I6" i="76" s="1"/>
  <c r="D6" i="76"/>
  <c r="E13" i="76" s="1"/>
  <c r="T5" i="76"/>
  <c r="U12" i="76" s="1"/>
  <c r="U5" i="76" s="1"/>
  <c r="P5" i="76"/>
  <c r="Q12" i="76" s="1"/>
  <c r="L5" i="76"/>
  <c r="M12" i="76" s="1"/>
  <c r="M5" i="76" s="1"/>
  <c r="H5" i="76"/>
  <c r="I12" i="76" s="1"/>
  <c r="D5" i="76"/>
  <c r="E12" i="76" s="1"/>
  <c r="E5" i="76" s="1"/>
  <c r="I5" i="76" l="1"/>
  <c r="U6" i="76"/>
  <c r="E6" i="76"/>
  <c r="Q5" i="76"/>
  <c r="M6" i="76"/>
  <c r="I7" i="76"/>
  <c r="E83" i="23" l="1"/>
  <c r="E84" i="23"/>
  <c r="F84" i="23" s="1"/>
  <c r="D86" i="23"/>
  <c r="D87" i="23"/>
  <c r="D88" i="23"/>
  <c r="D89" i="23"/>
  <c r="E89" i="23" s="1"/>
  <c r="D90" i="23"/>
  <c r="D91" i="23"/>
  <c r="B92" i="23"/>
  <c r="E90" i="23" l="1"/>
  <c r="F90" i="23" s="1"/>
  <c r="E86" i="23"/>
  <c r="F86" i="23" s="1"/>
  <c r="C92" i="23"/>
  <c r="E88" i="23"/>
  <c r="F88" i="23" s="1"/>
  <c r="E91" i="23"/>
  <c r="F91" i="23" s="1"/>
  <c r="E87" i="23"/>
  <c r="F87" i="23" s="1"/>
  <c r="F89" i="23"/>
  <c r="D92" i="23"/>
  <c r="F83" i="23"/>
  <c r="E92" i="23" l="1"/>
  <c r="F92" i="23"/>
  <c r="G6" i="25" l="1"/>
  <c r="G7" i="25"/>
  <c r="G8" i="25"/>
  <c r="G9" i="25"/>
  <c r="G10" i="25"/>
  <c r="G11" i="25"/>
  <c r="G12" i="25"/>
  <c r="G13" i="25"/>
  <c r="G14" i="25"/>
  <c r="G15" i="25"/>
  <c r="G5" i="25"/>
  <c r="G4" i="25"/>
  <c r="E6" i="25"/>
  <c r="E7" i="25"/>
  <c r="E8" i="25"/>
  <c r="E9" i="25"/>
  <c r="E10" i="25"/>
  <c r="E11" i="25"/>
  <c r="E12" i="25"/>
  <c r="E13" i="25"/>
  <c r="E14" i="25"/>
  <c r="E15" i="25"/>
  <c r="E5" i="25"/>
  <c r="E4" i="25"/>
  <c r="C5" i="25"/>
  <c r="C6" i="25"/>
  <c r="C7" i="25"/>
  <c r="C8" i="25"/>
  <c r="C9" i="25"/>
  <c r="C10" i="25"/>
  <c r="C11" i="25"/>
  <c r="C12" i="25"/>
  <c r="C13" i="25"/>
  <c r="C14" i="25"/>
  <c r="C15" i="25"/>
  <c r="C4" i="25"/>
  <c r="S71" i="23" l="1"/>
  <c r="Q73" i="23" s="1"/>
  <c r="Q74" i="23" s="1"/>
  <c r="P70" i="23" l="1"/>
  <c r="M70" i="23"/>
  <c r="M71" i="23" s="1"/>
  <c r="J70" i="23"/>
  <c r="G70" i="23"/>
  <c r="O71" i="23" l="1"/>
  <c r="N71" i="23"/>
  <c r="F16" i="25" l="1"/>
  <c r="D16" i="25"/>
  <c r="B16" i="25"/>
  <c r="B71" i="23" l="1"/>
  <c r="C71" i="23"/>
  <c r="E71" i="23"/>
  <c r="F71" i="23"/>
  <c r="H71" i="23"/>
  <c r="I71" i="23"/>
  <c r="K71" i="23"/>
  <c r="L71" i="23"/>
  <c r="J71" i="23" l="1"/>
  <c r="H72" i="23" s="1"/>
  <c r="H73" i="23" s="1"/>
  <c r="H74" i="23" s="1"/>
  <c r="A72" i="23"/>
  <c r="K72" i="23"/>
  <c r="K73" i="23" s="1"/>
  <c r="K74" i="23" s="1"/>
  <c r="D73" i="23" l="1"/>
  <c r="D74" i="23" s="1"/>
  <c r="G16" i="25"/>
  <c r="E16" i="25"/>
  <c r="P71" i="23" l="1"/>
  <c r="N72" i="23" l="1"/>
  <c r="N73" i="23" s="1"/>
  <c r="N74" i="23" s="1"/>
  <c r="C16" i="25"/>
  <c r="B17" i="25" s="1"/>
  <c r="H17" i="25" l="1"/>
  <c r="F18" i="25" s="1"/>
  <c r="G71" i="23"/>
  <c r="E72" i="23" l="1"/>
  <c r="E73" i="23" s="1"/>
  <c r="E74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reported in Bi-monthly Report Jan. 1-11</t>
        </r>
      </text>
    </comment>
    <comment ref="B5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14,000 Red Tilapia</t>
        </r>
      </text>
    </comment>
    <comment ref="A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reported in Bi-monthly Report Jan. 1-11</t>
        </r>
      </text>
    </comment>
    <comment ref="B6" authorId="0" shapeId="0" xr:uid="{00000000-0006-0000-0000-000004000000}">
      <text>
        <r>
          <rPr>
            <sz val="11"/>
            <color indexed="81"/>
            <rFont val="Tahoma"/>
            <family val="2"/>
          </rPr>
          <t>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" authorId="0" shapeId="0" xr:uid="{00000000-0006-0000-0000-000005000000}">
      <text>
        <r>
          <rPr>
            <sz val="12"/>
            <color indexed="81"/>
            <rFont val="Tahoma"/>
            <family val="2"/>
          </rPr>
          <t xml:space="preserve">
4,100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2,300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to LGU Sikatuna sourced from LDFF thru PFO-Bohol. Not included in CFFF production record.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sourced from LDFFF thru PFO-Bohol. Not included in CFFF production record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Red Tilapia: 950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sourced from LDFFF thru PFO-Bohol. Not included in CFFF production record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Red Tilapia: 4600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Red Tilapia: 1,500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Red Tilapia : 2,000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LDFFF thru PFO-Bohol. Not included in CFFF production record</t>
        </r>
      </text>
    </comment>
    <comment ref="C17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11,268 pcs
LDFFF thru PFO-Bohol. Not included in CFFF production record</t>
        </r>
      </text>
    </comment>
    <comment ref="B20" authorId="0" shapeId="0" xr:uid="{81E735A4-8922-430B-87C4-ADD121592305}">
      <text>
        <r>
          <rPr>
            <b/>
            <sz val="9"/>
            <color indexed="81"/>
            <rFont val="Tahoma"/>
            <family val="2"/>
          </rPr>
          <t>Red Tilapia 1000 pcs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" authorId="0" shapeId="0" xr:uid="{51421B6B-01CA-409B-8028-2F1A3130E86F}">
      <text>
        <r>
          <rPr>
            <b/>
            <sz val="9"/>
            <color indexed="81"/>
            <rFont val="Tahoma"/>
            <family val="2"/>
          </rPr>
          <t>Red Tilapia : 8,350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" authorId="0" shapeId="0" xr:uid="{00ADB348-8933-44F9-BDB0-7AE46B126A69}">
      <text>
        <r>
          <rPr>
            <sz val="14"/>
            <color indexed="81"/>
            <rFont val="Tahoma"/>
            <family val="2"/>
          </rPr>
          <t>Red Tilapia : 4,200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8739824E-A057-475D-B81D-21FEB80AB529}">
      <text>
        <r>
          <rPr>
            <b/>
            <sz val="9"/>
            <color indexed="81"/>
            <rFont val="Tahoma"/>
            <family val="2"/>
          </rPr>
          <t>Red Tilapia : 1,300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4" authorId="0" shapeId="0" xr:uid="{AD8430A5-FCF8-4B9C-A13A-A5840A1C5A60}">
      <text>
        <r>
          <rPr>
            <sz val="11"/>
            <color indexed="81"/>
            <rFont val="Tahoma"/>
            <family val="2"/>
          </rPr>
          <t>Red Tilapia: 1,000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" authorId="0" shapeId="0" xr:uid="{184DF6CD-2379-4521-B406-6FA445E5A55A}">
      <text>
        <r>
          <rPr>
            <b/>
            <sz val="9"/>
            <color indexed="81"/>
            <rFont val="Tahoma"/>
            <family val="2"/>
          </rPr>
          <t>Red Tilapia: 900</t>
        </r>
      </text>
    </comment>
    <comment ref="B26" authorId="0" shapeId="0" xr:uid="{F0E2340A-235B-4A93-A982-8EEC6BB263C3}">
      <text>
        <r>
          <rPr>
            <b/>
            <sz val="9"/>
            <color indexed="81"/>
            <rFont val="Tahoma"/>
            <family val="2"/>
          </rPr>
          <t>Red Tilapia: 1,020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3" authorId="0" shapeId="0" xr:uid="{C38478F0-A393-469F-9061-3EBF8738A0A0}">
      <text>
        <r>
          <rPr>
            <sz val="9"/>
            <color indexed="81"/>
            <rFont val="Tahoma"/>
            <family val="2"/>
          </rPr>
          <t xml:space="preserve">2000 IE 2016 A
2000 IE 2016 B
400 Red Tilapia
</t>
        </r>
      </text>
    </comment>
    <comment ref="C35" authorId="0" shapeId="0" xr:uid="{7988EBE2-6366-4456-9902-BFFD03336E30}">
      <text>
        <r>
          <rPr>
            <b/>
            <sz val="9"/>
            <color indexed="81"/>
            <rFont val="Tahoma"/>
            <family val="2"/>
          </rPr>
          <t>Red Tilapia: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2" authorId="0" shapeId="0" xr:uid="{F5320F9B-11FC-47C1-AB8B-0C5855CBBACF}">
      <text>
        <r>
          <rPr>
            <b/>
            <sz val="9"/>
            <color indexed="81"/>
            <rFont val="Tahoma"/>
            <family val="2"/>
          </rPr>
          <t>OPA</t>
        </r>
      </text>
    </comment>
    <comment ref="B62" authorId="0" shapeId="0" xr:uid="{52070DF9-644E-421F-8C60-5421A9D462AB}">
      <text>
        <r>
          <rPr>
            <b/>
            <sz val="9"/>
            <color indexed="81"/>
            <rFont val="Tahoma"/>
            <family val="2"/>
          </rPr>
          <t xml:space="preserve">Red Tilapia 500
</t>
        </r>
      </text>
    </comment>
    <comment ref="B64" authorId="0" shapeId="0" xr:uid="{30FCFA03-F7B7-43B2-89DE-C370C294A82D}">
      <text>
        <r>
          <rPr>
            <b/>
            <sz val="9"/>
            <color indexed="81"/>
            <rFont val="Tahoma"/>
            <family val="2"/>
          </rPr>
          <t>Red Tilapia 500</t>
        </r>
      </text>
    </comment>
    <comment ref="D7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+20% </t>
        </r>
      </text>
    </comment>
    <comment ref="D76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Total Distribution including fry fro LDFFF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5" authorId="0" shapeId="0" xr:uid="{B8FC777C-FC89-4680-A7E7-34BAD1DF32ED}">
      <text>
        <r>
          <rPr>
            <b/>
            <sz val="9"/>
            <color indexed="81"/>
            <rFont val="Tahoma"/>
            <family val="2"/>
          </rPr>
          <t>SAAD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" authorId="0" shapeId="0" xr:uid="{781D2062-4D6E-4DA2-8E0D-F2F68D8D29B2}">
      <text>
        <r>
          <rPr>
            <b/>
            <sz val="9"/>
            <color indexed="81"/>
            <rFont val="Tahoma"/>
            <family val="2"/>
          </rPr>
          <t xml:space="preserve">BASIL Project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45" authorId="0" shapeId="0" xr:uid="{86CEE3DB-8246-4358-A10A-62AEE2CA09A1}">
      <text>
        <r>
          <rPr>
            <b/>
            <sz val="9"/>
            <color indexed="81"/>
            <rFont val="Tahoma"/>
            <family val="2"/>
          </rPr>
          <t xml:space="preserve">31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6" authorId="0" shapeId="0" xr:uid="{13F49477-8640-49A3-8B62-871D7443EA05}">
      <text>
        <r>
          <rPr>
            <b/>
            <sz val="9"/>
            <color indexed="81"/>
            <rFont val="Tahoma"/>
            <family val="2"/>
          </rPr>
          <t>71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6" authorId="0" shapeId="0" xr:uid="{E3E22D29-71FF-4430-9E56-7407BB341B1E}">
      <text>
        <r>
          <rPr>
            <b/>
            <sz val="9"/>
            <color indexed="81"/>
            <rFont val="Tahoma"/>
            <family val="2"/>
          </rPr>
          <t>89</t>
        </r>
      </text>
    </comment>
    <comment ref="A151" authorId="0" shapeId="0" xr:uid="{1A251C6D-332F-444D-8664-7604F9D269F9}">
      <text>
        <r>
          <rPr>
            <b/>
            <sz val="9"/>
            <color indexed="81"/>
            <rFont val="Tahoma"/>
            <family val="2"/>
          </rPr>
          <t xml:space="preserve">132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298B5568-4FD4-44C9-9CB4-134AECD59047}">
      <text>
        <r>
          <rPr>
            <b/>
            <sz val="9"/>
            <color indexed="81"/>
            <rFont val="Tahoma"/>
            <family val="2"/>
          </rPr>
          <t>TARGET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" authorId="0" shapeId="0" xr:uid="{A87F42DA-D815-4977-A06F-6342A7D51C4E}">
      <text>
        <r>
          <rPr>
            <b/>
            <sz val="9"/>
            <color indexed="81"/>
            <rFont val="Tahoma"/>
            <family val="2"/>
          </rPr>
          <t>TARGET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" authorId="0" shapeId="0" xr:uid="{1D95F1ED-1AF2-47C8-B6A2-0CDA85001FBE}">
      <text>
        <r>
          <rPr>
            <b/>
            <sz val="9"/>
            <color indexed="81"/>
            <rFont val="Tahoma"/>
            <family val="2"/>
          </rPr>
          <t>TARGET</t>
        </r>
      </text>
    </comment>
    <comment ref="B16" authorId="0" shapeId="0" xr:uid="{272BF8DD-E1FD-4CA7-9B99-F057AC6ED72B}">
      <text>
        <r>
          <rPr>
            <b/>
            <sz val="9"/>
            <color indexed="81"/>
            <rFont val="Tahoma"/>
            <family val="2"/>
          </rPr>
          <t>SAAD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7" authorId="0" shapeId="0" xr:uid="{708BB51A-6547-4C1A-B8EA-070CD0D61D5D}">
      <text>
        <r>
          <rPr>
            <b/>
            <sz val="9"/>
            <color indexed="81"/>
            <rFont val="Tahoma"/>
            <family val="2"/>
          </rPr>
          <t>TARGET</t>
        </r>
      </text>
    </comment>
    <comment ref="B18" authorId="0" shapeId="0" xr:uid="{2EC66E28-0983-4131-BE01-472D497E1172}">
      <text>
        <r>
          <rPr>
            <b/>
            <sz val="9"/>
            <color indexed="81"/>
            <rFont val="Tahoma"/>
            <family val="2"/>
          </rPr>
          <t xml:space="preserve">SAAD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9" authorId="0" shapeId="0" xr:uid="{DD53D514-7768-48FA-BAE2-D7EFC0C0628E}">
      <text>
        <r>
          <rPr>
            <b/>
            <sz val="9"/>
            <color indexed="81"/>
            <rFont val="Tahoma"/>
            <family val="2"/>
          </rPr>
          <t xml:space="preserve">TARGET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0" authorId="0" shapeId="0" xr:uid="{49790B65-E20F-41E6-A044-5410AD87FED0}">
      <text>
        <r>
          <rPr>
            <b/>
            <sz val="9"/>
            <color indexed="81"/>
            <rFont val="Tahoma"/>
            <family val="2"/>
          </rPr>
          <t>TARGET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" authorId="0" shapeId="0" xr:uid="{317EF430-2B18-47DF-A439-E6ED8C0BB857}">
      <text>
        <r>
          <rPr>
            <b/>
            <sz val="9"/>
            <color indexed="81"/>
            <rFont val="Tahoma"/>
            <family val="2"/>
          </rPr>
          <t>TARGET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P19" authorId="0" shapeId="0" xr:uid="{E732E53B-D1DC-450B-BAA5-11282D2CD1C6}">
      <text>
        <r>
          <rPr>
            <b/>
            <sz val="9"/>
            <color indexed="81"/>
            <rFont val="Tahoma"/>
            <family val="2"/>
          </rPr>
          <t>Red Tilapia 500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 xr:uid="{683FEEEE-7F7F-4071-A580-09954418343E}">
      <text>
        <r>
          <rPr>
            <b/>
            <sz val="9"/>
            <color indexed="81"/>
            <rFont val="Tahoma"/>
            <family val="2"/>
          </rPr>
          <t>Red Tilapia 500</t>
        </r>
      </text>
    </comment>
    <comment ref="A44" authorId="0" shapeId="0" xr:uid="{EB087EA1-0F87-46CB-A49D-26845F65F5F7}">
      <text>
        <r>
          <rPr>
            <b/>
            <sz val="9"/>
            <color indexed="81"/>
            <rFont val="Tahoma"/>
            <family val="2"/>
          </rPr>
          <t xml:space="preserve">30
</t>
        </r>
      </text>
    </comment>
    <comment ref="A79" authorId="0" shapeId="0" xr:uid="{BCE587BD-DD19-4BB4-86D2-5A2D67149FC3}">
      <text>
        <r>
          <rPr>
            <b/>
            <sz val="9"/>
            <color indexed="81"/>
            <rFont val="Tahoma"/>
            <family val="2"/>
          </rPr>
          <t>60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7" authorId="0" shapeId="0" xr:uid="{BC50E41D-B521-4D8F-939D-92CC6F454165}">
      <text>
        <r>
          <rPr>
            <b/>
            <sz val="9"/>
            <color indexed="81"/>
            <rFont val="Tahoma"/>
            <family val="2"/>
          </rPr>
          <t>106</t>
        </r>
      </text>
    </comment>
    <comment ref="A140" authorId="0" shapeId="0" xr:uid="{9C7D8A4E-8A9E-492B-9907-BB5341B2DF4D}">
      <text>
        <r>
          <rPr>
            <b/>
            <sz val="9"/>
            <color indexed="81"/>
            <rFont val="Tahoma"/>
            <family val="2"/>
          </rPr>
          <t>119</t>
        </r>
      </text>
    </comment>
    <comment ref="A163" authorId="0" shapeId="0" xr:uid="{14ED7A8D-9EFF-4A77-8E02-8EC4504DEA99}">
      <text>
        <r>
          <rPr>
            <b/>
            <sz val="9"/>
            <color indexed="81"/>
            <rFont val="Tahoma"/>
            <family val="2"/>
          </rPr>
          <t>141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7" authorId="0" shapeId="0" xr:uid="{8C55517C-8D51-46E9-97F8-64166380E017}">
      <text>
        <r>
          <rPr>
            <b/>
            <sz val="9"/>
            <color indexed="81"/>
            <rFont val="Tahoma"/>
            <family val="2"/>
          </rPr>
          <t xml:space="preserve">163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34" authorId="0" shapeId="0" xr:uid="{1724FDDC-2F8E-460B-87D0-EACE7D9AF8EE}">
      <text>
        <r>
          <rPr>
            <b/>
            <sz val="9"/>
            <color indexed="81"/>
            <rFont val="Tahoma"/>
            <family val="2"/>
          </rPr>
          <t>160 female
  60 male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9" authorId="0" shapeId="0" xr:uid="{9F6755A1-CB49-4C82-8F36-881EA1685777}">
      <text>
        <r>
          <rPr>
            <b/>
            <sz val="9"/>
            <color indexed="81"/>
            <rFont val="Tahoma"/>
            <family val="2"/>
          </rPr>
          <t>29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1" authorId="0" shapeId="0" xr:uid="{462EC8FE-BAB6-4780-A997-23232FE4598F}">
      <text>
        <r>
          <rPr>
            <b/>
            <sz val="9"/>
            <color indexed="81"/>
            <rFont val="Tahoma"/>
            <family val="2"/>
          </rPr>
          <t>53</t>
        </r>
      </text>
    </comment>
    <comment ref="A145" authorId="0" shapeId="0" xr:uid="{0B5F5956-6B59-442E-B28B-5598FF44740C}">
      <text>
        <r>
          <rPr>
            <b/>
            <sz val="9"/>
            <color indexed="81"/>
            <rFont val="Tahoma"/>
            <family val="2"/>
          </rPr>
          <t>107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2" authorId="0" shapeId="0" xr:uid="{B50EDB3D-C973-49EC-B3F9-975181AEB94B}">
      <text>
        <r>
          <rPr>
            <b/>
            <sz val="9"/>
            <color indexed="81"/>
            <rFont val="Tahoma"/>
            <family val="2"/>
          </rPr>
          <t xml:space="preserve">114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8" authorId="0" shapeId="0" xr:uid="{5BACD1B6-6EC4-4769-9089-C376D305849A}">
      <text>
        <r>
          <rPr>
            <b/>
            <sz val="9"/>
            <color indexed="81"/>
            <rFont val="Tahoma"/>
            <family val="2"/>
          </rPr>
          <t>128</t>
        </r>
      </text>
    </comment>
    <comment ref="G177" authorId="0" shapeId="0" xr:uid="{7FB2A7E9-1F91-47CB-BBFE-1DA1944F3543}">
      <text>
        <r>
          <rPr>
            <b/>
            <sz val="9"/>
            <color indexed="81"/>
            <rFont val="Tahoma"/>
            <family val="2"/>
          </rPr>
          <t>1 techno guide</t>
        </r>
      </text>
    </comment>
    <comment ref="G178" authorId="0" shapeId="0" xr:uid="{2BF7713C-AF4A-42A4-A2A0-C16902C7067F}">
      <text>
        <r>
          <rPr>
            <b/>
            <sz val="9"/>
            <color indexed="81"/>
            <rFont val="Tahoma"/>
            <family val="2"/>
          </rPr>
          <t>1 techno guide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9" authorId="0" shapeId="0" xr:uid="{62CBFE3F-E6BC-488F-839E-355BEDC5B42B}">
      <text>
        <r>
          <rPr>
            <b/>
            <sz val="9"/>
            <color indexed="81"/>
            <rFont val="Tahoma"/>
            <family val="2"/>
          </rPr>
          <t>1 techno guide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14" authorId="0" shapeId="0" xr:uid="{196D37F9-93BC-4AB6-BEEF-871E689332CA}">
      <text>
        <r>
          <rPr>
            <b/>
            <sz val="9"/>
            <color indexed="81"/>
            <rFont val="Tahoma"/>
            <family val="2"/>
          </rPr>
          <t>1 techno guide
and technical assistance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2" authorId="0" shapeId="0" xr:uid="{DEF3130B-BB57-4420-BE14-D24DFE2DBFBF}">
      <text>
        <r>
          <rPr>
            <b/>
            <sz val="9"/>
            <color indexed="81"/>
            <rFont val="Tahoma"/>
            <family val="2"/>
          </rPr>
          <t xml:space="preserve">1 techno guide and technical assistance
</t>
        </r>
      </text>
    </comment>
    <comment ref="H145" authorId="0" shapeId="0" xr:uid="{3D862064-5FC0-484A-95F5-927EF2DF368C}">
      <text>
        <r>
          <rPr>
            <b/>
            <sz val="9"/>
            <color indexed="81"/>
            <rFont val="Tahoma"/>
            <family val="2"/>
          </rPr>
          <t>700 Female
250 Male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2" authorId="0" shapeId="0" xr:uid="{D99F6C45-7E2A-4C08-8EDB-7F209E4E7CBE}">
      <text>
        <r>
          <rPr>
            <b/>
            <sz val="9"/>
            <color indexed="81"/>
            <rFont val="Tahoma"/>
            <family val="2"/>
          </rPr>
          <t>850 Female
350 Male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" authorId="0" shapeId="0" xr:uid="{2C3038DF-AF3E-482A-B0EF-68174210F95C}">
      <text>
        <r>
          <rPr>
            <b/>
            <sz val="9"/>
            <color indexed="81"/>
            <rFont val="Tahoma"/>
            <family val="2"/>
          </rPr>
          <t>2000 - IE 2016 A
2000 - IE 2016 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6" authorId="0" shapeId="0" xr:uid="{355E72F3-901B-48C9-9218-7C1F5BE9D385}">
      <text>
        <r>
          <rPr>
            <b/>
            <sz val="9"/>
            <color indexed="81"/>
            <rFont val="Tahoma"/>
            <family val="2"/>
          </rPr>
          <t>300 Female
100 Male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04" authorId="0" shapeId="0" xr:uid="{2C6926DF-E77C-47A8-8E9A-FA75B0226C2C}">
      <text>
        <r>
          <rPr>
            <b/>
            <sz val="9"/>
            <color indexed="81"/>
            <rFont val="Tahoma"/>
            <family val="2"/>
          </rPr>
          <t>Male: 100
Female: 300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2" authorId="0" shapeId="0" xr:uid="{B20CB780-4A42-4666-A103-5C04F8E1C499}">
      <text>
        <r>
          <rPr>
            <b/>
            <sz val="9"/>
            <color indexed="81"/>
            <rFont val="Tahoma"/>
            <family val="2"/>
          </rPr>
          <t>850 Female
350 Male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" authorId="0" shapeId="0" xr:uid="{90459B7A-71D4-4E08-80E3-B0D08FBF1B35}">
      <text>
        <r>
          <rPr>
            <b/>
            <sz val="9"/>
            <color indexed="81"/>
            <rFont val="Tahoma"/>
            <family val="2"/>
          </rPr>
          <t>2000 - IE 2016 A
2000 - IE 2016 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6" authorId="0" shapeId="0" xr:uid="{6B7E2DD6-9327-4D74-BF0D-DB96EA4CFF9F}">
      <text>
        <r>
          <rPr>
            <b/>
            <sz val="9"/>
            <color indexed="81"/>
            <rFont val="Tahoma"/>
            <family val="2"/>
          </rPr>
          <t>300 Female
100 Male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85" authorId="0" shapeId="0" xr:uid="{B5E5D271-BAEE-40DF-8CE7-A23184EAC765}">
      <text>
        <r>
          <rPr>
            <b/>
            <sz val="9"/>
            <color indexed="81"/>
            <rFont val="Tahoma"/>
            <family val="2"/>
          </rPr>
          <t>Red Tilapia :</t>
        </r>
        <r>
          <rPr>
            <sz val="9"/>
            <color indexed="81"/>
            <rFont val="Tahoma"/>
            <family val="2"/>
          </rPr>
          <t xml:space="preserve">
5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2" authorId="0" shapeId="0" xr:uid="{4389FCE2-1A9E-4F51-9964-E69493D27045}">
      <text>
        <r>
          <rPr>
            <b/>
            <sz val="9"/>
            <color indexed="81"/>
            <rFont val="Tahoma"/>
            <family val="2"/>
          </rPr>
          <t>850 Female
350 Male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" authorId="0" shapeId="0" xr:uid="{E07B9D6E-E3C1-4EB7-8A13-ABA9883A4AAA}">
      <text>
        <r>
          <rPr>
            <b/>
            <sz val="9"/>
            <color indexed="81"/>
            <rFont val="Tahoma"/>
            <family val="2"/>
          </rPr>
          <t>2000 - IE 2016 A
2000 - IE 2016 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6" authorId="0" shapeId="0" xr:uid="{D8F59EB7-CD0D-47D9-936D-EE9972292D5D}">
      <text>
        <r>
          <rPr>
            <b/>
            <sz val="9"/>
            <color indexed="81"/>
            <rFont val="Tahoma"/>
            <family val="2"/>
          </rPr>
          <t>300 Female
100 Male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29" authorId="0" shapeId="0" xr:uid="{155EA2FB-C3BA-4D9D-B09C-EAF574248BE3}">
      <text>
        <r>
          <rPr>
            <b/>
            <sz val="9"/>
            <color indexed="81"/>
            <rFont val="Tahoma"/>
            <family val="2"/>
          </rPr>
          <t>Red Tilapia 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3" authorId="0" shapeId="0" xr:uid="{A800F6DC-0D3B-49AD-AB11-B4E14152D9D3}">
      <text>
        <r>
          <rPr>
            <b/>
            <sz val="9"/>
            <color indexed="81"/>
            <rFont val="Tahoma"/>
            <family val="2"/>
          </rPr>
          <t>Breeders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66" authorId="0" shapeId="0" xr:uid="{5498AE37-F603-4429-82C9-01823D2EA051}">
      <text>
        <r>
          <rPr>
            <b/>
            <sz val="9"/>
            <color indexed="81"/>
            <rFont val="Tahoma"/>
            <family val="2"/>
          </rPr>
          <t>Red Tilapia : 1,920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208" authorId="0" shapeId="0" xr:uid="{3EDE4AEF-C2B2-4360-9F6F-38A121BE7A94}">
      <text>
        <r>
          <rPr>
            <b/>
            <sz val="9"/>
            <color indexed="81"/>
            <rFont val="Tahoma"/>
            <family val="2"/>
          </rPr>
          <t>Red Tilapia : 12,550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" authorId="0" shapeId="0" xr:uid="{00000000-0006-0000-0400-000002000000}">
      <text>
        <r>
          <rPr>
            <sz val="9"/>
            <color indexed="81"/>
            <rFont val="Tahoma"/>
            <family val="2"/>
          </rPr>
          <t xml:space="preserve">sourced from LDFFF thru PFO Bohol. Not included in CFFF production record.
</t>
        </r>
      </text>
    </comment>
    <comment ref="B1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sourced from LDFFF thru PFO Bohol. Not included in CFFF production record.
</t>
        </r>
      </text>
    </comment>
    <comment ref="B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Beneficiary of LGU Danao</t>
        </r>
      </text>
    </comment>
    <comment ref="H15" authorId="0" shapeId="0" xr:uid="{00000000-0006-0000-0400-000007000000}">
      <text>
        <r>
          <rPr>
            <sz val="9"/>
            <color indexed="81"/>
            <rFont val="Tahoma"/>
            <family val="2"/>
          </rPr>
          <t xml:space="preserve">sourced from LDFFF thru PFO Bohol. Not included in CFFF production record.
</t>
        </r>
      </text>
    </comment>
    <comment ref="B16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7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7" authorId="0" shapeId="0" xr:uid="{00000000-0006-0000-0400-00000A000000}">
      <text>
        <r>
          <rPr>
            <sz val="9"/>
            <color indexed="81"/>
            <rFont val="Tahoma"/>
            <family val="2"/>
          </rPr>
          <t>sourced from LDFFF thru PFO Bohol. Not included in CFFF production record.</t>
        </r>
      </text>
    </comment>
    <comment ref="B18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8" authorId="0" shapeId="0" xr:uid="{00000000-0006-0000-0400-00000C000000}">
      <text>
        <r>
          <rPr>
            <sz val="9"/>
            <color indexed="81"/>
            <rFont val="Tahoma"/>
            <family val="2"/>
          </rPr>
          <t xml:space="preserve">sourced from LDFFF thru PFO Bohol. Not included in CFFF production record.
</t>
        </r>
      </text>
    </comment>
    <comment ref="B19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" authorId="0" shapeId="0" xr:uid="{00000000-0006-0000-0400-00000E000000}">
      <text>
        <r>
          <rPr>
            <sz val="9"/>
            <color indexed="81"/>
            <rFont val="Tahoma"/>
            <family val="2"/>
          </rPr>
          <t xml:space="preserve">sourced from LDFFF thru PFO Bohol. Not included in CFFF production record.
</t>
        </r>
      </text>
    </comment>
    <comment ref="B20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" authorId="0" shapeId="0" xr:uid="{00000000-0006-0000-0400-000010000000}">
      <text>
        <r>
          <rPr>
            <sz val="9"/>
            <color indexed="81"/>
            <rFont val="Tahoma"/>
            <family val="2"/>
          </rPr>
          <t xml:space="preserve">sourced from LDFFF thru PFO Bohol. Not included in CFFF production record.
</t>
        </r>
      </text>
    </comment>
    <comment ref="B21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1" authorId="0" shapeId="0" xr:uid="{00000000-0006-0000-0400-000012000000}">
      <text>
        <r>
          <rPr>
            <sz val="9"/>
            <color indexed="81"/>
            <rFont val="Tahoma"/>
            <family val="2"/>
          </rPr>
          <t xml:space="preserve">sourced from LDFFF thru PFO Bohol. Not included in CFFF production record.
</t>
        </r>
      </text>
    </comment>
    <comment ref="B43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Beneficiary of LGU Danao</t>
        </r>
      </text>
    </comment>
    <comment ref="H43" authorId="0" shapeId="0" xr:uid="{00000000-0006-0000-0400-000014000000}">
      <text>
        <r>
          <rPr>
            <sz val="9"/>
            <color indexed="81"/>
            <rFont val="Tahoma"/>
            <family val="2"/>
          </rPr>
          <t xml:space="preserve">sourced from LDFFF thru PFO Bohol. Not included in CFFF production record.
</t>
        </r>
      </text>
    </comment>
    <comment ref="B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4" authorId="0" shapeId="0" xr:uid="{00000000-0006-0000-0400-000016000000}">
      <text>
        <r>
          <rPr>
            <sz val="9"/>
            <color indexed="81"/>
            <rFont val="Tahoma"/>
            <family val="2"/>
          </rPr>
          <t xml:space="preserve">sourced from LDFFF thru PFO Bohol. Not included in CFFF production record.
</t>
        </r>
      </text>
    </comment>
    <comment ref="B95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95" authorId="0" shapeId="0" xr:uid="{00000000-0006-0000-0400-000018000000}">
      <text>
        <r>
          <rPr>
            <sz val="9"/>
            <color indexed="81"/>
            <rFont val="Tahoma"/>
            <family val="2"/>
          </rPr>
          <t xml:space="preserve">sourced from LDFFF thru PFO Bohol. Not included in CFFF production record.
</t>
        </r>
      </text>
    </comment>
    <comment ref="B104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4" authorId="0" shapeId="0" xr:uid="{00000000-0006-0000-0400-00001A000000}">
      <text>
        <r>
          <rPr>
            <sz val="9"/>
            <color indexed="81"/>
            <rFont val="Tahoma"/>
            <family val="2"/>
          </rPr>
          <t xml:space="preserve">sourced from LDFFF thru PFO Bohol. Not included in CFFF production record.
</t>
        </r>
      </text>
    </comment>
    <comment ref="B133" authorId="0" shapeId="0" xr:uid="{ECEF5F20-48D5-45E3-8A22-FE70025E989F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4" authorId="0" shapeId="0" xr:uid="{7B7359FD-CB00-472D-B0B3-8CC119191D81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08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Red Tilapia : 3,000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2" authorId="0" shapeId="0" xr:uid="{00000000-0006-0000-0500-000001000000}">
      <text>
        <r>
          <rPr>
            <sz val="9"/>
            <color indexed="81"/>
            <rFont val="Tahoma"/>
            <family val="2"/>
          </rPr>
          <t xml:space="preserve">sourced from LDFFF thru PFO-Bohol. Not included in CFFF prodution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00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1,500 IE 2016 A
1,500 IE 2016 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2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Red Tilapia : 7050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22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 xml:space="preserve">1,500 IE 2016 A
1,500 IE 2016 B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3" authorId="0" shapeId="0" xr:uid="{00000000-0006-0000-0700-000001000000}">
      <text>
        <r>
          <rPr>
            <sz val="9"/>
            <color indexed="81"/>
            <rFont val="Tahoma"/>
            <family val="2"/>
          </rPr>
          <t xml:space="preserve">sourced from LDFFF thru PFO-Bohol. Not included in CFFF prodution
</t>
        </r>
      </text>
    </comment>
    <comment ref="I16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sourced from LDFF thru PFO-Bohol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07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Red Tilapia : 15,300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Beneficiary of LGU Danao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7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20%
</t>
        </r>
      </text>
    </comment>
  </commentList>
</comments>
</file>

<file path=xl/sharedStrings.xml><?xml version="1.0" encoding="utf-8"?>
<sst xmlns="http://schemas.openxmlformats.org/spreadsheetml/2006/main" count="14463" uniqueCount="2909">
  <si>
    <t xml:space="preserve">                      FORMAT LIST OF ACTUAL BENEFICIARIES</t>
  </si>
  <si>
    <t xml:space="preserve">                                Types of Goods/Services Received</t>
  </si>
  <si>
    <t>DATE OF IMPLEMENTATION</t>
  </si>
  <si>
    <t>NAME OF BENEFICIARIES</t>
  </si>
  <si>
    <t>GENDER</t>
  </si>
  <si>
    <t>BARANGAY</t>
  </si>
  <si>
    <t>MUNICIPALITY</t>
  </si>
  <si>
    <t xml:space="preserve">Contact No./Email </t>
  </si>
  <si>
    <t xml:space="preserve">QUANTITY </t>
  </si>
  <si>
    <t>COST('000)</t>
  </si>
  <si>
    <t>Address(if any)</t>
  </si>
  <si>
    <t>Type/Species</t>
  </si>
  <si>
    <t>RECEIVED</t>
  </si>
  <si>
    <t>TYPE</t>
  </si>
  <si>
    <t>SATISFIED/</t>
  </si>
  <si>
    <t>(Unit/kg/pcs.)</t>
  </si>
  <si>
    <t>NOT SATISFIED</t>
  </si>
  <si>
    <t>DATE</t>
  </si>
  <si>
    <t>Total</t>
  </si>
  <si>
    <t>SUMMARY:</t>
  </si>
  <si>
    <t>Prepared and Submitted by:</t>
  </si>
  <si>
    <t>Noted by:</t>
  </si>
  <si>
    <t>MARIO N. RUINATA, Ph. D.</t>
  </si>
  <si>
    <t>Total area (sq.m)</t>
  </si>
  <si>
    <t>NUMBER</t>
  </si>
  <si>
    <t>Contact</t>
  </si>
  <si>
    <t>Name of</t>
  </si>
  <si>
    <t>Types of Goods/Services Received</t>
  </si>
  <si>
    <t>NAME OF LGU/ASSOCIATION</t>
  </si>
  <si>
    <t>OF</t>
  </si>
  <si>
    <t>No./Email</t>
  </si>
  <si>
    <t>Representatives</t>
  </si>
  <si>
    <t>MEMBERS</t>
  </si>
  <si>
    <t>Address (if</t>
  </si>
  <si>
    <t>who received</t>
  </si>
  <si>
    <t>any)</t>
  </si>
  <si>
    <t>(Unit/kg/pcs.</t>
  </si>
  <si>
    <r>
      <t>Male:</t>
    </r>
    <r>
      <rPr>
        <u/>
        <sz val="10"/>
        <rFont val="Arial"/>
        <family val="2"/>
      </rPr>
      <t xml:space="preserve">  </t>
    </r>
  </si>
  <si>
    <r>
      <t>Female:</t>
    </r>
    <r>
      <rPr>
        <u/>
        <sz val="10"/>
        <rFont val="Arial"/>
        <family val="2"/>
      </rPr>
      <t xml:space="preserve">  </t>
    </r>
  </si>
  <si>
    <r>
      <t>Others:(S.C./PWD)</t>
    </r>
    <r>
      <rPr>
        <u/>
        <sz val="10"/>
        <rFont val="Arial"/>
        <family val="2"/>
      </rPr>
      <t xml:space="preserve"> </t>
    </r>
  </si>
  <si>
    <t>Male</t>
  </si>
  <si>
    <t>Anda</t>
  </si>
  <si>
    <t>Excel</t>
  </si>
  <si>
    <t>satisfied</t>
  </si>
  <si>
    <t>Carmen</t>
  </si>
  <si>
    <t>Clarin</t>
  </si>
  <si>
    <t>Bilar</t>
  </si>
  <si>
    <t>Danao</t>
  </si>
  <si>
    <t>Female</t>
  </si>
  <si>
    <t>Batuan</t>
  </si>
  <si>
    <t>Inabanga</t>
  </si>
  <si>
    <t>Calape</t>
  </si>
  <si>
    <t>Catigbian</t>
  </si>
  <si>
    <t>Trinidad</t>
  </si>
  <si>
    <t>Bien Unido</t>
  </si>
  <si>
    <t>Loboc</t>
  </si>
  <si>
    <t>Talibon</t>
  </si>
  <si>
    <t>Sagbayan</t>
  </si>
  <si>
    <t>Balilihan</t>
  </si>
  <si>
    <t>Tubigon</t>
  </si>
  <si>
    <t>Dagohoy</t>
  </si>
  <si>
    <t>Buenavista</t>
  </si>
  <si>
    <t>Ubay</t>
  </si>
  <si>
    <t>San Isidro</t>
  </si>
  <si>
    <t>Sierra Bullones</t>
  </si>
  <si>
    <t>Tagbilaran City</t>
  </si>
  <si>
    <t>Alicia</t>
  </si>
  <si>
    <t>San Miguel</t>
  </si>
  <si>
    <t>Sikatuna</t>
  </si>
  <si>
    <t>Valencia</t>
  </si>
  <si>
    <t>Loon</t>
  </si>
  <si>
    <t>Candijay</t>
  </si>
  <si>
    <t>Pilar</t>
  </si>
  <si>
    <t>Corella</t>
  </si>
  <si>
    <t>Dauis</t>
  </si>
  <si>
    <t>Getafe</t>
  </si>
  <si>
    <t>Nueva Fuerza</t>
  </si>
  <si>
    <t>Cortes</t>
  </si>
  <si>
    <t>Maribojoc</t>
  </si>
  <si>
    <t>Guindulman</t>
  </si>
  <si>
    <t>Jagna</t>
  </si>
  <si>
    <t>Lila</t>
  </si>
  <si>
    <t>Loay</t>
  </si>
  <si>
    <t>Antequera</t>
  </si>
  <si>
    <t>Sevilla</t>
  </si>
  <si>
    <t>Garcia Hernandez</t>
  </si>
  <si>
    <t>Baclayon</t>
  </si>
  <si>
    <t>Panglao</t>
  </si>
  <si>
    <t>Duero</t>
  </si>
  <si>
    <t>Alburquerque</t>
  </si>
  <si>
    <t>Mabini</t>
  </si>
  <si>
    <r>
      <t xml:space="preserve">  Brackishwater:</t>
    </r>
    <r>
      <rPr>
        <u/>
        <sz val="9"/>
        <rFont val="Arial"/>
        <family val="2"/>
      </rPr>
      <t xml:space="preserve"> </t>
    </r>
  </si>
  <si>
    <t>Dimiao</t>
  </si>
  <si>
    <t xml:space="preserve">Male: </t>
  </si>
  <si>
    <t>President Garcia</t>
  </si>
  <si>
    <t>Female:</t>
  </si>
  <si>
    <t>Dispersed</t>
  </si>
  <si>
    <t>Sold</t>
  </si>
  <si>
    <t>ULANG</t>
  </si>
  <si>
    <t>TILAPIA</t>
  </si>
  <si>
    <t>TOTAL</t>
  </si>
  <si>
    <t>ORNAMENTAL</t>
  </si>
  <si>
    <t>Date</t>
  </si>
  <si>
    <t>JANUARY</t>
  </si>
  <si>
    <t>FEBRUARY</t>
  </si>
  <si>
    <t>MARCH</t>
  </si>
  <si>
    <t>APRIL</t>
  </si>
  <si>
    <t>MAY</t>
  </si>
  <si>
    <t>JUNE</t>
  </si>
  <si>
    <t>HITO</t>
  </si>
  <si>
    <t>TOTAL Produced</t>
  </si>
  <si>
    <t>Freshwater:</t>
  </si>
  <si>
    <t xml:space="preserve">Brackishwater: </t>
  </si>
  <si>
    <t xml:space="preserve">Freshwater Prawn: </t>
  </si>
  <si>
    <t xml:space="preserve">Direct Client: </t>
  </si>
  <si>
    <t xml:space="preserve">Coordinating Office: </t>
  </si>
  <si>
    <t xml:space="preserve">C. Carp: </t>
  </si>
  <si>
    <t xml:space="preserve">Ornamental Fish: </t>
  </si>
  <si>
    <r>
      <t>Ornamental Fish:</t>
    </r>
    <r>
      <rPr>
        <u/>
        <sz val="9"/>
        <rFont val="Arial"/>
        <family val="2"/>
      </rPr>
      <t xml:space="preserve"> </t>
    </r>
  </si>
  <si>
    <t>Catfish</t>
  </si>
  <si>
    <t>Freshwater Prawn:</t>
  </si>
  <si>
    <t xml:space="preserve">  Freshwater:</t>
  </si>
  <si>
    <t>a. Groups</t>
  </si>
  <si>
    <t>a. Individuals</t>
  </si>
  <si>
    <t>CFFF, Clarin</t>
  </si>
  <si>
    <t>LDFF, Camotes</t>
  </si>
  <si>
    <r>
      <t>1</t>
    </r>
    <r>
      <rPr>
        <b/>
        <vertAlign val="superscript"/>
        <sz val="13"/>
        <color theme="1"/>
        <rFont val="Calibri"/>
        <family val="2"/>
        <scheme val="minor"/>
      </rPr>
      <t>st</t>
    </r>
    <r>
      <rPr>
        <b/>
        <sz val="13"/>
        <color theme="1"/>
        <rFont val="Calibri"/>
        <family val="2"/>
        <scheme val="minor"/>
      </rPr>
      <t xml:space="preserve"> DISTRICT</t>
    </r>
  </si>
  <si>
    <r>
      <t>2</t>
    </r>
    <r>
      <rPr>
        <b/>
        <vertAlign val="superscript"/>
        <sz val="13"/>
        <color theme="1"/>
        <rFont val="Calibri"/>
        <family val="2"/>
        <scheme val="minor"/>
      </rPr>
      <t>nd</t>
    </r>
    <r>
      <rPr>
        <b/>
        <sz val="13"/>
        <color theme="1"/>
        <rFont val="Calibri"/>
        <family val="2"/>
        <scheme val="minor"/>
      </rPr>
      <t xml:space="preserve"> DISTRICT</t>
    </r>
  </si>
  <si>
    <r>
      <t>3</t>
    </r>
    <r>
      <rPr>
        <b/>
        <vertAlign val="superscript"/>
        <sz val="13"/>
        <color theme="1"/>
        <rFont val="Calibri"/>
        <family val="2"/>
        <scheme val="minor"/>
      </rPr>
      <t>rd</t>
    </r>
    <r>
      <rPr>
        <b/>
        <sz val="13"/>
        <color theme="1"/>
        <rFont val="Calibri"/>
        <family val="2"/>
        <scheme val="minor"/>
      </rPr>
      <t xml:space="preserve"> DISTRICT</t>
    </r>
  </si>
  <si>
    <t>DISTRIBUTED</t>
  </si>
  <si>
    <t>PRODUCED</t>
  </si>
  <si>
    <t>JULY</t>
  </si>
  <si>
    <t>AUGUST</t>
  </si>
  <si>
    <t>SEPTEMBER</t>
  </si>
  <si>
    <t>OCTOBER</t>
  </si>
  <si>
    <t>NOVEMBER</t>
  </si>
  <si>
    <t>DECEMBER</t>
  </si>
  <si>
    <t>UBFF - Ubay</t>
  </si>
  <si>
    <t>COMMON CARP</t>
  </si>
  <si>
    <t>% Accomp</t>
  </si>
  <si>
    <t>MONTH</t>
  </si>
  <si>
    <t>Bacani</t>
  </si>
  <si>
    <t>Dagnawan</t>
  </si>
  <si>
    <t>Cabog</t>
  </si>
  <si>
    <t>Poblacion</t>
  </si>
  <si>
    <t>San Jose</t>
  </si>
  <si>
    <t>Canmaya Centro</t>
  </si>
  <si>
    <t>TILAPIA BREEDERS</t>
  </si>
  <si>
    <t>BREEDERS</t>
  </si>
  <si>
    <t>Can-oling</t>
  </si>
  <si>
    <t>La Union</t>
  </si>
  <si>
    <t>Triple Union</t>
  </si>
  <si>
    <t>Bagtic</t>
  </si>
  <si>
    <t>Langtad</t>
  </si>
  <si>
    <t>Sub.TOTAL</t>
  </si>
  <si>
    <t>Aloja</t>
  </si>
  <si>
    <t>Bicao</t>
  </si>
  <si>
    <t>Cambitoon</t>
  </si>
  <si>
    <t>Sagbayan Sur</t>
  </si>
  <si>
    <t>Liboron</t>
  </si>
  <si>
    <t>Vallehermoso</t>
  </si>
  <si>
    <t>Marvin Batolanon</t>
  </si>
  <si>
    <t>Koi carp</t>
  </si>
  <si>
    <t>Hito</t>
  </si>
  <si>
    <t>09098520338</t>
  </si>
  <si>
    <t>Tilapia</t>
  </si>
  <si>
    <t>SOLD</t>
  </si>
  <si>
    <t>DISPERSED</t>
  </si>
  <si>
    <t>TOTAL PRODUCED</t>
  </si>
  <si>
    <t>TOTAL DISTRIBUTED</t>
  </si>
  <si>
    <t>YEAR</t>
  </si>
  <si>
    <t>TOTAL DISTRIBUTION</t>
  </si>
  <si>
    <t>TOTAL PRODUCTION</t>
  </si>
  <si>
    <t>CFFF SUMMARY OF PRODUCTION</t>
  </si>
  <si>
    <t>2019</t>
  </si>
  <si>
    <t>2020</t>
  </si>
  <si>
    <t>2021</t>
  </si>
  <si>
    <t>TOTAL NO. OF CLIENTS</t>
  </si>
  <si>
    <t xml:space="preserve">Buenavista </t>
  </si>
  <si>
    <t xml:space="preserve">pond </t>
  </si>
  <si>
    <t>Common carp</t>
  </si>
  <si>
    <t>PEDRO R. MILANA JR.</t>
  </si>
  <si>
    <t>OIC-Center Chief</t>
  </si>
  <si>
    <t>Center Chief</t>
  </si>
  <si>
    <t>Tilapia:</t>
  </si>
  <si>
    <t>OIC-FPSSD</t>
  </si>
  <si>
    <t>09813892082</t>
  </si>
  <si>
    <t>Red Tilapia</t>
  </si>
  <si>
    <t>2022</t>
  </si>
  <si>
    <t>2023</t>
  </si>
  <si>
    <t>2023 CFFF PRODUCTION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</si>
  <si>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</si>
  <si>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</si>
  <si>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</si>
  <si>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</si>
  <si>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</si>
  <si>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</si>
  <si>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</si>
  <si>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 2023</t>
  </si>
  <si>
    <t>SEPT 2023</t>
  </si>
  <si>
    <t>OCT 2023</t>
  </si>
  <si>
    <t>NOV 2023</t>
  </si>
  <si>
    <t>DEC 2023</t>
  </si>
  <si>
    <t>January 2023</t>
  </si>
  <si>
    <t>Arnel Tocmo</t>
  </si>
  <si>
    <t>09304969059</t>
  </si>
  <si>
    <t>Susan Valmoria</t>
  </si>
  <si>
    <t>09670134149</t>
  </si>
  <si>
    <t>Nomeria Artesa</t>
  </si>
  <si>
    <t>Aurora Cuyno</t>
  </si>
  <si>
    <t>09363886221</t>
  </si>
  <si>
    <t>Zoraida Rulona</t>
  </si>
  <si>
    <t>Lemuel Travero</t>
  </si>
  <si>
    <t>09360265939</t>
  </si>
  <si>
    <t>Pablito Liposana</t>
  </si>
  <si>
    <t>09508831476</t>
  </si>
  <si>
    <t>Reynaldo Mante</t>
  </si>
  <si>
    <t>Manda-ug</t>
  </si>
  <si>
    <t>Josoah Agad</t>
  </si>
  <si>
    <t>09667808206</t>
  </si>
  <si>
    <t>Honorato Frajele</t>
  </si>
  <si>
    <t>09481471369</t>
  </si>
  <si>
    <t>Dindo Degamo</t>
  </si>
  <si>
    <t>09079040896</t>
  </si>
  <si>
    <t>09092428915</t>
  </si>
  <si>
    <t>Mark Rapha Puada</t>
  </si>
  <si>
    <t>Dodong Salitrero</t>
  </si>
  <si>
    <t>09389424144</t>
  </si>
  <si>
    <t>Junlee Tirol</t>
  </si>
  <si>
    <t>09557526079</t>
  </si>
  <si>
    <t>Roel Lamoste</t>
  </si>
  <si>
    <t>Democrito Manlangit</t>
  </si>
  <si>
    <t>09676921210</t>
  </si>
  <si>
    <t>Tito Ubas</t>
  </si>
  <si>
    <t>09092218204</t>
  </si>
  <si>
    <t>Nelson Abaniel</t>
  </si>
  <si>
    <t>09451194628</t>
  </si>
  <si>
    <t>Paolo Melijor</t>
  </si>
  <si>
    <t xml:space="preserve">Bayongan </t>
  </si>
  <si>
    <t>Terio Camenade</t>
  </si>
  <si>
    <t>09812798610</t>
  </si>
  <si>
    <t>Angelito Boaguin</t>
  </si>
  <si>
    <t>Roy Balaba</t>
  </si>
  <si>
    <t>09097857938</t>
  </si>
  <si>
    <t>Guillerma Dico</t>
  </si>
  <si>
    <t>095113214771</t>
  </si>
  <si>
    <t>Armando Iyana</t>
  </si>
  <si>
    <t>09708019429</t>
  </si>
  <si>
    <t>Berbardo Tuba</t>
  </si>
  <si>
    <t>09480219712</t>
  </si>
  <si>
    <t>Marife Basillote</t>
  </si>
  <si>
    <t>09269239395</t>
  </si>
  <si>
    <t xml:space="preserve"> </t>
  </si>
  <si>
    <t>Jan. 4-5</t>
  </si>
  <si>
    <t>ORNAMENTAL (koi)</t>
  </si>
  <si>
    <t>dispersal</t>
  </si>
  <si>
    <t>Juvelene Sicong</t>
  </si>
  <si>
    <t>Canangcaan</t>
  </si>
  <si>
    <t>Marisa Caño</t>
  </si>
  <si>
    <t>Joel Sojon</t>
  </si>
  <si>
    <t>Garcia</t>
  </si>
  <si>
    <t>09518992255</t>
  </si>
  <si>
    <t>Edu Nuez</t>
  </si>
  <si>
    <t>Bongbong</t>
  </si>
  <si>
    <t>09972160377</t>
  </si>
  <si>
    <t>Lesthel Tiongco</t>
  </si>
  <si>
    <t>San Juan</t>
  </si>
  <si>
    <t>09776488297</t>
  </si>
  <si>
    <t>Esteban Iba-oc</t>
  </si>
  <si>
    <t>Guinobatan</t>
  </si>
  <si>
    <t>09498651590</t>
  </si>
  <si>
    <t>Rosario Cuaco</t>
  </si>
  <si>
    <t>Poblacion Norte</t>
  </si>
  <si>
    <t>09359774827</t>
  </si>
  <si>
    <t>Domingo Ubas</t>
  </si>
  <si>
    <t>09515176149</t>
  </si>
  <si>
    <t>Nelson Amodia</t>
  </si>
  <si>
    <t>09508839444</t>
  </si>
  <si>
    <t>Archie Dagwayan</t>
  </si>
  <si>
    <t>Las Salinas</t>
  </si>
  <si>
    <t>09488833743</t>
  </si>
  <si>
    <t>Elmer Pongase</t>
  </si>
  <si>
    <t>Amboan</t>
  </si>
  <si>
    <t>09352176570</t>
  </si>
  <si>
    <t>Eufemio Paderog Jr.</t>
  </si>
  <si>
    <t>Tambuan</t>
  </si>
  <si>
    <t>09634888318</t>
  </si>
  <si>
    <t>Judel Manlangit</t>
  </si>
  <si>
    <t xml:space="preserve">Poblacion </t>
  </si>
  <si>
    <t>09122767114</t>
  </si>
  <si>
    <t>John Zirem Diaz</t>
  </si>
  <si>
    <t>Tonturan</t>
  </si>
  <si>
    <t>09099690024</t>
  </si>
  <si>
    <t>Lino Tuasoc</t>
  </si>
  <si>
    <t>Baang</t>
  </si>
  <si>
    <t>09950144202</t>
  </si>
  <si>
    <t>Ronald Visto</t>
  </si>
  <si>
    <t>Campagao</t>
  </si>
  <si>
    <t>Japhit Bongato</t>
  </si>
  <si>
    <t>Villaflor</t>
  </si>
  <si>
    <t>09702219481</t>
  </si>
  <si>
    <t>Allan Cabrera</t>
  </si>
  <si>
    <t>Calangahan</t>
  </si>
  <si>
    <t>Wenceslao Mendez</t>
  </si>
  <si>
    <t>CPG East</t>
  </si>
  <si>
    <t>Jan. 6-11</t>
  </si>
  <si>
    <t>Jan. 12</t>
  </si>
  <si>
    <t>Gamelba Niones</t>
  </si>
  <si>
    <t>Pandan</t>
  </si>
  <si>
    <t>09636920364</t>
  </si>
  <si>
    <t>LGU-Guindulman, Bohol</t>
  </si>
  <si>
    <t>Geoffrey Gulay</t>
  </si>
  <si>
    <t>Lito Dela Torre</t>
  </si>
  <si>
    <t>Sto. Rosario</t>
  </si>
  <si>
    <t>Roselyn Poquita</t>
  </si>
  <si>
    <t>Lajog</t>
  </si>
  <si>
    <t>095176965693</t>
  </si>
  <si>
    <t>Maylinda Ynoy</t>
  </si>
  <si>
    <t xml:space="preserve">Katipunan </t>
  </si>
  <si>
    <t>Romulo Buhayang</t>
  </si>
  <si>
    <t>Ilihan Sur</t>
  </si>
  <si>
    <t>Jess Dominise</t>
  </si>
  <si>
    <t>Laboon</t>
  </si>
  <si>
    <t>09467142424</t>
  </si>
  <si>
    <t>Nomie Valmoria</t>
  </si>
  <si>
    <t xml:space="preserve">San Jose </t>
  </si>
  <si>
    <t>09616917037</t>
  </si>
  <si>
    <t>Boyet Abella</t>
  </si>
  <si>
    <t>Cantamogkad</t>
  </si>
  <si>
    <t>09104806408</t>
  </si>
  <si>
    <t>Albert Calamba</t>
  </si>
  <si>
    <t>09306741318</t>
  </si>
  <si>
    <t>Jimmy Layao</t>
  </si>
  <si>
    <t>Cantolimbo</t>
  </si>
  <si>
    <t>09518710746</t>
  </si>
  <si>
    <t>Ernesto Niñeja</t>
  </si>
  <si>
    <t xml:space="preserve">Ilaya </t>
  </si>
  <si>
    <t>09169375233</t>
  </si>
  <si>
    <t>Saturnino Edo Jr.</t>
  </si>
  <si>
    <t>Pamaksalan</t>
  </si>
  <si>
    <t>09056557086</t>
  </si>
  <si>
    <t>Pablito Estilloro</t>
  </si>
  <si>
    <t>Magtangtang</t>
  </si>
  <si>
    <t>09317927911</t>
  </si>
  <si>
    <t>Trifon Sendrijas</t>
  </si>
  <si>
    <t>09198478390</t>
  </si>
  <si>
    <t>Alfredo Añana</t>
  </si>
  <si>
    <t>09129496402</t>
  </si>
  <si>
    <t>Donasiano Logronio</t>
  </si>
  <si>
    <t>Jan. 17-24</t>
  </si>
  <si>
    <t>PFO-Cebu</t>
  </si>
  <si>
    <t>Aldrin Vargas</t>
  </si>
  <si>
    <t xml:space="preserve">Hito </t>
  </si>
  <si>
    <t>Panfilo Pabonita</t>
  </si>
  <si>
    <t>Joel Algudon</t>
  </si>
  <si>
    <t>09507947728</t>
  </si>
  <si>
    <t>Fidel Fabia</t>
  </si>
  <si>
    <t xml:space="preserve">Cogon </t>
  </si>
  <si>
    <t>09338508474</t>
  </si>
  <si>
    <t>Jerome Elecito</t>
  </si>
  <si>
    <t>Ricardo Ngujo</t>
  </si>
  <si>
    <t>09108543499</t>
  </si>
  <si>
    <t>Nestor Lumad</t>
  </si>
  <si>
    <t>Del Pilar</t>
  </si>
  <si>
    <t>09355626703</t>
  </si>
  <si>
    <t>Mark Marabiles</t>
  </si>
  <si>
    <t>Canmaya Diot</t>
  </si>
  <si>
    <t>09758395782</t>
  </si>
  <si>
    <t>Jhun Luzon</t>
  </si>
  <si>
    <t>Hagbuaya</t>
  </si>
  <si>
    <t>09816640693</t>
  </si>
  <si>
    <t>Ian Lanet</t>
  </si>
  <si>
    <t>Calatrava</t>
  </si>
  <si>
    <t>09959218161</t>
  </si>
  <si>
    <t>Jan. 25</t>
  </si>
  <si>
    <t>LGU-Sikatuna, Bohol</t>
  </si>
  <si>
    <t>Abegail Sentorias</t>
  </si>
  <si>
    <t>Helen Torrejos</t>
  </si>
  <si>
    <t>Victoria</t>
  </si>
  <si>
    <t>John Gimpatan</t>
  </si>
  <si>
    <t>Caluwasan</t>
  </si>
  <si>
    <t>LGU-Garcia Hernandez</t>
  </si>
  <si>
    <t>Mary Ann Abucejo</t>
  </si>
  <si>
    <r>
      <t>Others:(S.C./PWD):</t>
    </r>
    <r>
      <rPr>
        <b/>
        <u/>
        <sz val="10"/>
        <color rgb="FFFF0000"/>
        <rFont val="Arial"/>
        <family val="2"/>
      </rPr>
      <t xml:space="preserve"> 12</t>
    </r>
  </si>
  <si>
    <r>
      <t>Total No. Of Beneficiaries:</t>
    </r>
    <r>
      <rPr>
        <b/>
        <u/>
        <sz val="10"/>
        <color rgb="FFFF0000"/>
        <rFont val="Arial"/>
        <family val="2"/>
      </rPr>
      <t xml:space="preserve"> 73</t>
    </r>
  </si>
  <si>
    <r>
      <t>Total No. Of Beneficiaries:</t>
    </r>
    <r>
      <rPr>
        <sz val="10"/>
        <color rgb="FFFF0000"/>
        <rFont val="Arial"/>
        <family val="2"/>
      </rPr>
      <t xml:space="preserve"> 4</t>
    </r>
  </si>
  <si>
    <t>Jan. 18</t>
  </si>
  <si>
    <t>17279.2 sq.m.</t>
  </si>
  <si>
    <t>Jan. 26</t>
  </si>
  <si>
    <t>Number of Clients</t>
  </si>
  <si>
    <t>February 2023</t>
  </si>
  <si>
    <t>LGU-Sierra Bullones</t>
  </si>
  <si>
    <t>Maritsam Miculob</t>
  </si>
  <si>
    <t>09091210365</t>
  </si>
  <si>
    <t>Expedito Lacia</t>
  </si>
  <si>
    <t>Purok 1</t>
  </si>
  <si>
    <t>09610873673</t>
  </si>
  <si>
    <t>Darwin Belotindos</t>
  </si>
  <si>
    <t>09127813370</t>
  </si>
  <si>
    <t>Joel Dinoy</t>
  </si>
  <si>
    <t>09391575731</t>
  </si>
  <si>
    <t>Perven Canque</t>
  </si>
  <si>
    <t>San Agustin</t>
  </si>
  <si>
    <t>09275347642</t>
  </si>
  <si>
    <t>Rodel Cañete</t>
  </si>
  <si>
    <t>Primitiva Tayag</t>
  </si>
  <si>
    <t>Ubojan</t>
  </si>
  <si>
    <t>09075740841</t>
  </si>
  <si>
    <t>Pamacsalan</t>
  </si>
  <si>
    <t xml:space="preserve">Jewel Siason Sr. </t>
  </si>
  <si>
    <t>Pandol</t>
  </si>
  <si>
    <t>09488827013</t>
  </si>
  <si>
    <t>Alex Amihan</t>
  </si>
  <si>
    <t>Ferdinand Torregosa</t>
  </si>
  <si>
    <t>Matangtang</t>
  </si>
  <si>
    <t>095122352576</t>
  </si>
  <si>
    <t>Rogelio Biodor</t>
  </si>
  <si>
    <t>Datag</t>
  </si>
  <si>
    <t>09532892734</t>
  </si>
  <si>
    <t>Jessie Cag-ong</t>
  </si>
  <si>
    <t>Ba-ang</t>
  </si>
  <si>
    <t>09079113948</t>
  </si>
  <si>
    <t>Antedio Chatto</t>
  </si>
  <si>
    <t>09457591554</t>
  </si>
  <si>
    <t>Dolores Tanudra</t>
  </si>
  <si>
    <t>San Ramon</t>
  </si>
  <si>
    <t>09307565382</t>
  </si>
  <si>
    <t>Florencio Bitang</t>
  </si>
  <si>
    <t>09507427072</t>
  </si>
  <si>
    <t>Nestor Polinar</t>
  </si>
  <si>
    <t>Cantuyoc</t>
  </si>
  <si>
    <t>09817983582</t>
  </si>
  <si>
    <t>Ranulfo Ramos</t>
  </si>
  <si>
    <t>09097166003</t>
  </si>
  <si>
    <t>Ruel Baco</t>
  </si>
  <si>
    <t>09707754814</t>
  </si>
  <si>
    <t>Christian Erojo</t>
  </si>
  <si>
    <t>09669913614</t>
  </si>
  <si>
    <t>Eric Rivero</t>
  </si>
  <si>
    <t>Angelito Pinoliad</t>
  </si>
  <si>
    <t>Catuogan</t>
  </si>
  <si>
    <t>Jame Villamor</t>
  </si>
  <si>
    <t>09456802479</t>
  </si>
  <si>
    <t>Pelagio Robante</t>
  </si>
  <si>
    <t>Anaclito dela Torre</t>
  </si>
  <si>
    <t>Tauran</t>
  </si>
  <si>
    <t>09357149378</t>
  </si>
  <si>
    <t>Marcial Tasong</t>
  </si>
  <si>
    <t>Lourdes</t>
  </si>
  <si>
    <t>09992287684</t>
  </si>
  <si>
    <t>Anatacio Niñolas</t>
  </si>
  <si>
    <t>Sta. Cruz</t>
  </si>
  <si>
    <t>Venancio Historia</t>
  </si>
  <si>
    <t>Liloan Sur</t>
  </si>
  <si>
    <t>Marvin Renigado</t>
  </si>
  <si>
    <t>09701534882</t>
  </si>
  <si>
    <t>Feb. 3-7</t>
  </si>
  <si>
    <t>Fe Aimee Betaizar</t>
  </si>
  <si>
    <t>09463684202</t>
  </si>
  <si>
    <t>Beverly Vargas</t>
  </si>
  <si>
    <t xml:space="preserve">Nahud </t>
  </si>
  <si>
    <t>09319205665</t>
  </si>
  <si>
    <t>Armalie Bayson</t>
  </si>
  <si>
    <t>09563213554</t>
  </si>
  <si>
    <t>Ledesman Dormal</t>
  </si>
  <si>
    <t>Tubod</t>
  </si>
  <si>
    <t>Charlie Peligro</t>
  </si>
  <si>
    <t>Manman Degamo</t>
  </si>
  <si>
    <t>Remel Mira</t>
  </si>
  <si>
    <t xml:space="preserve">Quirino </t>
  </si>
  <si>
    <t>Pablito Quinal</t>
  </si>
  <si>
    <t>Tabok</t>
  </si>
  <si>
    <t>09296449875</t>
  </si>
  <si>
    <t>LGU-Buenavista, Bohol</t>
  </si>
  <si>
    <t>Lino Divinagracia</t>
  </si>
  <si>
    <t>Paulino Tangara</t>
  </si>
  <si>
    <t>09093707408</t>
  </si>
  <si>
    <t>Antonio Castro</t>
  </si>
  <si>
    <t>Sta. Catalina</t>
  </si>
  <si>
    <t>09472431338</t>
  </si>
  <si>
    <t>Mario Camelotes</t>
  </si>
  <si>
    <t>Sinakayanan</t>
  </si>
  <si>
    <t>09493231032</t>
  </si>
  <si>
    <t>Crexx Amparo</t>
  </si>
  <si>
    <t>09317862026</t>
  </si>
  <si>
    <t>Pedro de Asis</t>
  </si>
  <si>
    <t>09484774428</t>
  </si>
  <si>
    <t>Janice Espejo</t>
  </si>
  <si>
    <t>Poblacion Sur</t>
  </si>
  <si>
    <t>09650836308</t>
  </si>
  <si>
    <t>Ronald Clavite</t>
  </si>
  <si>
    <t>Montevideo</t>
  </si>
  <si>
    <t>Feb. 8-13</t>
  </si>
  <si>
    <t>Jimmy Lagao</t>
  </si>
  <si>
    <t>Cantumimbo</t>
  </si>
  <si>
    <t>Cesar Dapar</t>
  </si>
  <si>
    <t>09558023712</t>
  </si>
  <si>
    <t>Alfredo Bacolor</t>
  </si>
  <si>
    <t>Ilijan Norte</t>
  </si>
  <si>
    <t>09508222706</t>
  </si>
  <si>
    <t>Lester Mesiona</t>
  </si>
  <si>
    <t xml:space="preserve">Alegria </t>
  </si>
  <si>
    <t>09303337615</t>
  </si>
  <si>
    <t>Expedito Ayenza</t>
  </si>
  <si>
    <t>09951374278</t>
  </si>
  <si>
    <t>Romy Danila</t>
  </si>
  <si>
    <t>Cangawa</t>
  </si>
  <si>
    <t>09612034019</t>
  </si>
  <si>
    <t>Bogtongbod</t>
  </si>
  <si>
    <t>Glenn Macalandag</t>
  </si>
  <si>
    <t>09106775831</t>
  </si>
  <si>
    <t>Roel Lucero</t>
  </si>
  <si>
    <t>Behind the Clouds</t>
  </si>
  <si>
    <t>09299665016</t>
  </si>
  <si>
    <t>Ryo Lucero</t>
  </si>
  <si>
    <t>09480549490</t>
  </si>
  <si>
    <t>Roldan Lico</t>
  </si>
  <si>
    <t>Mandaug</t>
  </si>
  <si>
    <t>09258530512</t>
  </si>
  <si>
    <t>Erwin Polinar</t>
  </si>
  <si>
    <t>Ryan Suarez</t>
  </si>
  <si>
    <t>Estaca</t>
  </si>
  <si>
    <t>09319888494</t>
  </si>
  <si>
    <t>Roey Saul</t>
  </si>
  <si>
    <t>Banahaw</t>
  </si>
  <si>
    <t>09505684408</t>
  </si>
  <si>
    <t>Alfred Añana</t>
  </si>
  <si>
    <t>Glenn Montes</t>
  </si>
  <si>
    <t>Diomedes Concha</t>
  </si>
  <si>
    <t>Cawayanan</t>
  </si>
  <si>
    <t>09193438911</t>
  </si>
  <si>
    <t>James Lim</t>
  </si>
  <si>
    <t>Alvin Uy</t>
  </si>
  <si>
    <t>09256196812</t>
  </si>
  <si>
    <t>Adela Delosa</t>
  </si>
  <si>
    <t>09099039900</t>
  </si>
  <si>
    <t>Doroy Ngujo</t>
  </si>
  <si>
    <t>Feb. 14-20</t>
  </si>
  <si>
    <t>CANDIDO T. SAMIJON</t>
  </si>
  <si>
    <t>MJ Varquez</t>
  </si>
  <si>
    <t>Siera Bullones</t>
  </si>
  <si>
    <t>09382425885</t>
  </si>
  <si>
    <t>Angelie Tuazon</t>
  </si>
  <si>
    <t>Bingag</t>
  </si>
  <si>
    <t>09352178004</t>
  </si>
  <si>
    <t>Lesthelo Tiongco</t>
  </si>
  <si>
    <t>09512352576</t>
  </si>
  <si>
    <t>Marc Gilbert Suarez</t>
  </si>
  <si>
    <t>09055489368</t>
  </si>
  <si>
    <t>Nelson Mata</t>
  </si>
  <si>
    <t>Salvador</t>
  </si>
  <si>
    <t>Philippine Coconut Authority</t>
  </si>
  <si>
    <t>Calanggaman</t>
  </si>
  <si>
    <t>09069628546</t>
  </si>
  <si>
    <t>John Leonard Calaycay</t>
  </si>
  <si>
    <t>UBFF</t>
  </si>
  <si>
    <t>09075111294</t>
  </si>
  <si>
    <t>Bal Thomas Samijon</t>
  </si>
  <si>
    <t>Excel Broodstock</t>
  </si>
  <si>
    <t>1,500 (IE 2016 A)</t>
  </si>
  <si>
    <t>1,500 (IE 2016 B)</t>
  </si>
  <si>
    <t>Julibert Polestico</t>
  </si>
  <si>
    <t>Zamora</t>
  </si>
  <si>
    <t>09207666211</t>
  </si>
  <si>
    <t>Romulo Tamse</t>
  </si>
  <si>
    <t xml:space="preserve">Calatrava </t>
  </si>
  <si>
    <t>09279170454</t>
  </si>
  <si>
    <t>Broodstocks</t>
  </si>
  <si>
    <t>Victor Doblas</t>
  </si>
  <si>
    <t>09211249843</t>
  </si>
  <si>
    <t>Bebot Roperos</t>
  </si>
  <si>
    <t>09099454771</t>
  </si>
  <si>
    <t>Jeffrey Infiesto</t>
  </si>
  <si>
    <t>09463304100</t>
  </si>
  <si>
    <t>Jick Cruan Cortes</t>
  </si>
  <si>
    <t>09366809194</t>
  </si>
  <si>
    <t>Albert Satur</t>
  </si>
  <si>
    <t>Cebu City</t>
  </si>
  <si>
    <t>09108817359</t>
  </si>
  <si>
    <t>Cirila Ceniza</t>
  </si>
  <si>
    <t>09638731635</t>
  </si>
  <si>
    <t>Mylyn Desuza</t>
  </si>
  <si>
    <t>09462336085</t>
  </si>
  <si>
    <t>Prederic Sanchez</t>
  </si>
  <si>
    <t>Anonang</t>
  </si>
  <si>
    <t>09507478609</t>
  </si>
  <si>
    <t>Rommel Hermoso</t>
  </si>
  <si>
    <t>09816640835</t>
  </si>
  <si>
    <t>25,934sq.m.</t>
  </si>
  <si>
    <t>Broodstock:</t>
  </si>
  <si>
    <r>
      <t>Total No. Of Beneficiaries:</t>
    </r>
    <r>
      <rPr>
        <b/>
        <u/>
        <sz val="10"/>
        <color rgb="FFFF0000"/>
        <rFont val="Arial"/>
        <family val="2"/>
      </rPr>
      <t xml:space="preserve"> 88</t>
    </r>
  </si>
  <si>
    <r>
      <t>Others:(S.C./PWD):</t>
    </r>
    <r>
      <rPr>
        <b/>
        <u/>
        <sz val="10"/>
        <color rgb="FFFF0000"/>
        <rFont val="Arial"/>
        <family val="2"/>
      </rPr>
      <t xml:space="preserve"> 19</t>
    </r>
  </si>
  <si>
    <t>Feb. 21-24</t>
  </si>
  <si>
    <t>March 2023</t>
  </si>
  <si>
    <t>Monico Gonzaga</t>
  </si>
  <si>
    <t>Carbon</t>
  </si>
  <si>
    <t>09074162828</t>
  </si>
  <si>
    <t>Belen Signe</t>
  </si>
  <si>
    <t>09124350304</t>
  </si>
  <si>
    <t>Zeanie Torregosa</t>
  </si>
  <si>
    <t>09099779799</t>
  </si>
  <si>
    <t>Jerry Bedua</t>
  </si>
  <si>
    <t>Sta. Fe</t>
  </si>
  <si>
    <t>09304902813</t>
  </si>
  <si>
    <t>Anelene delas Alas</t>
  </si>
  <si>
    <t>09108789378</t>
  </si>
  <si>
    <t>Virgelie Esto</t>
  </si>
  <si>
    <t>09672531509</t>
  </si>
  <si>
    <t>Albert Vitor</t>
  </si>
  <si>
    <t>San Carlos</t>
  </si>
  <si>
    <t>Eda Javate</t>
  </si>
  <si>
    <t>09678452157</t>
  </si>
  <si>
    <t>John Robin Sampoton</t>
  </si>
  <si>
    <t>09167720511</t>
  </si>
  <si>
    <t>Dennis Dumanayos</t>
  </si>
  <si>
    <t xml:space="preserve">Pasanan </t>
  </si>
  <si>
    <t>09616508974</t>
  </si>
  <si>
    <t>Joel Algodon</t>
  </si>
  <si>
    <t>Pooc Oriental</t>
  </si>
  <si>
    <t>Jeramie Bautista</t>
  </si>
  <si>
    <t>Panghagban</t>
  </si>
  <si>
    <t>09550657723</t>
  </si>
  <si>
    <t>09456897316</t>
  </si>
  <si>
    <t>Arthuro Carlon</t>
  </si>
  <si>
    <t>09207011852</t>
  </si>
  <si>
    <t>Jenelyn Gultia</t>
  </si>
  <si>
    <t>09126568492</t>
  </si>
  <si>
    <t>Rico Lingatong</t>
  </si>
  <si>
    <t>09100981093</t>
  </si>
  <si>
    <t>Joar Rosaopan</t>
  </si>
  <si>
    <t>09269905392</t>
  </si>
  <si>
    <t>Rosalyn Tocmo</t>
  </si>
  <si>
    <t>09295599863</t>
  </si>
  <si>
    <t>Christian Rebucas</t>
  </si>
  <si>
    <t>Baunos</t>
  </si>
  <si>
    <t>Bambe Pepito</t>
  </si>
  <si>
    <t>Libjo</t>
  </si>
  <si>
    <t>09753143242</t>
  </si>
  <si>
    <t>Gorgonio Suhayon</t>
  </si>
  <si>
    <t>Arnel Estope</t>
  </si>
  <si>
    <t>09093590500</t>
  </si>
  <si>
    <t>Edwin Campos</t>
  </si>
  <si>
    <t>Silvino Añosa Jr.</t>
  </si>
  <si>
    <t>09482127843</t>
  </si>
  <si>
    <t>Flaviana Batuan</t>
  </si>
  <si>
    <t>Hibale</t>
  </si>
  <si>
    <t>09151777844</t>
  </si>
  <si>
    <t>Ricardo Dañas</t>
  </si>
  <si>
    <t>Concepcion</t>
  </si>
  <si>
    <t>Reynaldo Namoc</t>
  </si>
  <si>
    <t>Booy</t>
  </si>
  <si>
    <t>09104424950</t>
  </si>
  <si>
    <t>Jane Hencianos</t>
  </si>
  <si>
    <t>Cuasi</t>
  </si>
  <si>
    <t>09171099123</t>
  </si>
  <si>
    <t>Edwin Campas</t>
  </si>
  <si>
    <t>Bario Daan</t>
  </si>
  <si>
    <t>Romel Melisa</t>
  </si>
  <si>
    <t>Ma. Rosario</t>
  </si>
  <si>
    <t>Bernardo Torebio</t>
  </si>
  <si>
    <t>09098515526</t>
  </si>
  <si>
    <t>Zenas Batuhinay</t>
  </si>
  <si>
    <t>Fernando Aparece</t>
  </si>
  <si>
    <t>Magsaysay</t>
  </si>
  <si>
    <t>09461421901</t>
  </si>
  <si>
    <t>Leonora Cruz</t>
  </si>
  <si>
    <t>09275832786</t>
  </si>
  <si>
    <t>Julibert Polistico</t>
  </si>
  <si>
    <t>Joseph Badinas</t>
  </si>
  <si>
    <t>09073553768</t>
  </si>
  <si>
    <t>Paterno Bag-ao</t>
  </si>
  <si>
    <t>Cantigdas</t>
  </si>
  <si>
    <t>09494272578</t>
  </si>
  <si>
    <t>09395922427</t>
  </si>
  <si>
    <t>Nelson Bajao</t>
  </si>
  <si>
    <t>09455771459</t>
  </si>
  <si>
    <t>Zacarias Manigo</t>
  </si>
  <si>
    <t>Cahayag</t>
  </si>
  <si>
    <t>09554071730</t>
  </si>
  <si>
    <t>Mar. 1-7</t>
  </si>
  <si>
    <t>SUMMARY OF TILAPIA DISTRIBUTION</t>
  </si>
  <si>
    <t>Source of Fry/Fingerlings: LDFFF</t>
  </si>
  <si>
    <t>Beneficiaries</t>
  </si>
  <si>
    <t>Quantity</t>
  </si>
  <si>
    <t>January 18, 2023</t>
  </si>
  <si>
    <t>LGU-Sikatuna</t>
  </si>
  <si>
    <t>January 26, 2023</t>
  </si>
  <si>
    <t>LGU- Garcia Hernandez</t>
  </si>
  <si>
    <t>February 3, 2023</t>
  </si>
  <si>
    <t>LGU- Sierra Bullones</t>
  </si>
  <si>
    <r>
      <rPr>
        <b/>
        <sz val="11"/>
        <color theme="1"/>
        <rFont val="Calibri"/>
        <family val="2"/>
        <scheme val="minor"/>
      </rPr>
      <t>48,980 pcs</t>
    </r>
    <r>
      <rPr>
        <sz val="11"/>
        <color theme="1"/>
        <rFont val="Calibri"/>
        <family val="2"/>
        <scheme val="minor"/>
      </rPr>
      <t xml:space="preserve"> : First batch of fry/fingerlings from LDFFF</t>
    </r>
  </si>
  <si>
    <t>Remarks</t>
  </si>
  <si>
    <t>Virgilio Cañete</t>
  </si>
  <si>
    <t>Sagabayan</t>
  </si>
  <si>
    <t>Armando Hinayas</t>
  </si>
  <si>
    <t>09851177887</t>
  </si>
  <si>
    <t>Antonio Bongansiso</t>
  </si>
  <si>
    <t>09099770026</t>
  </si>
  <si>
    <t>Roseller Ocsin</t>
  </si>
  <si>
    <t>Ubujan</t>
  </si>
  <si>
    <t>09957622346</t>
  </si>
  <si>
    <t>Patricio Jamil</t>
  </si>
  <si>
    <t>09977962261</t>
  </si>
  <si>
    <t>Reynaldo Ladaga</t>
  </si>
  <si>
    <t>Jacubo Ylaya</t>
  </si>
  <si>
    <t>Roberto Naïve</t>
  </si>
  <si>
    <t xml:space="preserve">Can-olin </t>
  </si>
  <si>
    <t>09391819895</t>
  </si>
  <si>
    <t>Victor Macalandag</t>
  </si>
  <si>
    <t>Eusibio Dico</t>
  </si>
  <si>
    <t>09814478939</t>
  </si>
  <si>
    <t>Renel Acodile</t>
  </si>
  <si>
    <t>09531448013</t>
  </si>
  <si>
    <t>09756871534</t>
  </si>
  <si>
    <t>Robert Sebusa</t>
  </si>
  <si>
    <t>Cabatuan</t>
  </si>
  <si>
    <t>09462336055</t>
  </si>
  <si>
    <t>Christian Suaybaguio</t>
  </si>
  <si>
    <t>09488657975</t>
  </si>
  <si>
    <t>Angelito Benablo</t>
  </si>
  <si>
    <t>Guiwanon</t>
  </si>
  <si>
    <t>09338577401</t>
  </si>
  <si>
    <t>Julibert Buaya</t>
  </si>
  <si>
    <t>09097767603</t>
  </si>
  <si>
    <t>Bebiano Basio</t>
  </si>
  <si>
    <t>Danahaw</t>
  </si>
  <si>
    <t>09063294062</t>
  </si>
  <si>
    <t>Mario Margarito Madera</t>
  </si>
  <si>
    <t>09055756858</t>
  </si>
  <si>
    <t>Expedito Lacea</t>
  </si>
  <si>
    <t>09610873678</t>
  </si>
  <si>
    <t>Redel Apar</t>
  </si>
  <si>
    <t>Bonbon</t>
  </si>
  <si>
    <t>Mark Vistal</t>
  </si>
  <si>
    <t>09388046903</t>
  </si>
  <si>
    <t>Alfredo Curimatmat</t>
  </si>
  <si>
    <t>09691129768</t>
  </si>
  <si>
    <t xml:space="preserve">Joselito Quinal </t>
  </si>
  <si>
    <t>09484522818</t>
  </si>
  <si>
    <t>Dan Gil Andal</t>
  </si>
  <si>
    <t xml:space="preserve">Cagawasan </t>
  </si>
  <si>
    <t>09107131751</t>
  </si>
  <si>
    <t>Alliord Lauronal</t>
  </si>
  <si>
    <t>09122590766</t>
  </si>
  <si>
    <t>Perly Jean Betalmos</t>
  </si>
  <si>
    <t>09360862781</t>
  </si>
  <si>
    <t>09702219981</t>
  </si>
  <si>
    <t>Enrique Cepedoza</t>
  </si>
  <si>
    <t>09276350388</t>
  </si>
  <si>
    <t>Mark Leo Ale</t>
  </si>
  <si>
    <t>Maslog</t>
  </si>
  <si>
    <t>09519543468</t>
  </si>
  <si>
    <t>Sim Bayson</t>
  </si>
  <si>
    <t>09532235122</t>
  </si>
  <si>
    <t>09304295292</t>
  </si>
  <si>
    <t>Zenaydo Dag-um</t>
  </si>
  <si>
    <t>09509507052</t>
  </si>
  <si>
    <t>Jarrel Pacardo</t>
  </si>
  <si>
    <t>La Victoria</t>
  </si>
  <si>
    <t>09486060161</t>
  </si>
  <si>
    <t>Marichu Nuyda</t>
  </si>
  <si>
    <t>Cirilo Ceniza</t>
  </si>
  <si>
    <t>Peregrino Marson</t>
  </si>
  <si>
    <t>Cabasakan</t>
  </si>
  <si>
    <t>09634484342</t>
  </si>
  <si>
    <t>Geoffrey Cepedoza</t>
  </si>
  <si>
    <t>09554989000</t>
  </si>
  <si>
    <t>Ismael Bahinting</t>
  </si>
  <si>
    <t>Alfie Lagrimas</t>
  </si>
  <si>
    <t>Tinibgan</t>
  </si>
  <si>
    <t>Jayson Gudarido</t>
  </si>
  <si>
    <t>Paul Boyles</t>
  </si>
  <si>
    <t>Libertad Norte</t>
  </si>
  <si>
    <t>Rolando Pilpinosas</t>
  </si>
  <si>
    <t>Rizal</t>
  </si>
  <si>
    <t>09079686531</t>
  </si>
  <si>
    <t>BFAR 7 - FPSSD</t>
  </si>
  <si>
    <t>09369984478</t>
  </si>
  <si>
    <t>Mark Joseph Piloton</t>
  </si>
  <si>
    <t>BASIL</t>
  </si>
  <si>
    <t>Seloy Vedra</t>
  </si>
  <si>
    <t>Christian Cartahinas</t>
  </si>
  <si>
    <t>09989926845</t>
  </si>
  <si>
    <t>John Gentapan</t>
  </si>
  <si>
    <t>Joselito Quianal</t>
  </si>
  <si>
    <r>
      <rPr>
        <b/>
        <sz val="11"/>
        <color theme="1"/>
        <rFont val="Calibri"/>
        <family val="2"/>
        <scheme val="minor"/>
      </rPr>
      <t>34260 pcs</t>
    </r>
    <r>
      <rPr>
        <sz val="11"/>
        <color theme="1"/>
        <rFont val="Calibri"/>
        <family val="2"/>
        <scheme val="minor"/>
      </rPr>
      <t xml:space="preserve"> : Second batch</t>
    </r>
  </si>
  <si>
    <t>March 2, 2023</t>
  </si>
  <si>
    <t>March 3, 2023</t>
  </si>
  <si>
    <t>March 1, 2023</t>
  </si>
  <si>
    <t>March 6, 2023</t>
  </si>
  <si>
    <t>March 9, 2023</t>
  </si>
  <si>
    <t>Mar. 7-14</t>
  </si>
  <si>
    <t>Jun Ong</t>
  </si>
  <si>
    <t>Hanopol</t>
  </si>
  <si>
    <t>09994582436</t>
  </si>
  <si>
    <t>Demcent Labus</t>
  </si>
  <si>
    <t>09452271953</t>
  </si>
  <si>
    <t>09389021308</t>
  </si>
  <si>
    <t>Froilan Lapiz</t>
  </si>
  <si>
    <t>Mar. 14-15</t>
  </si>
  <si>
    <t>LGU - Jagna, Bohol</t>
  </si>
  <si>
    <t>09120831467</t>
  </si>
  <si>
    <t xml:space="preserve">Arnold Lagare Jr. </t>
  </si>
  <si>
    <t>Aldren Eyana</t>
  </si>
  <si>
    <t>09270743874</t>
  </si>
  <si>
    <t>Ronald Valentos</t>
  </si>
  <si>
    <t>Tamboan</t>
  </si>
  <si>
    <t>09108559472</t>
  </si>
  <si>
    <t>Virgilio Cepedoza</t>
  </si>
  <si>
    <t xml:space="preserve">Remedios </t>
  </si>
  <si>
    <t>Aurelio Torregosa</t>
  </si>
  <si>
    <t>Jacinto Pojas</t>
  </si>
  <si>
    <t xml:space="preserve">Banahaw </t>
  </si>
  <si>
    <t>0935042532</t>
  </si>
  <si>
    <t>Moises Fat</t>
  </si>
  <si>
    <t>Nahawan</t>
  </si>
  <si>
    <t>09670148381</t>
  </si>
  <si>
    <t>Piñafort Amegable Jr.</t>
  </si>
  <si>
    <t>Kauswagan</t>
  </si>
  <si>
    <t>09356736434</t>
  </si>
  <si>
    <t>Eljon Aparilla</t>
  </si>
  <si>
    <t>09634886211</t>
  </si>
  <si>
    <t>Julieto Ombajin</t>
  </si>
  <si>
    <t>09507819903</t>
  </si>
  <si>
    <t>Nick Guisado</t>
  </si>
  <si>
    <t>09306810333</t>
  </si>
  <si>
    <t>Bienvinedo Biodor</t>
  </si>
  <si>
    <t>09485573647</t>
  </si>
  <si>
    <t>Ismael Negro</t>
  </si>
  <si>
    <t>Ma. Genieveb Butal</t>
  </si>
  <si>
    <t>09639012434</t>
  </si>
  <si>
    <t>John Otar</t>
  </si>
  <si>
    <t>Ramjon Bonghanoy</t>
  </si>
  <si>
    <t xml:space="preserve">Lapacan Norte </t>
  </si>
  <si>
    <t>09460388383</t>
  </si>
  <si>
    <t>Dennis Baquial</t>
  </si>
  <si>
    <t>Bentig</t>
  </si>
  <si>
    <t>09422496409</t>
  </si>
  <si>
    <t>Raquel Dico</t>
  </si>
  <si>
    <t>09093692541</t>
  </si>
  <si>
    <t>09365042523</t>
  </si>
  <si>
    <t>Mark Rusty Rabor</t>
  </si>
  <si>
    <t>09099669802</t>
  </si>
  <si>
    <t>Mae Tiongco</t>
  </si>
  <si>
    <t>09850849850</t>
  </si>
  <si>
    <t>Limuell Vallespin</t>
  </si>
  <si>
    <t>Putlongcan</t>
  </si>
  <si>
    <t>09269342773</t>
  </si>
  <si>
    <t>Antidio Chatto</t>
  </si>
  <si>
    <t>Jeramy Astronomo</t>
  </si>
  <si>
    <t>09091616255</t>
  </si>
  <si>
    <t>Doroteo Dinoy Jr.</t>
  </si>
  <si>
    <t>Caboy</t>
  </si>
  <si>
    <t>Ariel Duyogan</t>
  </si>
  <si>
    <t>09511296753</t>
  </si>
  <si>
    <t>Emmanuel Gulayan</t>
  </si>
  <si>
    <t>09099395214</t>
  </si>
  <si>
    <t>Meriam Bulawan</t>
  </si>
  <si>
    <t>09104646909</t>
  </si>
  <si>
    <t>LGU - Loon, bohol</t>
  </si>
  <si>
    <t>Eddie Mellejon</t>
  </si>
  <si>
    <t xml:space="preserve">Ricardo Dañas </t>
  </si>
  <si>
    <t>March 16, 2023</t>
  </si>
  <si>
    <t>Tilapia Distribution for LGU-Danao Beneficiaries</t>
  </si>
  <si>
    <r>
      <rPr>
        <b/>
        <sz val="11"/>
        <color theme="1"/>
        <rFont val="Calibri"/>
        <family val="2"/>
        <scheme val="minor"/>
      </rPr>
      <t>34,260 pcs</t>
    </r>
    <r>
      <rPr>
        <sz val="11"/>
        <color theme="1"/>
        <rFont val="Calibri"/>
        <family val="2"/>
        <scheme val="minor"/>
      </rPr>
      <t xml:space="preserve"> sourced from LDFFF</t>
    </r>
  </si>
  <si>
    <t>from CFFF</t>
  </si>
  <si>
    <t>March 15-22</t>
  </si>
  <si>
    <t>Arman Bitang</t>
  </si>
  <si>
    <t>Calubihan</t>
  </si>
  <si>
    <t>09389423613</t>
  </si>
  <si>
    <t>Ernesto Niñeza</t>
  </si>
  <si>
    <t>Michael Paican</t>
  </si>
  <si>
    <t>Esmeraldo Pillatura</t>
  </si>
  <si>
    <t>Kabasakan</t>
  </si>
  <si>
    <t>Rene Albasin</t>
  </si>
  <si>
    <t>Genonocan</t>
  </si>
  <si>
    <t>09075251551</t>
  </si>
  <si>
    <t>LGU - Mabini</t>
  </si>
  <si>
    <t>09489979147</t>
  </si>
  <si>
    <t>Elwin Jay Reston</t>
  </si>
  <si>
    <t>Rheyzae Busalanan</t>
  </si>
  <si>
    <t>09102737569</t>
  </si>
  <si>
    <t>Raymaric Balatero</t>
  </si>
  <si>
    <t>La Esperanza</t>
  </si>
  <si>
    <t>09502383252</t>
  </si>
  <si>
    <t>Expedito Anud</t>
  </si>
  <si>
    <t>Badiang</t>
  </si>
  <si>
    <t>Rodrigo Luzano</t>
  </si>
  <si>
    <t>09434577252</t>
  </si>
  <si>
    <t>Richard Justol</t>
  </si>
  <si>
    <t>San Vicente</t>
  </si>
  <si>
    <t>09677989111</t>
  </si>
  <si>
    <t>Elbert Estrilla</t>
  </si>
  <si>
    <t>Ilihan</t>
  </si>
  <si>
    <t>09452388127</t>
  </si>
  <si>
    <t>Joey Ledesma</t>
  </si>
  <si>
    <t>Looc Pangangan Is.</t>
  </si>
  <si>
    <t>09778203958</t>
  </si>
  <si>
    <t>Brenda Vargas</t>
  </si>
  <si>
    <t>Katipunan</t>
  </si>
  <si>
    <t>09636922103</t>
  </si>
  <si>
    <t>Ricky Udtohan</t>
  </si>
  <si>
    <t>09307061409</t>
  </si>
  <si>
    <t>Roseller John Ocsin</t>
  </si>
  <si>
    <t>Irenea Ybañez</t>
  </si>
  <si>
    <t>Sohoton</t>
  </si>
  <si>
    <t>09761068386</t>
  </si>
  <si>
    <t>Rogelio Lahindao</t>
  </si>
  <si>
    <t>09487651413</t>
  </si>
  <si>
    <t>Melinda Baba</t>
  </si>
  <si>
    <t>Joelito Cotura</t>
  </si>
  <si>
    <t xml:space="preserve">Bunacan </t>
  </si>
  <si>
    <t>09463864105</t>
  </si>
  <si>
    <t>09129696402</t>
  </si>
  <si>
    <t>March 22-27</t>
  </si>
  <si>
    <t>John Paul Barbarona</t>
  </si>
  <si>
    <t>09382448880</t>
  </si>
  <si>
    <t>Willy Añosa</t>
  </si>
  <si>
    <t>Moises Banquil</t>
  </si>
  <si>
    <t>Miami Vistal</t>
  </si>
  <si>
    <t>09052896080</t>
  </si>
  <si>
    <t>Glenn Estrosas</t>
  </si>
  <si>
    <t>09813891853</t>
  </si>
  <si>
    <t>Jose Rallos</t>
  </si>
  <si>
    <t>09265073572</t>
  </si>
  <si>
    <t>Juliebeth Infesto</t>
  </si>
  <si>
    <t>09108895231</t>
  </si>
  <si>
    <t>San Antonio</t>
  </si>
  <si>
    <t>Rodrigo Niepes</t>
  </si>
  <si>
    <t>Jomel Bulilis</t>
  </si>
  <si>
    <t>Elmer Tiempo Jr.</t>
  </si>
  <si>
    <t>Villafuerte</t>
  </si>
  <si>
    <t>09566255496</t>
  </si>
  <si>
    <t>Roseller Estoreon</t>
  </si>
  <si>
    <t>09555070816</t>
  </si>
  <si>
    <t>March 27-29</t>
  </si>
  <si>
    <r>
      <t>Total No. Of Beneficiaries:</t>
    </r>
    <r>
      <rPr>
        <b/>
        <u/>
        <sz val="10"/>
        <color rgb="FFFF0000"/>
        <rFont val="Arial"/>
        <family val="2"/>
      </rPr>
      <t xml:space="preserve"> 159</t>
    </r>
  </si>
  <si>
    <r>
      <t>Others:(S.C./PWD):</t>
    </r>
    <r>
      <rPr>
        <b/>
        <u/>
        <sz val="10"/>
        <color rgb="FFFF0000"/>
        <rFont val="Arial"/>
        <family val="2"/>
      </rPr>
      <t xml:space="preserve"> 13</t>
    </r>
  </si>
  <si>
    <t>43,326.80 sq.m.</t>
  </si>
  <si>
    <r>
      <t>Total No. Of Beneficiaries:</t>
    </r>
    <r>
      <rPr>
        <sz val="10"/>
        <color rgb="FFFF0000"/>
        <rFont val="Arial"/>
        <family val="2"/>
      </rPr>
      <t xml:space="preserve"> 5</t>
    </r>
  </si>
  <si>
    <t>April 2023</t>
  </si>
  <si>
    <t>ELENA L. YLANAN</t>
  </si>
  <si>
    <t>Chief-FPSSD</t>
  </si>
  <si>
    <t>Jam Alphie Lagrimas</t>
  </si>
  <si>
    <t>Cabudburon</t>
  </si>
  <si>
    <t>09388908490</t>
  </si>
  <si>
    <t>Alex Palapar</t>
  </si>
  <si>
    <t>Jun Oronan</t>
  </si>
  <si>
    <t>John Christian Rebucas</t>
  </si>
  <si>
    <t>Peter Paul Aparilla</t>
  </si>
  <si>
    <t>09651831470</t>
  </si>
  <si>
    <t>Boy Lamoste</t>
  </si>
  <si>
    <t>Kagawasan</t>
  </si>
  <si>
    <t>09973873233</t>
  </si>
  <si>
    <t>Guillermo Membreve</t>
  </si>
  <si>
    <t>09694707059</t>
  </si>
  <si>
    <t>09395867110</t>
  </si>
  <si>
    <t>Mar John Ortiz</t>
  </si>
  <si>
    <t>09161351817</t>
  </si>
  <si>
    <t>Zoilito Cutchon</t>
  </si>
  <si>
    <t>09155488651</t>
  </si>
  <si>
    <t>Anacita Lastimado</t>
  </si>
  <si>
    <t>Juniel Añedez</t>
  </si>
  <si>
    <t>Lindy Coraza</t>
  </si>
  <si>
    <t>09773138922</t>
  </si>
  <si>
    <t>Ella Añana</t>
  </si>
  <si>
    <t>Nahud</t>
  </si>
  <si>
    <t>Ma. Grace Alibo</t>
  </si>
  <si>
    <t>Can-olin</t>
  </si>
  <si>
    <t>Marcian Almedilla</t>
  </si>
  <si>
    <t>Tumoc</t>
  </si>
  <si>
    <t>09207829564</t>
  </si>
  <si>
    <t>Gaymelo Lopez</t>
  </si>
  <si>
    <t>Joseph Rosales</t>
  </si>
  <si>
    <t>Felix Guhid</t>
  </si>
  <si>
    <t>0907753266</t>
  </si>
  <si>
    <t>Lorenzo Saure Jr.</t>
  </si>
  <si>
    <t>09467222465</t>
  </si>
  <si>
    <t>Rolando Corbita</t>
  </si>
  <si>
    <t>09307570727</t>
  </si>
  <si>
    <t>Nilo Sumampong</t>
  </si>
  <si>
    <t>Mataub</t>
  </si>
  <si>
    <t>09610916446</t>
  </si>
  <si>
    <t>Johnril Magloway</t>
  </si>
  <si>
    <t>Darwin Silagan</t>
  </si>
  <si>
    <t>Bosongon</t>
  </si>
  <si>
    <t>09244291085</t>
  </si>
  <si>
    <t>Naneth Saure</t>
  </si>
  <si>
    <t>Pantaleon Quirol</t>
  </si>
  <si>
    <t>Hipolito Marson</t>
  </si>
  <si>
    <t>Julio  Daga-ang</t>
  </si>
  <si>
    <t>Juliet Lumayag</t>
  </si>
  <si>
    <t>Richard Torregosa</t>
  </si>
  <si>
    <t>Canggawa</t>
  </si>
  <si>
    <t>Lino Suaybaguio</t>
  </si>
  <si>
    <t>Joseph Kyle Garciano</t>
  </si>
  <si>
    <t>Jeebert Lacia</t>
  </si>
  <si>
    <t>Ramon Mulato</t>
  </si>
  <si>
    <t>Buangan</t>
  </si>
  <si>
    <t>09753141568</t>
  </si>
  <si>
    <t>Nel Eric Navarro</t>
  </si>
  <si>
    <t>09638743724</t>
  </si>
  <si>
    <t>Marilyn Marson</t>
  </si>
  <si>
    <t>Hibule</t>
  </si>
  <si>
    <t>09959405521</t>
  </si>
  <si>
    <t>Susana Lim</t>
  </si>
  <si>
    <t>Balintawak</t>
  </si>
  <si>
    <t>09698805808</t>
  </si>
  <si>
    <t>Arlene Cabusano</t>
  </si>
  <si>
    <t>09394824004</t>
  </si>
  <si>
    <t>Victoriano Adlaon</t>
  </si>
  <si>
    <t>09466110527</t>
  </si>
  <si>
    <t>Ronie Bahalla</t>
  </si>
  <si>
    <t>Poblacion West</t>
  </si>
  <si>
    <t>09634504053</t>
  </si>
  <si>
    <r>
      <t>Total No. Of Beneficiaries:</t>
    </r>
    <r>
      <rPr>
        <sz val="10"/>
        <color rgb="FFFF0000"/>
        <rFont val="Arial"/>
        <family val="2"/>
      </rPr>
      <t xml:space="preserve"> </t>
    </r>
    <r>
      <rPr>
        <b/>
        <u/>
        <sz val="10"/>
        <color rgb="FFFF0000"/>
        <rFont val="Arial"/>
        <family val="2"/>
      </rPr>
      <t>1</t>
    </r>
  </si>
  <si>
    <t>Justiniano Balorio</t>
  </si>
  <si>
    <t>Jeremias Anghad Jr.</t>
  </si>
  <si>
    <t>09481555664</t>
  </si>
  <si>
    <t>Danilo Abrigana</t>
  </si>
  <si>
    <t>Clynn Toledo</t>
  </si>
  <si>
    <t>Baucan Norte</t>
  </si>
  <si>
    <t>09308267063</t>
  </si>
  <si>
    <t>Jovanne Lamoste</t>
  </si>
  <si>
    <t>April 3-12</t>
  </si>
  <si>
    <t>09074241837</t>
  </si>
  <si>
    <t>Gaudencia Cainghog</t>
  </si>
  <si>
    <t>Meni Ansano</t>
  </si>
  <si>
    <t>Joan Parojinog</t>
  </si>
  <si>
    <t>09352628349</t>
  </si>
  <si>
    <t>Mario Bongato</t>
  </si>
  <si>
    <t>Feliciano Manatad</t>
  </si>
  <si>
    <t>Junjie Opella</t>
  </si>
  <si>
    <t>09994776345</t>
  </si>
  <si>
    <t>Lilia Amijan</t>
  </si>
  <si>
    <t>Benjamin Avergonzado</t>
  </si>
  <si>
    <t>Malitbog</t>
  </si>
  <si>
    <t>09508146440</t>
  </si>
  <si>
    <t>Bamjun Amodia</t>
  </si>
  <si>
    <t>09700935077</t>
  </si>
  <si>
    <t>Joel Sabaysabay</t>
  </si>
  <si>
    <t>Villa Aurora</t>
  </si>
  <si>
    <t>09075805249</t>
  </si>
  <si>
    <t>Mario Añana</t>
  </si>
  <si>
    <t>Lawis</t>
  </si>
  <si>
    <t>09333970199</t>
  </si>
  <si>
    <t>Adelaida Parado</t>
  </si>
  <si>
    <t>09304237320</t>
  </si>
  <si>
    <t>Ma. Teresa Ohtsuka</t>
  </si>
  <si>
    <t>Alfredo Gamabo</t>
  </si>
  <si>
    <r>
      <t>Others:(S.C./PWD):</t>
    </r>
    <r>
      <rPr>
        <b/>
        <u/>
        <sz val="10"/>
        <color rgb="FFFF0000"/>
        <rFont val="Arial"/>
        <family val="2"/>
      </rPr>
      <t xml:space="preserve"> 8</t>
    </r>
  </si>
  <si>
    <t>April 13-24</t>
  </si>
  <si>
    <t>Gina Calutes</t>
  </si>
  <si>
    <t>Denmark Jaum</t>
  </si>
  <si>
    <t>Alegria</t>
  </si>
  <si>
    <t>09304549403</t>
  </si>
  <si>
    <t>Condrada Amparo</t>
  </si>
  <si>
    <t>Ginsolaran</t>
  </si>
  <si>
    <t>09924846368</t>
  </si>
  <si>
    <t>April 26-27</t>
  </si>
  <si>
    <r>
      <t>Total No. Of Beneficiaries:</t>
    </r>
    <r>
      <rPr>
        <b/>
        <u/>
        <sz val="10"/>
        <color rgb="FFFF0000"/>
        <rFont val="Arial"/>
        <family val="2"/>
      </rPr>
      <t xml:space="preserve"> 71</t>
    </r>
  </si>
  <si>
    <t>May 2023</t>
  </si>
  <si>
    <r>
      <t>Others:(S.C./PWD):</t>
    </r>
    <r>
      <rPr>
        <b/>
        <u/>
        <sz val="10"/>
        <color rgb="FFFF0000"/>
        <rFont val="Arial"/>
        <family val="2"/>
      </rPr>
      <t xml:space="preserve"> </t>
    </r>
  </si>
  <si>
    <t>Jerson Cabal</t>
  </si>
  <si>
    <t>09062266224</t>
  </si>
  <si>
    <t>Danilo Bucar</t>
  </si>
  <si>
    <t>09488660906</t>
  </si>
  <si>
    <t>09463678231</t>
  </si>
  <si>
    <t>Alfredo Mejasco</t>
  </si>
  <si>
    <t>Cagawasan</t>
  </si>
  <si>
    <t>09300057676</t>
  </si>
  <si>
    <t>Earl Lacierda</t>
  </si>
  <si>
    <t xml:space="preserve">Mandaog </t>
  </si>
  <si>
    <t>09166824667</t>
  </si>
  <si>
    <t>Adelaida Alipoyo</t>
  </si>
  <si>
    <t>Corsino Pacatang</t>
  </si>
  <si>
    <t>Calinginan Sur</t>
  </si>
  <si>
    <t>09391728002</t>
  </si>
  <si>
    <t>Michelle Colarte</t>
  </si>
  <si>
    <t>09178447714</t>
  </si>
  <si>
    <t>Segudito Gudito</t>
  </si>
  <si>
    <t xml:space="preserve">Datag </t>
  </si>
  <si>
    <t>09274643138</t>
  </si>
  <si>
    <t>Juan Tero</t>
  </si>
  <si>
    <t>09172330717</t>
  </si>
  <si>
    <t>Rey Saul</t>
  </si>
  <si>
    <t>09656088505</t>
  </si>
  <si>
    <t>Gevin Melecio</t>
  </si>
  <si>
    <t>Saa</t>
  </si>
  <si>
    <t>09091620196</t>
  </si>
  <si>
    <t>May 2-9</t>
  </si>
  <si>
    <t>Nestor Cagais</t>
  </si>
  <si>
    <t>Tagum Norte</t>
  </si>
  <si>
    <t>093027308011</t>
  </si>
  <si>
    <t>Segundino Baro</t>
  </si>
  <si>
    <t>Villarcayo</t>
  </si>
  <si>
    <t>Emmanuel Lupian</t>
  </si>
  <si>
    <t>Ondol</t>
  </si>
  <si>
    <t>Diosdado Betaizar</t>
  </si>
  <si>
    <t>Hebali</t>
  </si>
  <si>
    <t>Teodoro Derosaherto</t>
  </si>
  <si>
    <t>09074997263</t>
  </si>
  <si>
    <t>Estela Racho</t>
  </si>
  <si>
    <t>Joel Ortiga</t>
  </si>
  <si>
    <t>09106052962</t>
  </si>
  <si>
    <t>Braiel Tapdasan</t>
  </si>
  <si>
    <t>Potohan</t>
  </si>
  <si>
    <t>09851193746</t>
  </si>
  <si>
    <t>Reggie Quilaton</t>
  </si>
  <si>
    <t>Anastacio Cañete</t>
  </si>
  <si>
    <t>09554907504</t>
  </si>
  <si>
    <t>Antonio Dano Jr.</t>
  </si>
  <si>
    <t>Tultugan</t>
  </si>
  <si>
    <t>Reynaldo Margate</t>
  </si>
  <si>
    <t>Severo Cua</t>
  </si>
  <si>
    <t>Catmonan</t>
  </si>
  <si>
    <t>Francis Erick Delambaca</t>
  </si>
  <si>
    <t>Mecias Calacat</t>
  </si>
  <si>
    <t>Patrocinio</t>
  </si>
  <si>
    <t>09505415518</t>
  </si>
  <si>
    <t>Cardo Carpentero</t>
  </si>
  <si>
    <t>Cang-iras</t>
  </si>
  <si>
    <t>09634487750</t>
  </si>
  <si>
    <t>Amy Betonio</t>
  </si>
  <si>
    <t>Poblacion 1</t>
  </si>
  <si>
    <t>09167014230</t>
  </si>
  <si>
    <t>Pedro Pahamutang</t>
  </si>
  <si>
    <t>Gregorio Pugoy</t>
  </si>
  <si>
    <t>09977932807</t>
  </si>
  <si>
    <t>Koi</t>
  </si>
  <si>
    <t>Red</t>
  </si>
  <si>
    <t>May 12-23</t>
  </si>
  <si>
    <t>Dasitam</t>
  </si>
  <si>
    <t>LGU-Danao, Bohol</t>
  </si>
  <si>
    <t>Zosemilito Digal</t>
  </si>
  <si>
    <t>Tilapia broodstock</t>
  </si>
  <si>
    <t>Crizaldo Guison</t>
  </si>
  <si>
    <t>Tawid</t>
  </si>
  <si>
    <t>09351809403</t>
  </si>
  <si>
    <t>Jaime Aranay</t>
  </si>
  <si>
    <t>Biabas</t>
  </si>
  <si>
    <t>0926568353</t>
  </si>
  <si>
    <t>Albert John Cataluna</t>
  </si>
  <si>
    <t>Bindoy, NegOr</t>
  </si>
  <si>
    <t>09658022582</t>
  </si>
  <si>
    <t>Gerry Bernaldez</t>
  </si>
  <si>
    <t>Broodstock</t>
  </si>
  <si>
    <t>May 23-30</t>
  </si>
  <si>
    <r>
      <t xml:space="preserve">Total No. Of Beneficiaries: </t>
    </r>
    <r>
      <rPr>
        <b/>
        <sz val="10"/>
        <color rgb="FFFF0000"/>
        <rFont val="Arial"/>
        <family val="2"/>
      </rPr>
      <t>40</t>
    </r>
  </si>
  <si>
    <t>June 2023</t>
  </si>
  <si>
    <t>MATIGA Hatchery</t>
  </si>
  <si>
    <t>Mayana</t>
  </si>
  <si>
    <t>09639014397</t>
  </si>
  <si>
    <t>Celerina Babanto</t>
  </si>
  <si>
    <t>Shella May Lopez</t>
  </si>
  <si>
    <t>Abucayan Norte</t>
  </si>
  <si>
    <t>09677992169</t>
  </si>
  <si>
    <t>Angelo Pamor</t>
  </si>
  <si>
    <t>Hunan</t>
  </si>
  <si>
    <t>09073147340</t>
  </si>
  <si>
    <t>Bernadette Carpenter</t>
  </si>
  <si>
    <t>tank</t>
  </si>
  <si>
    <t>09977112396</t>
  </si>
  <si>
    <t>Jun Eric Espinal</t>
  </si>
  <si>
    <t xml:space="preserve">La Libertad </t>
  </si>
  <si>
    <t>09511313950</t>
  </si>
  <si>
    <t>Pedro Valentos</t>
  </si>
  <si>
    <t>09668695894</t>
  </si>
  <si>
    <t>Aurelio Bulala</t>
  </si>
  <si>
    <t>Mahayag</t>
  </si>
  <si>
    <t>09309052812</t>
  </si>
  <si>
    <t>Kenneth Ochea</t>
  </si>
  <si>
    <t>09096388052</t>
  </si>
  <si>
    <t>Jolito Bongato</t>
  </si>
  <si>
    <t>Taming</t>
  </si>
  <si>
    <t>Allan Garcia</t>
  </si>
  <si>
    <t>Buenos Aires</t>
  </si>
  <si>
    <t>09270257151</t>
  </si>
  <si>
    <t>Arsenio Gonzaga</t>
  </si>
  <si>
    <t>Kang-iras</t>
  </si>
  <si>
    <t>09289988128</t>
  </si>
  <si>
    <t>Doane Jaum</t>
  </si>
  <si>
    <t>09519604765</t>
  </si>
  <si>
    <t>Ivy Uy</t>
  </si>
  <si>
    <t>San Roque</t>
  </si>
  <si>
    <t>09091634915</t>
  </si>
  <si>
    <t>PFO-Negros Oriental</t>
  </si>
  <si>
    <t>Dumaguete City</t>
  </si>
  <si>
    <t>Felmar Pacurib</t>
  </si>
  <si>
    <t>GET Excel broodstock</t>
  </si>
  <si>
    <t>Alejandro Ambaic</t>
  </si>
  <si>
    <t>09550657439</t>
  </si>
  <si>
    <t>Danilo Urcaba</t>
  </si>
  <si>
    <t>Buyog</t>
  </si>
  <si>
    <t>09127878788</t>
  </si>
  <si>
    <t>Arman Cuñado</t>
  </si>
  <si>
    <t>Boyoan</t>
  </si>
  <si>
    <t>09173108377</t>
  </si>
  <si>
    <t>Le Tiongco</t>
  </si>
  <si>
    <t>Ernesto Tabia</t>
  </si>
  <si>
    <t>09489564132</t>
  </si>
  <si>
    <t>June 3-9, 2023</t>
  </si>
  <si>
    <t>June 2-7</t>
  </si>
  <si>
    <t>PFO-Bohol</t>
  </si>
  <si>
    <t>09196570006</t>
  </si>
  <si>
    <t>Ma. Rocile Angela Josol</t>
  </si>
  <si>
    <t>Reymart Aparicio</t>
  </si>
  <si>
    <t>Baogo</t>
  </si>
  <si>
    <t>09602945340</t>
  </si>
  <si>
    <t>Marlon Basco</t>
  </si>
  <si>
    <t>09109477200</t>
  </si>
  <si>
    <t>Jebson Saramillas</t>
  </si>
  <si>
    <t>09104754679</t>
  </si>
  <si>
    <t>Melinda Fernandez</t>
  </si>
  <si>
    <t>Bagacay</t>
  </si>
  <si>
    <t>09815691004</t>
  </si>
  <si>
    <t>Benjamin Ajoc</t>
  </si>
  <si>
    <t>Julito Rasonado</t>
  </si>
  <si>
    <t>Andrea Español</t>
  </si>
  <si>
    <t>Sua</t>
  </si>
  <si>
    <t>09269238967</t>
  </si>
  <si>
    <t>Jimmy Reyes</t>
  </si>
  <si>
    <t>09092060841</t>
  </si>
  <si>
    <t>Elmer Triempo Jr.</t>
  </si>
  <si>
    <t>Jason Torreon</t>
  </si>
  <si>
    <t>09511324771</t>
  </si>
  <si>
    <t>Jovani Miloria</t>
  </si>
  <si>
    <t>09630017938</t>
  </si>
  <si>
    <t>Norman Cortejos</t>
  </si>
  <si>
    <t>09098931067</t>
  </si>
  <si>
    <t>Nelson Castil</t>
  </si>
  <si>
    <t>Maitum</t>
  </si>
  <si>
    <t>09484022511</t>
  </si>
  <si>
    <t>Sotero Niones Jr.</t>
  </si>
  <si>
    <t>09758791851</t>
  </si>
  <si>
    <t>Marlon Ampoloquio</t>
  </si>
  <si>
    <t>Ambuan</t>
  </si>
  <si>
    <t>09339505473</t>
  </si>
  <si>
    <t>Rosalito Lanoy</t>
  </si>
  <si>
    <t>09079064566</t>
  </si>
  <si>
    <t>Novemen Alisaca</t>
  </si>
  <si>
    <t>Jonalyn Torreon</t>
  </si>
  <si>
    <t>Bato</t>
  </si>
  <si>
    <t>09489853817</t>
  </si>
  <si>
    <t>Aquilina Bitasolo</t>
  </si>
  <si>
    <t>09279705617</t>
  </si>
  <si>
    <t>Robert Lucernas</t>
  </si>
  <si>
    <t>09152562809</t>
  </si>
  <si>
    <t>Constiniano Balorio</t>
  </si>
  <si>
    <t>09814464939</t>
  </si>
  <si>
    <t>Nelson Salas</t>
  </si>
  <si>
    <t>09924020004</t>
  </si>
  <si>
    <t>Chande May Laguros</t>
  </si>
  <si>
    <t xml:space="preserve">Baang </t>
  </si>
  <si>
    <t>09074273911</t>
  </si>
  <si>
    <t>Angelo Merano</t>
  </si>
  <si>
    <t>09668764984</t>
  </si>
  <si>
    <t>Alvin Lamoste</t>
  </si>
  <si>
    <t>Montesuerte</t>
  </si>
  <si>
    <t>09606772022</t>
  </si>
  <si>
    <t>Maechelle Panes</t>
  </si>
  <si>
    <t>09079618691</t>
  </si>
  <si>
    <t>Carlos Bungaos</t>
  </si>
  <si>
    <t>Banlasan</t>
  </si>
  <si>
    <t>09759176627</t>
  </si>
  <si>
    <t>Jesson Cañete</t>
  </si>
  <si>
    <t>09107792733</t>
  </si>
  <si>
    <t xml:space="preserve">San Miguel </t>
  </si>
  <si>
    <t>Jaime Handugan</t>
  </si>
  <si>
    <t>09451908901</t>
  </si>
  <si>
    <t>David Garcia</t>
  </si>
  <si>
    <t>09065239061</t>
  </si>
  <si>
    <t>Michael Ronald Remo</t>
  </si>
  <si>
    <t>09771673616</t>
  </si>
  <si>
    <t>Victor Cenerpida Jr.</t>
  </si>
  <si>
    <t>09187978847</t>
  </si>
  <si>
    <t>June 13, 2023</t>
  </si>
  <si>
    <t>June 13</t>
  </si>
  <si>
    <t>Garry Cruda</t>
  </si>
  <si>
    <t>Cawasan</t>
  </si>
  <si>
    <t>09518767981</t>
  </si>
  <si>
    <t>May Ann Amarille</t>
  </si>
  <si>
    <t>Jonathan Cereligia</t>
  </si>
  <si>
    <t>09387830141</t>
  </si>
  <si>
    <t>Edison Torrentira</t>
  </si>
  <si>
    <t>09468723404</t>
  </si>
  <si>
    <t>Victor Sevilla</t>
  </si>
  <si>
    <t>09308825578</t>
  </si>
  <si>
    <t>Venancio Laquinta</t>
  </si>
  <si>
    <t>Caimbang</t>
  </si>
  <si>
    <t>09090143735</t>
  </si>
  <si>
    <t>Eulogio Pagas</t>
  </si>
  <si>
    <t>09501781808</t>
  </si>
  <si>
    <t>Sherryl Balbiran</t>
  </si>
  <si>
    <t>Mantasida</t>
  </si>
  <si>
    <t>09122824971</t>
  </si>
  <si>
    <t>Rene Bongato</t>
  </si>
  <si>
    <t>09611697037</t>
  </si>
  <si>
    <t>Catalino Busalanan</t>
  </si>
  <si>
    <t>Can-oting</t>
  </si>
  <si>
    <t>Juan Golosino</t>
  </si>
  <si>
    <t>Camanaga</t>
  </si>
  <si>
    <t>09092699090</t>
  </si>
  <si>
    <t>09507732800</t>
  </si>
  <si>
    <t>Fr. Lito Sumod-ong</t>
  </si>
  <si>
    <t>09093956820</t>
  </si>
  <si>
    <t>June 15, 2023</t>
  </si>
  <si>
    <t>June 15</t>
  </si>
  <si>
    <t>Danny Gibalay</t>
  </si>
  <si>
    <t>09356734611</t>
  </si>
  <si>
    <t>Fernando Tocmo</t>
  </si>
  <si>
    <t>Efren Dungog</t>
  </si>
  <si>
    <t>Hinlayagan Ilaud</t>
  </si>
  <si>
    <t>09942570323</t>
  </si>
  <si>
    <t>Emelio Niepes</t>
  </si>
  <si>
    <t>Remegio Dinorog</t>
  </si>
  <si>
    <t>Causwagan Norte</t>
  </si>
  <si>
    <t>09462636898</t>
  </si>
  <si>
    <t>Junel Cajes</t>
  </si>
  <si>
    <t>09064539157</t>
  </si>
  <si>
    <t>Jose John Niño Alibo</t>
  </si>
  <si>
    <t>09503284314</t>
  </si>
  <si>
    <t>Cristopher Jerosalem</t>
  </si>
  <si>
    <t>09616263076</t>
  </si>
  <si>
    <t>Antonio Bonsansiso</t>
  </si>
  <si>
    <t>Jhunmar Boncales</t>
  </si>
  <si>
    <t>Roxas</t>
  </si>
  <si>
    <t>09108545984</t>
  </si>
  <si>
    <t>Edgardo Merano</t>
  </si>
  <si>
    <t>Marie Walter Bongato</t>
  </si>
  <si>
    <t>09501278121</t>
  </si>
  <si>
    <t>Michael Quitoriano</t>
  </si>
  <si>
    <t>09773447914</t>
  </si>
  <si>
    <t>Joven Calit</t>
  </si>
  <si>
    <t>09568240410</t>
  </si>
  <si>
    <t>Dionisio Juaton</t>
  </si>
  <si>
    <t>Bayongan</t>
  </si>
  <si>
    <t>09603557601</t>
  </si>
  <si>
    <t>Darwin Leonis</t>
  </si>
  <si>
    <t>Taupas</t>
  </si>
  <si>
    <t>09103611222</t>
  </si>
  <si>
    <t>Richie Sobiono</t>
  </si>
  <si>
    <t>Nueva Montaña</t>
  </si>
  <si>
    <t>09550657438</t>
  </si>
  <si>
    <t>Celso Antecristo</t>
  </si>
  <si>
    <t>09389309699</t>
  </si>
  <si>
    <t>Rebetha Pitogo</t>
  </si>
  <si>
    <t>09389459346</t>
  </si>
  <si>
    <t>Janus Jhusney Mayol</t>
  </si>
  <si>
    <t>09455573973</t>
  </si>
  <si>
    <t>Bernadette Dapar</t>
  </si>
  <si>
    <t>09702924472</t>
  </si>
  <si>
    <t>Shiela Mae Amoguis</t>
  </si>
  <si>
    <t>09308348161</t>
  </si>
  <si>
    <t>June 19, 2023</t>
  </si>
  <si>
    <t>June 19</t>
  </si>
  <si>
    <t>Zenaida Maglajos</t>
  </si>
  <si>
    <t>09306037690</t>
  </si>
  <si>
    <t>Jose Ballo Jr.</t>
  </si>
  <si>
    <t>09101689619</t>
  </si>
  <si>
    <t>June 20, 2023</t>
  </si>
  <si>
    <t>June 20</t>
  </si>
  <si>
    <t>Hito Breeders</t>
  </si>
  <si>
    <t>LDFFF</t>
  </si>
  <si>
    <t>Camotes</t>
  </si>
  <si>
    <t>09959028589</t>
  </si>
  <si>
    <t>Jay-ahr Hernando</t>
  </si>
  <si>
    <t>Red Tilapia breeders</t>
  </si>
  <si>
    <t>Red Tilapia breeders:</t>
  </si>
  <si>
    <t>Genaro Ontong</t>
  </si>
  <si>
    <t>Bugaong</t>
  </si>
  <si>
    <t>09389015955</t>
  </si>
  <si>
    <t>Crispo Felisilda</t>
  </si>
  <si>
    <t>09152737723</t>
  </si>
  <si>
    <t>Josephine Niepes</t>
  </si>
  <si>
    <t>09197990584</t>
  </si>
  <si>
    <t>June 20-22</t>
  </si>
  <si>
    <t>Marlon Lumayag</t>
  </si>
  <si>
    <t xml:space="preserve">Causwagan </t>
  </si>
  <si>
    <t>09760813482</t>
  </si>
  <si>
    <t>John Tirol</t>
  </si>
  <si>
    <t>09554563752</t>
  </si>
  <si>
    <t>Rodel Amparado</t>
  </si>
  <si>
    <t>Alfredo Senados</t>
  </si>
  <si>
    <t>09059531123</t>
  </si>
  <si>
    <t>Macario Pojas</t>
  </si>
  <si>
    <t>09106425201</t>
  </si>
  <si>
    <t>Gilbert Centinales</t>
  </si>
  <si>
    <t>09486574851</t>
  </si>
  <si>
    <t>Ireneo Pojas Jr.</t>
  </si>
  <si>
    <t>09505334904</t>
  </si>
  <si>
    <t>Margarito Monigo III</t>
  </si>
  <si>
    <t>Libertad</t>
  </si>
  <si>
    <t>09075140917</t>
  </si>
  <si>
    <t>Angelo Bulala</t>
  </si>
  <si>
    <t>09352413799</t>
  </si>
  <si>
    <t>Junie Peñaranda</t>
  </si>
  <si>
    <t>Lawis, Pangangan Is.</t>
  </si>
  <si>
    <t>09304836214</t>
  </si>
  <si>
    <t>June 26</t>
  </si>
  <si>
    <t xml:space="preserve">Excel </t>
  </si>
  <si>
    <t>koi</t>
  </si>
  <si>
    <t>carp</t>
  </si>
  <si>
    <t>red</t>
  </si>
  <si>
    <r>
      <t>Total No. Of Beneficiaries:</t>
    </r>
    <r>
      <rPr>
        <b/>
        <sz val="10"/>
        <color rgb="FFFF0000"/>
        <rFont val="Arial"/>
        <family val="2"/>
      </rPr>
      <t xml:space="preserve"> 105</t>
    </r>
  </si>
  <si>
    <t>July 2023</t>
  </si>
  <si>
    <t>Eric Cellan</t>
  </si>
  <si>
    <t>09481034754</t>
  </si>
  <si>
    <t>Regine Gonzalos</t>
  </si>
  <si>
    <t>09207914637</t>
  </si>
  <si>
    <t>Clemente Doblas</t>
  </si>
  <si>
    <t>Lilia Capricho</t>
  </si>
  <si>
    <t>Cogon</t>
  </si>
  <si>
    <t>09469094891</t>
  </si>
  <si>
    <t>Geralyn Macalandag</t>
  </si>
  <si>
    <t>09458631306</t>
  </si>
  <si>
    <t>Manuel Jungco</t>
  </si>
  <si>
    <t>09161256133</t>
  </si>
  <si>
    <t>Edgar Aparece</t>
  </si>
  <si>
    <t>09162800402</t>
  </si>
  <si>
    <t>Jonalyn Cangmaong</t>
  </si>
  <si>
    <t>09057037611</t>
  </si>
  <si>
    <t>Jesus Dacul</t>
  </si>
  <si>
    <t>09108773608</t>
  </si>
  <si>
    <t>Jose Jupe Esto</t>
  </si>
  <si>
    <t>09515847098</t>
  </si>
  <si>
    <t>Manny Yase</t>
  </si>
  <si>
    <t>Bicahan</t>
  </si>
  <si>
    <t>09214042330</t>
  </si>
  <si>
    <t>Maximo Dusal Jr.</t>
  </si>
  <si>
    <t>09509818904</t>
  </si>
  <si>
    <t>Remedios Lujo</t>
  </si>
  <si>
    <t>Candajec</t>
  </si>
  <si>
    <t xml:space="preserve">Red Tilapia </t>
  </si>
  <si>
    <t>Fernando Pagas</t>
  </si>
  <si>
    <t>Causwagan Sur</t>
  </si>
  <si>
    <t>09692496327</t>
  </si>
  <si>
    <t>Michael Pancho</t>
  </si>
  <si>
    <t>09480510743</t>
  </si>
  <si>
    <t>Gerry Logrosa</t>
  </si>
  <si>
    <t>09308929628</t>
  </si>
  <si>
    <t>Haguilanan</t>
  </si>
  <si>
    <t>09384759305</t>
  </si>
  <si>
    <t>Alfred Pfattischer</t>
  </si>
  <si>
    <t>Merryland</t>
  </si>
  <si>
    <t>09159029381</t>
  </si>
  <si>
    <t>Alma Centillas</t>
  </si>
  <si>
    <t>Putting Batio</t>
  </si>
  <si>
    <t>09532642849</t>
  </si>
  <si>
    <t>Aldine Sumiyaya</t>
  </si>
  <si>
    <t>Nory Yu</t>
  </si>
  <si>
    <t>09388278943</t>
  </si>
  <si>
    <t>Leo Amodia</t>
  </si>
  <si>
    <t>09617062547</t>
  </si>
  <si>
    <t>Maricel Inson</t>
  </si>
  <si>
    <t>Ilijan Sur</t>
  </si>
  <si>
    <t>09070851684</t>
  </si>
  <si>
    <t>Vercel Petalco</t>
  </si>
  <si>
    <t>09078881257</t>
  </si>
  <si>
    <t>Jake Vinson</t>
  </si>
  <si>
    <t>Poblacion Centro</t>
  </si>
  <si>
    <t>09071731328</t>
  </si>
  <si>
    <t>Richmond Garcia</t>
  </si>
  <si>
    <t>09069315403</t>
  </si>
  <si>
    <t>Mylyn Dezuza</t>
  </si>
  <si>
    <t>Eusebio Dico</t>
  </si>
  <si>
    <t>Doming Dico</t>
  </si>
  <si>
    <t>09461262363</t>
  </si>
  <si>
    <t>Rebecca Salpocial</t>
  </si>
  <si>
    <t>Charito Dumandan</t>
  </si>
  <si>
    <t>09991673511</t>
  </si>
  <si>
    <t>Terry Alisoso</t>
  </si>
  <si>
    <t>Allan Divino</t>
  </si>
  <si>
    <t>09707757666</t>
  </si>
  <si>
    <t>Menard Lopez</t>
  </si>
  <si>
    <t xml:space="preserve">Libertad </t>
  </si>
  <si>
    <t>09477235997</t>
  </si>
  <si>
    <t>Epifanio Osiones</t>
  </si>
  <si>
    <t xml:space="preserve">Tubod </t>
  </si>
  <si>
    <t>Alexander Bangcat</t>
  </si>
  <si>
    <t>July 3-6</t>
  </si>
  <si>
    <t>Yon Basio Sr.</t>
  </si>
  <si>
    <t>Lito Labrador</t>
  </si>
  <si>
    <t xml:space="preserve">Maitum </t>
  </si>
  <si>
    <t>Rhea  Micutuan</t>
  </si>
  <si>
    <t>U-og</t>
  </si>
  <si>
    <t>Alexander Amihan</t>
  </si>
  <si>
    <t>Leopoldo Beltran</t>
  </si>
  <si>
    <t>09653857075</t>
  </si>
  <si>
    <t>Jay Villania</t>
  </si>
  <si>
    <t>09512400866</t>
  </si>
  <si>
    <t>Aida Curac</t>
  </si>
  <si>
    <t>Mahayag Sur</t>
  </si>
  <si>
    <t>09097493720</t>
  </si>
  <si>
    <t>Shella Mae Betalmos</t>
  </si>
  <si>
    <t>09972190441</t>
  </si>
  <si>
    <t>Ramon Café Jr.</t>
  </si>
  <si>
    <t>Samuel Janohan</t>
  </si>
  <si>
    <t>09503446406</t>
  </si>
  <si>
    <t>Ruel Cempron</t>
  </si>
  <si>
    <t>Matin-ao</t>
  </si>
  <si>
    <t>09694354929</t>
  </si>
  <si>
    <t>Angelie Andoy</t>
  </si>
  <si>
    <t>Mandaug Gamay</t>
  </si>
  <si>
    <t>09977803239</t>
  </si>
  <si>
    <t>Donna Macarat</t>
  </si>
  <si>
    <t>Bugang</t>
  </si>
  <si>
    <t>09519814932</t>
  </si>
  <si>
    <t>Maricel Gandulpus</t>
  </si>
  <si>
    <t>09312047269</t>
  </si>
  <si>
    <t>Jake Vinson Inferido</t>
  </si>
  <si>
    <t>Panfilo Nuñez</t>
  </si>
  <si>
    <t>Pangahagban</t>
  </si>
  <si>
    <t>09677486567</t>
  </si>
  <si>
    <t>Noel Dolera</t>
  </si>
  <si>
    <t>Pinayagan Sur</t>
  </si>
  <si>
    <t>09974403188</t>
  </si>
  <si>
    <t>LGU-Antequera</t>
  </si>
  <si>
    <t>Quinapon-an</t>
  </si>
  <si>
    <t>09389176272</t>
  </si>
  <si>
    <t>Jeffrey Indus</t>
  </si>
  <si>
    <t>Reymar Jun Palin</t>
  </si>
  <si>
    <t>Roberto Patac</t>
  </si>
  <si>
    <t>Rey Saldy Marimon</t>
  </si>
  <si>
    <t>Napo</t>
  </si>
  <si>
    <t>09502281020</t>
  </si>
  <si>
    <t>Adel Aparece</t>
  </si>
  <si>
    <t>09506103763</t>
  </si>
  <si>
    <t>Joselito Hongco</t>
  </si>
  <si>
    <t>Aurelia Dag-um</t>
  </si>
  <si>
    <t>09154283730</t>
  </si>
  <si>
    <t>Antonio Mancha</t>
  </si>
  <si>
    <t>Hanopol Este</t>
  </si>
  <si>
    <t>09603913327</t>
  </si>
  <si>
    <t>09656791977</t>
  </si>
  <si>
    <t>Ronaldo Alforque</t>
  </si>
  <si>
    <t>09120210561</t>
  </si>
  <si>
    <t>Agerio Café</t>
  </si>
  <si>
    <t>Editha Maghoyop</t>
  </si>
  <si>
    <t>Causwagan</t>
  </si>
  <si>
    <t>Patrick Ombajen</t>
  </si>
  <si>
    <t>09483192984</t>
  </si>
  <si>
    <t>Clarito Dumandan</t>
  </si>
  <si>
    <t>09991673411</t>
  </si>
  <si>
    <t>Agustin Gonzaga</t>
  </si>
  <si>
    <t>Arthur Carlon</t>
  </si>
  <si>
    <t>09207018752</t>
  </si>
  <si>
    <t>Raul Jala</t>
  </si>
  <si>
    <t>Saturnino Boyras</t>
  </si>
  <si>
    <t>July 10-13</t>
  </si>
  <si>
    <r>
      <t>Total No. Of Beneficiaries: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1</t>
    </r>
  </si>
  <si>
    <t>Novo Vaño</t>
  </si>
  <si>
    <t>Nelson Siarot</t>
  </si>
  <si>
    <t>Lapacan Norte</t>
  </si>
  <si>
    <t>09999626317</t>
  </si>
  <si>
    <t>Jeslie Cemine</t>
  </si>
  <si>
    <t>09946671750</t>
  </si>
  <si>
    <t>Rolita Pahamutang</t>
  </si>
  <si>
    <t>09388070661</t>
  </si>
  <si>
    <t>Robert Ryan John Gabreza</t>
  </si>
  <si>
    <t xml:space="preserve">Bosongon </t>
  </si>
  <si>
    <t>09533485625</t>
  </si>
  <si>
    <t>Francisco Fernandez</t>
  </si>
  <si>
    <t>09551966228</t>
  </si>
  <si>
    <t>Jade Maslog</t>
  </si>
  <si>
    <t>Adela Bongato</t>
  </si>
  <si>
    <t>Levie Dico</t>
  </si>
  <si>
    <t>Hipolita Curag</t>
  </si>
  <si>
    <t>09305062797</t>
  </si>
  <si>
    <t>Glen Dellero</t>
  </si>
  <si>
    <t>09269475650</t>
  </si>
  <si>
    <t>Richard Mier</t>
  </si>
  <si>
    <t>09151775148</t>
  </si>
  <si>
    <t>Felix Ponte Jr.</t>
  </si>
  <si>
    <t>Santiago Saguing</t>
  </si>
  <si>
    <t>09705671717</t>
  </si>
  <si>
    <t>Nazareth Saguing</t>
  </si>
  <si>
    <t>0912067866</t>
  </si>
  <si>
    <t>Tomoc</t>
  </si>
  <si>
    <t>09207829654</t>
  </si>
  <si>
    <t>Alvin Trago</t>
  </si>
  <si>
    <t>09550823520</t>
  </si>
  <si>
    <t>Ponciano Quiño</t>
  </si>
  <si>
    <t>09472628224</t>
  </si>
  <si>
    <t>Marcial Cruda</t>
  </si>
  <si>
    <t>09461227996</t>
  </si>
  <si>
    <t>Aries Jaum</t>
  </si>
  <si>
    <t>Arnold Gentallan</t>
  </si>
  <si>
    <t>0919797705</t>
  </si>
  <si>
    <t>Floribel Gorosin</t>
  </si>
  <si>
    <t>09657540390</t>
  </si>
  <si>
    <t>Harlyn Lopez</t>
  </si>
  <si>
    <t>09353454107</t>
  </si>
  <si>
    <t>Tito Buaya</t>
  </si>
  <si>
    <t>09095353887</t>
  </si>
  <si>
    <t>Anelyn Temblor</t>
  </si>
  <si>
    <t>09635306025</t>
  </si>
  <si>
    <t>Silvano Torrentira</t>
  </si>
  <si>
    <t>09109952991</t>
  </si>
  <si>
    <t>German Baquil</t>
  </si>
  <si>
    <t>Candasig</t>
  </si>
  <si>
    <t>09470300189</t>
  </si>
  <si>
    <t>Rey Marjun Palin</t>
  </si>
  <si>
    <t>Canmaya</t>
  </si>
  <si>
    <t>Frits Johannez Maghinay</t>
  </si>
  <si>
    <t>Jezreel Carnece</t>
  </si>
  <si>
    <t>09358292952</t>
  </si>
  <si>
    <t>Carp</t>
  </si>
  <si>
    <t>July 17- 19</t>
  </si>
  <si>
    <t>Judith Bernasor</t>
  </si>
  <si>
    <t>Caluasan</t>
  </si>
  <si>
    <t>09124554121</t>
  </si>
  <si>
    <t>09186216990</t>
  </si>
  <si>
    <t>Hilario Ninofranco</t>
  </si>
  <si>
    <t>09388109267</t>
  </si>
  <si>
    <t>Cristino Sanchez</t>
  </si>
  <si>
    <t>09073330379</t>
  </si>
  <si>
    <t>Ramel Sumipo</t>
  </si>
  <si>
    <t>09093706697</t>
  </si>
  <si>
    <t>Genalyn Bayabaya</t>
  </si>
  <si>
    <t>09705641195</t>
  </si>
  <si>
    <t>Albert Guioguio</t>
  </si>
  <si>
    <t>09662885406</t>
  </si>
  <si>
    <t>Romnick Agon</t>
  </si>
  <si>
    <t>09486700419</t>
  </si>
  <si>
    <t>Romulo Lofranco</t>
  </si>
  <si>
    <t xml:space="preserve">Cagayan </t>
  </si>
  <si>
    <t>09666626244</t>
  </si>
  <si>
    <t>09817937970</t>
  </si>
  <si>
    <t>Abundio Añora</t>
  </si>
  <si>
    <t>July 17 - 19</t>
  </si>
  <si>
    <t>July 20</t>
  </si>
  <si>
    <t>Simeon Sendrijas Jr.</t>
  </si>
  <si>
    <t>09151775026</t>
  </si>
  <si>
    <t>Rodrigo Ubod Sr.</t>
  </si>
  <si>
    <t>09074308598</t>
  </si>
  <si>
    <t>Ondoy Bongato</t>
  </si>
  <si>
    <t>Noel Quitoriano</t>
  </si>
  <si>
    <t>Ricardo Carpentero</t>
  </si>
  <si>
    <t>09634487751</t>
  </si>
  <si>
    <t>Joena Parohinog</t>
  </si>
  <si>
    <t>Donald Lacierda</t>
  </si>
  <si>
    <t>09165792956</t>
  </si>
  <si>
    <t>Angelito Quion</t>
  </si>
  <si>
    <t>Bugang Sur</t>
  </si>
  <si>
    <t>Charlie Infiesto</t>
  </si>
  <si>
    <t>09507609247</t>
  </si>
  <si>
    <t>Antonio Gumop-as</t>
  </si>
  <si>
    <t>Putlongcam</t>
  </si>
  <si>
    <t>09318495363</t>
  </si>
  <si>
    <t>Nelson Suralto</t>
  </si>
  <si>
    <t>09508838672</t>
  </si>
  <si>
    <t>Joseph Gawala</t>
  </si>
  <si>
    <t>09307567767</t>
  </si>
  <si>
    <t>Antonio Gonzaga</t>
  </si>
  <si>
    <t>Carlydon Calderon</t>
  </si>
  <si>
    <t>09505053735</t>
  </si>
  <si>
    <t>Carlo Cabal</t>
  </si>
  <si>
    <t xml:space="preserve">Can-oling </t>
  </si>
  <si>
    <t>09474208727</t>
  </si>
  <si>
    <t>Levi Dominguez</t>
  </si>
  <si>
    <t>09389404825</t>
  </si>
  <si>
    <t>Nicasio Alampangan</t>
  </si>
  <si>
    <t xml:space="preserve">Ilijan </t>
  </si>
  <si>
    <t>Karen Mae Javate</t>
  </si>
  <si>
    <t>09122061222</t>
  </si>
  <si>
    <t>Bonifacio Bautista</t>
  </si>
  <si>
    <t>09934695645</t>
  </si>
  <si>
    <t>Albert Llanto</t>
  </si>
  <si>
    <t>Vicente Malabute</t>
  </si>
  <si>
    <t xml:space="preserve">Malitbog </t>
  </si>
  <si>
    <t>Arnel Burato</t>
  </si>
  <si>
    <t>Alfredo Gamalo</t>
  </si>
  <si>
    <t>09668669317</t>
  </si>
  <si>
    <t xml:space="preserve">Mario Rosagaran Jr. </t>
  </si>
  <si>
    <t>Saguise</t>
  </si>
  <si>
    <t>Francisdo Parado</t>
  </si>
  <si>
    <t>09776188297</t>
  </si>
  <si>
    <t>July 24-26</t>
  </si>
  <si>
    <r>
      <t>Total No. Of Beneficiaries:</t>
    </r>
    <r>
      <rPr>
        <b/>
        <sz val="10"/>
        <color rgb="FFFF0000"/>
        <rFont val="Arial"/>
        <family val="2"/>
      </rPr>
      <t xml:space="preserve"> 147</t>
    </r>
  </si>
  <si>
    <r>
      <t>Others:(S.C./PWD):</t>
    </r>
    <r>
      <rPr>
        <b/>
        <u/>
        <sz val="10"/>
        <color rgb="FFFF0000"/>
        <rFont val="Arial"/>
        <family val="2"/>
      </rPr>
      <t xml:space="preserve"> 15</t>
    </r>
  </si>
  <si>
    <t>August 2023</t>
  </si>
  <si>
    <t>Jophil Macabudbud</t>
  </si>
  <si>
    <t>Marc Sy</t>
  </si>
  <si>
    <t>Mandaue City</t>
  </si>
  <si>
    <t>09321652977</t>
  </si>
  <si>
    <t>Zaldy Corage</t>
  </si>
  <si>
    <t>Tinangnan</t>
  </si>
  <si>
    <t>09507411997</t>
  </si>
  <si>
    <t>Rolando Ybañez</t>
  </si>
  <si>
    <t>09881178686</t>
  </si>
  <si>
    <t>Victoriano Sambayon Jr.</t>
  </si>
  <si>
    <t>09456808125</t>
  </si>
  <si>
    <t>Amado Amba Jr.</t>
  </si>
  <si>
    <t>09222619637</t>
  </si>
  <si>
    <t>Arche Ayop</t>
  </si>
  <si>
    <t>09569558726</t>
  </si>
  <si>
    <t>Vivian Mutia</t>
  </si>
  <si>
    <t>09127083622</t>
  </si>
  <si>
    <t>Eugene Lumayag</t>
  </si>
  <si>
    <t>09084120338</t>
  </si>
  <si>
    <t>Agripino Aparilla Jr.</t>
  </si>
  <si>
    <t>09004298282</t>
  </si>
  <si>
    <t>09555082319</t>
  </si>
  <si>
    <t>Johnbert Gentapan</t>
  </si>
  <si>
    <t>Joevy Catalan</t>
  </si>
  <si>
    <t>Ricardo Llorente</t>
  </si>
  <si>
    <t>Cambailan</t>
  </si>
  <si>
    <t>09612210564</t>
  </si>
  <si>
    <t>Romeo Ruben</t>
  </si>
  <si>
    <t>John Rhovin Samputon</t>
  </si>
  <si>
    <t>Mercedita Magallanes</t>
  </si>
  <si>
    <t>La Salvacion</t>
  </si>
  <si>
    <t>09101246620</t>
  </si>
  <si>
    <t>Ernesto Batolanon</t>
  </si>
  <si>
    <t>09508212224</t>
  </si>
  <si>
    <t>Dante Degamo</t>
  </si>
  <si>
    <t>09102642587</t>
  </si>
  <si>
    <t>Rhollin Ray Comaya</t>
  </si>
  <si>
    <t>Candumayao</t>
  </si>
  <si>
    <t>Cere Flores</t>
  </si>
  <si>
    <t>Areston Lofranco</t>
  </si>
  <si>
    <t>Elmer Alampayan</t>
  </si>
  <si>
    <t>09480550437</t>
  </si>
  <si>
    <t>Wilfredo Organiza</t>
  </si>
  <si>
    <t>Bayong Sur</t>
  </si>
  <si>
    <t>09077991185</t>
  </si>
  <si>
    <t>Anecita Dico</t>
  </si>
  <si>
    <t>Ulyses Macabudbud</t>
  </si>
  <si>
    <t>Mantalongon</t>
  </si>
  <si>
    <t>09505579128</t>
  </si>
  <si>
    <t>Zenaida Dulong</t>
  </si>
  <si>
    <t>09813892081</t>
  </si>
  <si>
    <t>Medio Tagsa</t>
  </si>
  <si>
    <t>Teddy Auxtero</t>
  </si>
  <si>
    <t xml:space="preserve">Balintawak </t>
  </si>
  <si>
    <t>09551963442</t>
  </si>
  <si>
    <t>Juvy Catalan</t>
  </si>
  <si>
    <t>09197598344</t>
  </si>
  <si>
    <t>Perigrina Aumentado</t>
  </si>
  <si>
    <t>Emerson Bag ao</t>
  </si>
  <si>
    <t>Excel broodstocks</t>
  </si>
  <si>
    <t>Lexter Cempron</t>
  </si>
  <si>
    <t>09197720048</t>
  </si>
  <si>
    <t>Christopher Podador</t>
  </si>
  <si>
    <t>09120505844</t>
  </si>
  <si>
    <t>Armand Maghamil</t>
  </si>
  <si>
    <t>09087751896</t>
  </si>
  <si>
    <t>Ma. Shielo Dico</t>
  </si>
  <si>
    <t>09463260070</t>
  </si>
  <si>
    <t>09098805808</t>
  </si>
  <si>
    <t>John Arjay Minguito</t>
  </si>
  <si>
    <t>09050867778</t>
  </si>
  <si>
    <t>Jomer Balag</t>
  </si>
  <si>
    <t>Cambacay</t>
  </si>
  <si>
    <t>09164149860</t>
  </si>
  <si>
    <t>Reynaldo Amigo</t>
  </si>
  <si>
    <t>Burgos</t>
  </si>
  <si>
    <t>Ralph Kenneth Celocie</t>
  </si>
  <si>
    <t>Rufo Hill</t>
  </si>
  <si>
    <t>Kim Martin Añora</t>
  </si>
  <si>
    <t>Dait</t>
  </si>
  <si>
    <t>Lyra Torrenova</t>
  </si>
  <si>
    <t xml:space="preserve">Salog </t>
  </si>
  <si>
    <t>09389254938</t>
  </si>
  <si>
    <t>Bombo Pepito</t>
  </si>
  <si>
    <t xml:space="preserve">Libho </t>
  </si>
  <si>
    <t>09077539389</t>
  </si>
  <si>
    <t>Tito Tagayong</t>
  </si>
  <si>
    <t>Henry Reambonanza</t>
  </si>
  <si>
    <t>09635347165</t>
  </si>
  <si>
    <t>Joel Rulida</t>
  </si>
  <si>
    <t>09484646478</t>
  </si>
  <si>
    <t>Ruel Cabug-os</t>
  </si>
  <si>
    <t>09484559443</t>
  </si>
  <si>
    <t>Nolasco Legaspo</t>
  </si>
  <si>
    <t>Tontunan</t>
  </si>
  <si>
    <t>09078849019</t>
  </si>
  <si>
    <t>Japet Soreno</t>
  </si>
  <si>
    <t>09301826551</t>
  </si>
  <si>
    <t>Emilia Dumandan</t>
  </si>
  <si>
    <t>09519109943</t>
  </si>
  <si>
    <t>Juliet Tenajeros</t>
  </si>
  <si>
    <t>09319352088</t>
  </si>
  <si>
    <t>Janus Mayol</t>
  </si>
  <si>
    <t>Windel Malaran</t>
  </si>
  <si>
    <t>09993714382</t>
  </si>
  <si>
    <t>Rio Ninofranco</t>
  </si>
  <si>
    <t>09504232412</t>
  </si>
  <si>
    <t>Trinidad Llorente</t>
  </si>
  <si>
    <t>09851129338</t>
  </si>
  <si>
    <t>Roy Salinas</t>
  </si>
  <si>
    <t>09075145024</t>
  </si>
  <si>
    <t>Jay-ar Cimene</t>
  </si>
  <si>
    <t>09973315071</t>
  </si>
  <si>
    <t>May Amarille</t>
  </si>
  <si>
    <t>0946288238</t>
  </si>
  <si>
    <t>Junard Canoy</t>
  </si>
  <si>
    <t>Tulang</t>
  </si>
  <si>
    <t>09097516415</t>
  </si>
  <si>
    <t>Eduardo Bustalinio</t>
  </si>
  <si>
    <t>Dait Sur</t>
  </si>
  <si>
    <t>LGU-Tubigon</t>
  </si>
  <si>
    <t>09481071721</t>
  </si>
  <si>
    <t>Victor Boligao</t>
  </si>
  <si>
    <t>Cris Doria</t>
  </si>
  <si>
    <t>09198597655</t>
  </si>
  <si>
    <t>Orlie Aparece</t>
  </si>
  <si>
    <t>09486478493</t>
  </si>
  <si>
    <t>Ryan Magdua</t>
  </si>
  <si>
    <t>09239396161</t>
  </si>
  <si>
    <t>August 1-3</t>
  </si>
  <si>
    <t>Joey Gudez</t>
  </si>
  <si>
    <t xml:space="preserve">Danahaw </t>
  </si>
  <si>
    <t>09461816613</t>
  </si>
  <si>
    <t>Lorena Quilit</t>
  </si>
  <si>
    <t>09151930132</t>
  </si>
  <si>
    <t>Zenitha Nuñez</t>
  </si>
  <si>
    <t>09759116938</t>
  </si>
  <si>
    <t>Erwin Orquiza</t>
  </si>
  <si>
    <t>Jaycel Samorano</t>
  </si>
  <si>
    <t>Poblacion Vieja</t>
  </si>
  <si>
    <t>09555027212</t>
  </si>
  <si>
    <t>Fritz Johannez Maghinay</t>
  </si>
  <si>
    <t>Dunngoan</t>
  </si>
  <si>
    <t>Reymar Jun Palen</t>
  </si>
  <si>
    <t>Cangmaya</t>
  </si>
  <si>
    <t>Gerry Pacog</t>
  </si>
  <si>
    <t>09489861788</t>
  </si>
  <si>
    <t>Alberto Guadicos</t>
  </si>
  <si>
    <t>09976747199</t>
  </si>
  <si>
    <t>095074011997</t>
  </si>
  <si>
    <t>Rogelio Mellomida</t>
  </si>
  <si>
    <t>09067200248</t>
  </si>
  <si>
    <t>Fernando Itable</t>
  </si>
  <si>
    <t>Panadtaran</t>
  </si>
  <si>
    <t>09297558144</t>
  </si>
  <si>
    <t>Juanito Renopal Jr.</t>
  </si>
  <si>
    <t>09495047700</t>
  </si>
  <si>
    <t>Edwin Macas</t>
  </si>
  <si>
    <t>Pagahat</t>
  </si>
  <si>
    <t>09773555506</t>
  </si>
  <si>
    <t>Christopher Ecat</t>
  </si>
  <si>
    <t>09169445994</t>
  </si>
  <si>
    <t>August 7</t>
  </si>
  <si>
    <t>Ricky Inferido</t>
  </si>
  <si>
    <t>09183805082</t>
  </si>
  <si>
    <t>Sanny Ebua</t>
  </si>
  <si>
    <t>August 8</t>
  </si>
  <si>
    <t>August 7-8</t>
  </si>
  <si>
    <t>August 11</t>
  </si>
  <si>
    <t>OPA-Bilar, Bohol</t>
  </si>
  <si>
    <t>09075173037</t>
  </si>
  <si>
    <t>Kevin Samijon</t>
  </si>
  <si>
    <t xml:space="preserve">Bentig </t>
  </si>
  <si>
    <t>Rogelio Aladad</t>
  </si>
  <si>
    <t>09759156007</t>
  </si>
  <si>
    <t>Wilfredo Anosa</t>
  </si>
  <si>
    <t>Silverio Tandungon</t>
  </si>
  <si>
    <t>09451186881</t>
  </si>
  <si>
    <t>Alipio Babad Jr.</t>
  </si>
  <si>
    <t>Sergio Inferido</t>
  </si>
  <si>
    <t>09107764099</t>
  </si>
  <si>
    <t>Anselmo Escabas</t>
  </si>
  <si>
    <t>Jhay-ar Rada</t>
  </si>
  <si>
    <t>09534064039</t>
  </si>
  <si>
    <t>Manolo Cutanda</t>
  </si>
  <si>
    <t>Pangpang</t>
  </si>
  <si>
    <t>09557526433</t>
  </si>
  <si>
    <t>Junray Cayme</t>
  </si>
  <si>
    <t>09463361596</t>
  </si>
  <si>
    <t>James Asma</t>
  </si>
  <si>
    <t>09069390114</t>
  </si>
  <si>
    <t>Noel Torregosa</t>
  </si>
  <si>
    <t>09465262102</t>
  </si>
  <si>
    <t>Mark Cleo Cordovan</t>
  </si>
  <si>
    <t>09385135812</t>
  </si>
  <si>
    <t>09559822312</t>
  </si>
  <si>
    <t>Mila Brisulda</t>
  </si>
  <si>
    <t>09304263970</t>
  </si>
  <si>
    <t>B'stocks</t>
  </si>
  <si>
    <t>August 14</t>
  </si>
  <si>
    <r>
      <t>Total No. Of Beneficiaries: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3</t>
    </r>
  </si>
  <si>
    <t>Cecilia Jamil</t>
  </si>
  <si>
    <t>Epifanio Viodor</t>
  </si>
  <si>
    <t>Crispin Caresosa</t>
  </si>
  <si>
    <t>Christian Amper</t>
  </si>
  <si>
    <t>Wilson Samuya</t>
  </si>
  <si>
    <t>09637748923</t>
  </si>
  <si>
    <t>Zacarias Lambino</t>
  </si>
  <si>
    <t>Panfilo Abuloc</t>
  </si>
  <si>
    <t>Buenaven Fabiolas</t>
  </si>
  <si>
    <t>09772038290</t>
  </si>
  <si>
    <t>Cleofe Socorin</t>
  </si>
  <si>
    <t>Paulinito Malaran</t>
  </si>
  <si>
    <t>Pangas Guadalupe</t>
  </si>
  <si>
    <t>June Balili</t>
  </si>
  <si>
    <t>Paul Vincent Tante</t>
  </si>
  <si>
    <t>Luciano Tante</t>
  </si>
  <si>
    <t>August 23</t>
  </si>
  <si>
    <t>August 1-4</t>
  </si>
  <si>
    <t>August 17-23</t>
  </si>
  <si>
    <t>Felix Trazo Jr.</t>
  </si>
  <si>
    <t>Cantubod</t>
  </si>
  <si>
    <t>09474676197</t>
  </si>
  <si>
    <t>Leo Balaba</t>
  </si>
  <si>
    <t>Genaro Busbus</t>
  </si>
  <si>
    <t>09309023188</t>
  </si>
  <si>
    <t>Ma. Loella Viodor</t>
  </si>
  <si>
    <t>Carlosito Namocatcat</t>
  </si>
  <si>
    <t>Lonoy</t>
  </si>
  <si>
    <t>Silveriano Refugio Jr.</t>
  </si>
  <si>
    <t>09120198530</t>
  </si>
  <si>
    <t>Juanito Dabon</t>
  </si>
  <si>
    <t>Dioscoro Candado</t>
  </si>
  <si>
    <t>Izra james Budias</t>
  </si>
  <si>
    <t>09129399031</t>
  </si>
  <si>
    <t>Shaina Faye Murcia</t>
  </si>
  <si>
    <t>Jason Betinol</t>
  </si>
  <si>
    <t>Serafin Espanso</t>
  </si>
  <si>
    <t>Roberto Mansueto</t>
  </si>
  <si>
    <t>Pablito Petallar</t>
  </si>
  <si>
    <t>0917326307</t>
  </si>
  <si>
    <t>Anelyn Cenabre</t>
  </si>
  <si>
    <t>New Lourdes</t>
  </si>
  <si>
    <t>Jay Ego-ogan</t>
  </si>
  <si>
    <t>John Lloyd Orapa</t>
  </si>
  <si>
    <t>09380779591</t>
  </si>
  <si>
    <t>Jose Jhon Niño Alibo</t>
  </si>
  <si>
    <t>Edgar Aladad</t>
  </si>
  <si>
    <t>Jucris Racho</t>
  </si>
  <si>
    <t>Tranquilino Gasco</t>
  </si>
  <si>
    <t>Nueva Granada</t>
  </si>
  <si>
    <t>Talana Perigrino</t>
  </si>
  <si>
    <t>Franklin Bongato</t>
  </si>
  <si>
    <t>Auselino Escabas</t>
  </si>
  <si>
    <t>Larry Pamugas</t>
  </si>
  <si>
    <t>Danggay</t>
  </si>
  <si>
    <t>09050456878</t>
  </si>
  <si>
    <t>Junrey Rosas</t>
  </si>
  <si>
    <t>Lolita Jaictin</t>
  </si>
  <si>
    <t>Boyog Sur</t>
  </si>
  <si>
    <t>Felix Bungaos</t>
  </si>
  <si>
    <t>Gerald James Panis</t>
  </si>
  <si>
    <t>Mabuhay</t>
  </si>
  <si>
    <t>09216402145</t>
  </si>
  <si>
    <t>August 29-30</t>
  </si>
  <si>
    <r>
      <t>Total No. Of Beneficiaries:</t>
    </r>
    <r>
      <rPr>
        <b/>
        <sz val="10"/>
        <color rgb="FFFF0000"/>
        <rFont val="Arial"/>
        <family val="2"/>
      </rPr>
      <t xml:space="preserve"> 164</t>
    </r>
  </si>
  <si>
    <r>
      <t>Others:(S.C./PWD):</t>
    </r>
    <r>
      <rPr>
        <b/>
        <u/>
        <sz val="10"/>
        <color rgb="FFFF0000"/>
        <rFont val="Arial"/>
        <family val="2"/>
      </rPr>
      <t xml:space="preserve"> 17</t>
    </r>
  </si>
  <si>
    <t>September 2023</t>
  </si>
  <si>
    <t>Cresencio Años</t>
  </si>
  <si>
    <t>Rechel Parreño</t>
  </si>
  <si>
    <t>Baucan Sur</t>
  </si>
  <si>
    <t>Paul John Malaran</t>
  </si>
  <si>
    <t>09632738487</t>
  </si>
  <si>
    <t>Jolina Lamarca</t>
  </si>
  <si>
    <t>09100158062</t>
  </si>
  <si>
    <t>Cresencio Camposo</t>
  </si>
  <si>
    <t>09488752555</t>
  </si>
  <si>
    <t>Joseph Curambao</t>
  </si>
  <si>
    <t>Cleofe Bolo</t>
  </si>
  <si>
    <t>Ronaldo Ybañez</t>
  </si>
  <si>
    <t>Shane Saayman</t>
  </si>
  <si>
    <t>Rebecca Saburao</t>
  </si>
  <si>
    <t>Teodoro Sarong</t>
  </si>
  <si>
    <t>Bugang Norte</t>
  </si>
  <si>
    <t xml:space="preserve">Rogelio Sagliba Jr. </t>
  </si>
  <si>
    <t>Geronimo Logrosa</t>
  </si>
  <si>
    <t>Liloan</t>
  </si>
  <si>
    <t>Jovanni Samijon</t>
  </si>
  <si>
    <t>September 1</t>
  </si>
  <si>
    <t>Diosdado Sumipo</t>
  </si>
  <si>
    <t>Jesson Millan</t>
  </si>
  <si>
    <t>09293928283</t>
  </si>
  <si>
    <t>09994731435</t>
  </si>
  <si>
    <t>Joel Malingin</t>
  </si>
  <si>
    <t>Erico Asufra</t>
  </si>
  <si>
    <t>09279913890</t>
  </si>
  <si>
    <t>Janno Limocon</t>
  </si>
  <si>
    <t>Calixto Lamoste</t>
  </si>
  <si>
    <t>09973873733</t>
  </si>
  <si>
    <t>Leonardo Estorpe</t>
  </si>
  <si>
    <t xml:space="preserve">Lonoy </t>
  </si>
  <si>
    <t>09855090255</t>
  </si>
  <si>
    <t>CAFASTPA</t>
  </si>
  <si>
    <t>Calabacita</t>
  </si>
  <si>
    <t>Sherwin Jalem</t>
  </si>
  <si>
    <t>Cesar Manatad</t>
  </si>
  <si>
    <t>09554563198</t>
  </si>
  <si>
    <t>Florante Alidon</t>
  </si>
  <si>
    <t>09389314753</t>
  </si>
  <si>
    <t>Leonardo Batausa</t>
  </si>
  <si>
    <t>Jordan Añora</t>
  </si>
  <si>
    <t>Nabuad</t>
  </si>
  <si>
    <t>09212325949</t>
  </si>
  <si>
    <t>Raymund Abonite</t>
  </si>
  <si>
    <t>Poblacion Weste</t>
  </si>
  <si>
    <t>Ramil Lim</t>
  </si>
  <si>
    <t>Aldrin Jack Jacolina</t>
  </si>
  <si>
    <t>Zaldy Marimon</t>
  </si>
  <si>
    <t>Joey Ho</t>
  </si>
  <si>
    <t>Basdacu</t>
  </si>
  <si>
    <t>Claire Cabal</t>
  </si>
  <si>
    <t>09516141154</t>
  </si>
  <si>
    <t>Alex Mejias</t>
  </si>
  <si>
    <t>09383336369</t>
  </si>
  <si>
    <t>Aniceto Vito</t>
  </si>
  <si>
    <t xml:space="preserve">Cambitoon </t>
  </si>
  <si>
    <t>09199610878</t>
  </si>
  <si>
    <t>Renero Saure</t>
  </si>
  <si>
    <t>Abel Banol</t>
  </si>
  <si>
    <t>09288647203</t>
  </si>
  <si>
    <t>Leonardo Trago</t>
  </si>
  <si>
    <t>Dennis Ciruela</t>
  </si>
  <si>
    <t>Catarman</t>
  </si>
  <si>
    <t>09460994312</t>
  </si>
  <si>
    <t>Mariano Umapas</t>
  </si>
  <si>
    <t>Eric Visto</t>
  </si>
  <si>
    <t xml:space="preserve">Magsaysay </t>
  </si>
  <si>
    <t>09120521455</t>
  </si>
  <si>
    <t>Frijun Ngujo</t>
  </si>
  <si>
    <t>09959023638</t>
  </si>
  <si>
    <t>Loly Saure</t>
  </si>
  <si>
    <t>Jovito Saavedra</t>
  </si>
  <si>
    <t>Benliw</t>
  </si>
  <si>
    <t>09339273402</t>
  </si>
  <si>
    <t>NFRDI - Quezon City</t>
  </si>
  <si>
    <t>09505293376</t>
  </si>
  <si>
    <t>Klynne Clarise Kuizon</t>
  </si>
  <si>
    <t>September 4-6</t>
  </si>
  <si>
    <t>Arnel Sujon</t>
  </si>
  <si>
    <t>Bay ang</t>
  </si>
  <si>
    <t>09300457695</t>
  </si>
  <si>
    <t>Sampoangon</t>
  </si>
  <si>
    <t>Arnel Lomod</t>
  </si>
  <si>
    <t>09304851088</t>
  </si>
  <si>
    <t>Cristino Racho</t>
  </si>
  <si>
    <t>Duron</t>
  </si>
  <si>
    <t>September 4-5</t>
  </si>
  <si>
    <t>September 7</t>
  </si>
  <si>
    <t>Generoso Bugas</t>
  </si>
  <si>
    <t>Arman Hinayos</t>
  </si>
  <si>
    <t>Narciso Caño</t>
  </si>
  <si>
    <t>Excel broodstock</t>
  </si>
  <si>
    <t>Armil Buquil</t>
  </si>
  <si>
    <t>09706627071</t>
  </si>
  <si>
    <t>Christopher Suarez</t>
  </si>
  <si>
    <t>Cawayan</t>
  </si>
  <si>
    <t>Michael Mondia</t>
  </si>
  <si>
    <t>09851335694</t>
  </si>
  <si>
    <t>Weniter Jun Buaya</t>
  </si>
  <si>
    <t>09567739489</t>
  </si>
  <si>
    <t>Judylyn Maputol</t>
  </si>
  <si>
    <t>Tubod Monte</t>
  </si>
  <si>
    <t>09505632224</t>
  </si>
  <si>
    <t>Ruel Cifra</t>
  </si>
  <si>
    <t>Eddie Quisto</t>
  </si>
  <si>
    <t>Hinalayagan</t>
  </si>
  <si>
    <t>Julio Daga-ang</t>
  </si>
  <si>
    <t>Jesusa Patac</t>
  </si>
  <si>
    <t>Bobby Torrefalma</t>
  </si>
  <si>
    <t>Bahaan</t>
  </si>
  <si>
    <t>Jethrone Colaste</t>
  </si>
  <si>
    <t>09099227451</t>
  </si>
  <si>
    <t>09360883126</t>
  </si>
  <si>
    <t>Eldrin Balbiran</t>
  </si>
  <si>
    <t>09507592389</t>
  </si>
  <si>
    <t>Jerome Concon</t>
  </si>
  <si>
    <t>09496321381</t>
  </si>
  <si>
    <t>Rogeliano Cenita</t>
  </si>
  <si>
    <t>Tungod</t>
  </si>
  <si>
    <t>09667390744</t>
  </si>
  <si>
    <t>Aris Aparece</t>
  </si>
  <si>
    <t>James Argie Anib</t>
  </si>
  <si>
    <t>09267525723</t>
  </si>
  <si>
    <t>Panfilo Miano</t>
  </si>
  <si>
    <t xml:space="preserve">Lajog </t>
  </si>
  <si>
    <t>09102036727</t>
  </si>
  <si>
    <t>Alfie Payusan</t>
  </si>
  <si>
    <t>09269711053</t>
  </si>
  <si>
    <t>Eutiquia Recones</t>
  </si>
  <si>
    <t>09489303002</t>
  </si>
  <si>
    <t>Edmund Osuña</t>
  </si>
  <si>
    <t>Lumbay</t>
  </si>
  <si>
    <t>09097733730</t>
  </si>
  <si>
    <t>Emmanuel Cuizon</t>
  </si>
  <si>
    <t>Lapay</t>
  </si>
  <si>
    <t>Abby Jill Supas</t>
  </si>
  <si>
    <t xml:space="preserve">Banlasan </t>
  </si>
  <si>
    <t>09922859053</t>
  </si>
  <si>
    <t>Jimmy Ingid</t>
  </si>
  <si>
    <t>Datag Norte</t>
  </si>
  <si>
    <t>Jason Dogoy</t>
  </si>
  <si>
    <t>Mahayag Norte</t>
  </si>
  <si>
    <t>09678262248</t>
  </si>
  <si>
    <t>Gaudencio Silagan Jr.</t>
  </si>
  <si>
    <t>09127857433</t>
  </si>
  <si>
    <t>Ritche Saldom</t>
  </si>
  <si>
    <t xml:space="preserve">Nagsulay </t>
  </si>
  <si>
    <t>09977118721</t>
  </si>
  <si>
    <t>September 11-12</t>
  </si>
  <si>
    <t>Julieto Vencilao</t>
  </si>
  <si>
    <t>09676998587</t>
  </si>
  <si>
    <t>Limuel Ramos</t>
  </si>
  <si>
    <t>Luminado Buslon</t>
  </si>
  <si>
    <t>Marvin Peter Revilla</t>
  </si>
  <si>
    <t>Guadalupe</t>
  </si>
  <si>
    <t>09558006193</t>
  </si>
  <si>
    <t>Felix Amihan</t>
  </si>
  <si>
    <t>Mantacida</t>
  </si>
  <si>
    <t>Paolo Cajote</t>
  </si>
  <si>
    <t>09854414714</t>
  </si>
  <si>
    <t>Samuel Sumipo</t>
  </si>
  <si>
    <t>Custodio Parreno Jr.</t>
  </si>
  <si>
    <t>Baucan</t>
  </si>
  <si>
    <t>09496141414</t>
  </si>
  <si>
    <t>Dayana Jorolan</t>
  </si>
  <si>
    <t>Cabad</t>
  </si>
  <si>
    <t>09158405746</t>
  </si>
  <si>
    <t>Elmo Escabas</t>
  </si>
  <si>
    <t>Jineth Hapay</t>
  </si>
  <si>
    <t>09164822149</t>
  </si>
  <si>
    <t>Severo Orillosa</t>
  </si>
  <si>
    <t xml:space="preserve">San Vicente </t>
  </si>
  <si>
    <t>09352552787</t>
  </si>
  <si>
    <t>Rolly Dupit</t>
  </si>
  <si>
    <t>San Vicente Farmers' and Irrigators' Association</t>
  </si>
  <si>
    <t>September 13-14</t>
  </si>
  <si>
    <t>September 13-15</t>
  </si>
  <si>
    <t>REGION 7 - 2023 MONTHLY TILAPIA PRODUCTION</t>
  </si>
  <si>
    <t>Salvador Torregosa</t>
  </si>
  <si>
    <t>Matabao</t>
  </si>
  <si>
    <t>09486223470</t>
  </si>
  <si>
    <t>Rodel Infanso</t>
  </si>
  <si>
    <t>09127400097</t>
  </si>
  <si>
    <t>Rey Atillo</t>
  </si>
  <si>
    <t>09268662675</t>
  </si>
  <si>
    <t>Melvin Bonajos</t>
  </si>
  <si>
    <t>09664969222</t>
  </si>
  <si>
    <t>Apolinario Betalmos</t>
  </si>
  <si>
    <t>09193937723</t>
  </si>
  <si>
    <t>Tirso Tinay</t>
  </si>
  <si>
    <t>09382229305</t>
  </si>
  <si>
    <t>09924763330</t>
  </si>
  <si>
    <t>Neorita Rentimann</t>
  </si>
  <si>
    <t>Alejawan Lotao</t>
  </si>
  <si>
    <t>09195308247</t>
  </si>
  <si>
    <t>Cesario Norente</t>
  </si>
  <si>
    <t>09384700684</t>
  </si>
  <si>
    <t>Crisologo Reyes</t>
  </si>
  <si>
    <t>09353456536</t>
  </si>
  <si>
    <t>Doroteo Lomod</t>
  </si>
  <si>
    <t>09752483389</t>
  </si>
  <si>
    <t>Catalina Escabas</t>
  </si>
  <si>
    <t>09978010661</t>
  </si>
  <si>
    <t>Vicente Sobretodo Jr.</t>
  </si>
  <si>
    <t>09311201840</t>
  </si>
  <si>
    <t>09493345836</t>
  </si>
  <si>
    <t>Asteria dela Peña</t>
  </si>
  <si>
    <t>Guinacot</t>
  </si>
  <si>
    <t>09692196875</t>
  </si>
  <si>
    <t>Masayag Farmers' Association</t>
  </si>
  <si>
    <t>September 18-19</t>
  </si>
  <si>
    <t>09355291854</t>
  </si>
  <si>
    <t>Joseph Inojales</t>
  </si>
  <si>
    <t>Susana Paña</t>
  </si>
  <si>
    <t>Dorol</t>
  </si>
  <si>
    <t>09638737113</t>
  </si>
  <si>
    <t>September 20</t>
  </si>
  <si>
    <t>Zenaida Dalagan</t>
  </si>
  <si>
    <t>Tilapia Broodstock</t>
  </si>
  <si>
    <t>Bernie Dumadag</t>
  </si>
  <si>
    <t>09064197275</t>
  </si>
  <si>
    <t>Marjun Cabulao</t>
  </si>
  <si>
    <t>Totolan</t>
  </si>
  <si>
    <t>09814917880</t>
  </si>
  <si>
    <t>Jeril Dalenson</t>
  </si>
  <si>
    <t>Justino Logroño</t>
  </si>
  <si>
    <t>Buga-ong</t>
  </si>
  <si>
    <t>09353458513</t>
  </si>
  <si>
    <t>Raul Sagliba</t>
  </si>
  <si>
    <t>Cambigsi</t>
  </si>
  <si>
    <t>09632315221</t>
  </si>
  <si>
    <t>Cecilio Trago</t>
  </si>
  <si>
    <t>09098825460</t>
  </si>
  <si>
    <t>Ruben Milagrosa</t>
  </si>
  <si>
    <t>Jose Bongator</t>
  </si>
  <si>
    <t>09205150492</t>
  </si>
  <si>
    <t>Rogemer Ojendras</t>
  </si>
  <si>
    <t>09507428410</t>
  </si>
  <si>
    <t>09464996675</t>
  </si>
  <si>
    <t>Nino Tabuno</t>
  </si>
  <si>
    <t>09555070333</t>
  </si>
  <si>
    <t>Raul Suarez</t>
  </si>
  <si>
    <t>09651474281</t>
  </si>
  <si>
    <t>Ricardo Cempron</t>
  </si>
  <si>
    <t>09702982353</t>
  </si>
  <si>
    <t>Jeromie Gulilat</t>
  </si>
  <si>
    <t>Dorevina Sy</t>
  </si>
  <si>
    <t>Kenan-oan</t>
  </si>
  <si>
    <t>09351173729</t>
  </si>
  <si>
    <t>09912327949</t>
  </si>
  <si>
    <t>Anastacio Ewican</t>
  </si>
  <si>
    <t>Canmano</t>
  </si>
  <si>
    <t>Mercy Tagalog</t>
  </si>
  <si>
    <t>Sabino Lanoy</t>
  </si>
  <si>
    <t>Edsel Balio</t>
  </si>
  <si>
    <t>September 25</t>
  </si>
  <si>
    <t>LGU-Inabanga</t>
  </si>
  <si>
    <t>09267613719</t>
  </si>
  <si>
    <t>Genaro Logroño</t>
  </si>
  <si>
    <t>Janel Ampoloquio</t>
  </si>
  <si>
    <t>09096804138</t>
  </si>
  <si>
    <t>Danilo Agang</t>
  </si>
  <si>
    <t>09233311607</t>
  </si>
  <si>
    <r>
      <t>Total No. Of Beneficiaries:</t>
    </r>
    <r>
      <rPr>
        <b/>
        <sz val="10"/>
        <color rgb="FFFF0000"/>
        <rFont val="Arial"/>
        <family val="2"/>
      </rPr>
      <t xml:space="preserve"> 145</t>
    </r>
  </si>
  <si>
    <r>
      <t>Total No. Of Beneficiaries: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10</t>
    </r>
  </si>
  <si>
    <t>September 25-26</t>
  </si>
  <si>
    <r>
      <t>Others:(S.C./PWD):</t>
    </r>
    <r>
      <rPr>
        <b/>
        <u/>
        <sz val="10"/>
        <color rgb="FFFF0000"/>
        <rFont val="Arial"/>
        <family val="2"/>
      </rPr>
      <t xml:space="preserve"> 21</t>
    </r>
  </si>
  <si>
    <t>Bonbon, Clarin Women's Association</t>
  </si>
  <si>
    <t>Techno guide &amp; technical assistance</t>
  </si>
  <si>
    <t>October 2023</t>
  </si>
  <si>
    <t>Donald Salces</t>
  </si>
  <si>
    <t>09078320830</t>
  </si>
  <si>
    <t>Jomar Balio</t>
  </si>
  <si>
    <t>09634933607</t>
  </si>
  <si>
    <t>Fr. Tommi Ugpo</t>
  </si>
  <si>
    <t>09296765255</t>
  </si>
  <si>
    <t>George Huan</t>
  </si>
  <si>
    <t>09175584342</t>
  </si>
  <si>
    <t>Jaime Danila</t>
  </si>
  <si>
    <t>09075796216</t>
  </si>
  <si>
    <t>Eugene Ibarra</t>
  </si>
  <si>
    <t>Eugenio Oronan</t>
  </si>
  <si>
    <t>09502206035</t>
  </si>
  <si>
    <t>John Bert Gentapan</t>
  </si>
  <si>
    <t>Reno Calimpusan</t>
  </si>
  <si>
    <t>Manuel Decasa</t>
  </si>
  <si>
    <t>Ruel Marabelis</t>
  </si>
  <si>
    <t>09303895117</t>
  </si>
  <si>
    <t>Apple Ann Abellana</t>
  </si>
  <si>
    <t>09504444736</t>
  </si>
  <si>
    <t>Efren Suarez</t>
  </si>
  <si>
    <t xml:space="preserve">Salvador </t>
  </si>
  <si>
    <t>09509251826</t>
  </si>
  <si>
    <t>Irma Villanueva</t>
  </si>
  <si>
    <t>09209155973</t>
  </si>
  <si>
    <t>LGU-Baclayon</t>
  </si>
  <si>
    <t>09534061992</t>
  </si>
  <si>
    <t>Cresente Bernaldez</t>
  </si>
  <si>
    <t>Archie Ayop</t>
  </si>
  <si>
    <t>Arvin Perocho</t>
  </si>
  <si>
    <t>Abachanan</t>
  </si>
  <si>
    <t>Mariamie Monares</t>
  </si>
  <si>
    <t>09152120567</t>
  </si>
  <si>
    <t>09771852656</t>
  </si>
  <si>
    <t>09668696354</t>
  </si>
  <si>
    <t>Vicente Amodia</t>
  </si>
  <si>
    <t>091982782683</t>
  </si>
  <si>
    <t>Ma. Cecilia Diaz</t>
  </si>
  <si>
    <t>09206415104</t>
  </si>
  <si>
    <t>Jhon Lloyd Orapa</t>
  </si>
  <si>
    <t>09382779591</t>
  </si>
  <si>
    <t>Marloue Mahumot</t>
  </si>
  <si>
    <t>09460333014</t>
  </si>
  <si>
    <t>Shirley Dalagan</t>
  </si>
  <si>
    <t>09167370975</t>
  </si>
  <si>
    <t>October 2-5</t>
  </si>
  <si>
    <t xml:space="preserve">Male </t>
  </si>
  <si>
    <t>Ednel Cantay</t>
  </si>
  <si>
    <t>09306776953</t>
  </si>
  <si>
    <t>Sammy Arnaiz</t>
  </si>
  <si>
    <t>09164157758</t>
  </si>
  <si>
    <t>Jovencio Cempron Jr.</t>
  </si>
  <si>
    <t>Pundocan</t>
  </si>
  <si>
    <t>Aida Morgado</t>
  </si>
  <si>
    <t>09292533387</t>
  </si>
  <si>
    <t>Mary Cris Distrito</t>
  </si>
  <si>
    <t>Banahao</t>
  </si>
  <si>
    <t>Angelo Beloy</t>
  </si>
  <si>
    <t>Aarol Narvasa</t>
  </si>
  <si>
    <t>Benecio Cepedoza</t>
  </si>
  <si>
    <t>09688566020</t>
  </si>
  <si>
    <t>Alex Mosequera</t>
  </si>
  <si>
    <t>Abehilan</t>
  </si>
  <si>
    <t>09106799952</t>
  </si>
  <si>
    <t>Ricardo Discallar</t>
  </si>
  <si>
    <t>Leonelo Gonato</t>
  </si>
  <si>
    <t>Clemente Sarte</t>
  </si>
  <si>
    <t>LGU-Calape</t>
  </si>
  <si>
    <t>09939091539</t>
  </si>
  <si>
    <t>Erwin Caingles</t>
  </si>
  <si>
    <t>Pardes Alcoy</t>
  </si>
  <si>
    <t>09519119515</t>
  </si>
  <si>
    <t>LGU-Pilar</t>
  </si>
  <si>
    <t>09271513122</t>
  </si>
  <si>
    <t>Mary Joy Padungao</t>
  </si>
  <si>
    <t>Editha Lanoy</t>
  </si>
  <si>
    <t>09102354877</t>
  </si>
  <si>
    <t>LGU-Sevilla</t>
  </si>
  <si>
    <t>Teresa Solon</t>
  </si>
  <si>
    <t>LGU-Valencia</t>
  </si>
  <si>
    <t>Claire Cagalitan</t>
  </si>
  <si>
    <t xml:space="preserve">San Isidro </t>
  </si>
  <si>
    <t>Claudio Lofranco</t>
  </si>
  <si>
    <t>Alipio Babud Jr.</t>
  </si>
  <si>
    <t>Rhoderick Enjambre</t>
  </si>
  <si>
    <t>09504040113</t>
  </si>
  <si>
    <t>Glenn Cambangay</t>
  </si>
  <si>
    <t>Lito Sumod-ong</t>
  </si>
  <si>
    <t>LGU-Carmen</t>
  </si>
  <si>
    <t>Marilyn Mesiona</t>
  </si>
  <si>
    <t>Reynaldo Borja</t>
  </si>
  <si>
    <t>09650489309</t>
  </si>
  <si>
    <t>October 9-13</t>
  </si>
  <si>
    <t>Group</t>
  </si>
  <si>
    <t>1 male</t>
  </si>
  <si>
    <t>4 female 3 male</t>
  </si>
  <si>
    <t>Rey Bantilan</t>
  </si>
  <si>
    <t>Sto. Niño</t>
  </si>
  <si>
    <t>Roel Tinahora</t>
  </si>
  <si>
    <t>09096672398</t>
  </si>
  <si>
    <t>09106320773</t>
  </si>
  <si>
    <t>Expedito Abuan</t>
  </si>
  <si>
    <t>09084918448</t>
  </si>
  <si>
    <t>Arnold Jaima</t>
  </si>
  <si>
    <t>Luan</t>
  </si>
  <si>
    <t>09161271003</t>
  </si>
  <si>
    <t>Virgel Marion Gudarido</t>
  </si>
  <si>
    <t>Cynthia Longshore</t>
  </si>
  <si>
    <t>09994730254</t>
  </si>
  <si>
    <t>Alfonso Cordova</t>
  </si>
  <si>
    <t>Aljer Muring</t>
  </si>
  <si>
    <t>Villa Teresita</t>
  </si>
  <si>
    <t>Jennie Ragas</t>
  </si>
  <si>
    <t>09123203776</t>
  </si>
  <si>
    <t>Leo Rizon</t>
  </si>
  <si>
    <t>09955407138</t>
  </si>
  <si>
    <t>Jeoffrey Dano</t>
  </si>
  <si>
    <t>09380776611</t>
  </si>
  <si>
    <t>Lolito Anzano Jr.</t>
  </si>
  <si>
    <t>Arwin Quiño</t>
  </si>
  <si>
    <t>Cecille Quiño</t>
  </si>
  <si>
    <t>Christine Bongato</t>
  </si>
  <si>
    <t>John Bert Cempron</t>
  </si>
  <si>
    <t>Herardo Vistal</t>
  </si>
  <si>
    <t>Avelino Sumalinog</t>
  </si>
  <si>
    <t>Bonena Juliana Bernados</t>
  </si>
  <si>
    <t>Taguihon</t>
  </si>
  <si>
    <t>Keith Warren Bayocot</t>
  </si>
  <si>
    <t>09129029227</t>
  </si>
  <si>
    <t>09085113127</t>
  </si>
  <si>
    <t>Mary Jean Cambangay</t>
  </si>
  <si>
    <t>09389306424</t>
  </si>
  <si>
    <t>Federio Inferido</t>
  </si>
  <si>
    <t>Catalino Tagoon</t>
  </si>
  <si>
    <t>09995702523</t>
  </si>
  <si>
    <t>Florencio Doria</t>
  </si>
  <si>
    <t>Epefanio Anabieza</t>
  </si>
  <si>
    <t>Cristopher Dolera</t>
  </si>
  <si>
    <t>Annabelle Rasonabe</t>
  </si>
  <si>
    <t>09516417974</t>
  </si>
  <si>
    <t>Teofredo Asoy</t>
  </si>
  <si>
    <t>Ruel Cenabre</t>
  </si>
  <si>
    <t>09709556609</t>
  </si>
  <si>
    <t>Arman Degamo</t>
  </si>
  <si>
    <t>09355632672</t>
  </si>
  <si>
    <t>Junrey Estor</t>
  </si>
  <si>
    <t xml:space="preserve">Valencia </t>
  </si>
  <si>
    <t>09971935568</t>
  </si>
  <si>
    <t>John Henry Torregosa</t>
  </si>
  <si>
    <t>Lubang</t>
  </si>
  <si>
    <t>09127845725</t>
  </si>
  <si>
    <t>Carlo Dumaguit</t>
  </si>
  <si>
    <t>09951058873</t>
  </si>
  <si>
    <t>Mark Brian Tumanda</t>
  </si>
  <si>
    <t>0912269265213</t>
  </si>
  <si>
    <t>Welbert Macabodbod</t>
  </si>
  <si>
    <t>Kabasacan</t>
  </si>
  <si>
    <t>Silverio Auxtero</t>
  </si>
  <si>
    <t>Remedios</t>
  </si>
  <si>
    <t>09502296072</t>
  </si>
  <si>
    <t>Ma. Gliceria Gimenez</t>
  </si>
  <si>
    <t>Ilaya</t>
  </si>
  <si>
    <t>Porre Moreno</t>
  </si>
  <si>
    <t>Baago</t>
  </si>
  <si>
    <t>09487484782</t>
  </si>
  <si>
    <t>Edgardo Lopez</t>
  </si>
  <si>
    <t>09709289787</t>
  </si>
  <si>
    <t>Rey Castañares</t>
  </si>
  <si>
    <t>09281834259</t>
  </si>
  <si>
    <t>Roel Mara</t>
  </si>
  <si>
    <t>Eduardo Palma</t>
  </si>
  <si>
    <t>09431286040</t>
  </si>
  <si>
    <t>09353459492</t>
  </si>
  <si>
    <t>October 16-18</t>
  </si>
  <si>
    <t>Geraldo Vistal</t>
  </si>
  <si>
    <t>Villa Rosario</t>
  </si>
  <si>
    <t>Arnold Carajay</t>
  </si>
  <si>
    <t>Cabayugan</t>
  </si>
  <si>
    <t>Demetrio Torrefalma</t>
  </si>
  <si>
    <t>Lutao</t>
  </si>
  <si>
    <t>Anicita Calimpas</t>
  </si>
  <si>
    <t>Rogelio Nogalada</t>
  </si>
  <si>
    <t>Kausawagan</t>
  </si>
  <si>
    <t>09485291713</t>
  </si>
  <si>
    <t>Epifanio Anabieza</t>
  </si>
  <si>
    <t>09399443771</t>
  </si>
  <si>
    <t>LGU-Bilar</t>
  </si>
  <si>
    <t>09098396125</t>
  </si>
  <si>
    <t>Reinerio Tejada</t>
  </si>
  <si>
    <t>October 20</t>
  </si>
  <si>
    <t>Joseph Jay Sinsano</t>
  </si>
  <si>
    <t>09060650175</t>
  </si>
  <si>
    <t>Dionisio Jauton</t>
  </si>
  <si>
    <t>Edcel Villatima</t>
  </si>
  <si>
    <t>09362894900</t>
  </si>
  <si>
    <t>Renante Aparici</t>
  </si>
  <si>
    <t xml:space="preserve">Villafuerte </t>
  </si>
  <si>
    <t>09121866849</t>
  </si>
  <si>
    <t>09360862787</t>
  </si>
  <si>
    <t>Reynato Alvarado</t>
  </si>
  <si>
    <t>Leonisa Javate</t>
  </si>
  <si>
    <t>Pedro Dante</t>
  </si>
  <si>
    <t>Bugsoc</t>
  </si>
  <si>
    <t>Renato Autentico</t>
  </si>
  <si>
    <t>09261532691</t>
  </si>
  <si>
    <t>Bernadette Ramil</t>
  </si>
  <si>
    <t>Zenon Baguio Jr.</t>
  </si>
  <si>
    <t>09121142785</t>
  </si>
  <si>
    <t>LGU-Danao</t>
  </si>
  <si>
    <t>Cantomimbo</t>
  </si>
  <si>
    <t>Renante Madura</t>
  </si>
  <si>
    <t>Aurio Cabanig</t>
  </si>
  <si>
    <t>Romulo Tamsi</t>
  </si>
  <si>
    <t>Louie Randolf Juit</t>
  </si>
  <si>
    <t>09275279733</t>
  </si>
  <si>
    <t>LGU-Sagbayan</t>
  </si>
  <si>
    <t>Renan Petalcorin</t>
  </si>
  <si>
    <t>Puting Bato</t>
  </si>
  <si>
    <t>Roelito Juyad</t>
  </si>
  <si>
    <t>Dusita</t>
  </si>
  <si>
    <t>Dantly Canoy</t>
  </si>
  <si>
    <t>099775360054</t>
  </si>
  <si>
    <t>Ranny Baril</t>
  </si>
  <si>
    <t>09812924112</t>
  </si>
  <si>
    <t>October 23-26</t>
  </si>
  <si>
    <t>1 female 1 male</t>
  </si>
  <si>
    <t>Jacob Olano</t>
  </si>
  <si>
    <t>Rachel Arianne Olano</t>
  </si>
  <si>
    <t>Lily Olano</t>
  </si>
  <si>
    <t>Technical assistance</t>
  </si>
  <si>
    <r>
      <t>Total No. Of Beneficiaries:</t>
    </r>
    <r>
      <rPr>
        <b/>
        <sz val="10"/>
        <color rgb="FFFF0000"/>
        <rFont val="Arial"/>
        <family val="2"/>
      </rPr>
      <t xml:space="preserve"> 141</t>
    </r>
  </si>
  <si>
    <r>
      <t>Others:(S.C./PWD)</t>
    </r>
    <r>
      <rPr>
        <b/>
        <u/>
        <sz val="10"/>
        <color rgb="FFFF0000"/>
        <rFont val="Arial"/>
        <family val="2"/>
      </rPr>
      <t xml:space="preserve"> 3</t>
    </r>
  </si>
  <si>
    <t>LGU-Alburquerque</t>
  </si>
  <si>
    <t>East Poblacion</t>
  </si>
  <si>
    <t>09155474057</t>
  </si>
  <si>
    <t>Kristell Maye Alingaja</t>
  </si>
  <si>
    <r>
      <t>Total No. Of Beneficiaries:</t>
    </r>
    <r>
      <rPr>
        <sz val="10"/>
        <color rgb="FFFF0000"/>
        <rFont val="Arial"/>
        <family val="2"/>
      </rPr>
      <t xml:space="preserve"> 12</t>
    </r>
  </si>
  <si>
    <t>October 27</t>
  </si>
  <si>
    <t>November 2023</t>
  </si>
  <si>
    <r>
      <t>Others:(S.C./PWD)</t>
    </r>
    <r>
      <rPr>
        <b/>
        <u/>
        <sz val="10"/>
        <color rgb="FFFF0000"/>
        <rFont val="Arial"/>
        <family val="2"/>
      </rPr>
      <t xml:space="preserve"> </t>
    </r>
  </si>
  <si>
    <t>Kristell Maye Alingasa</t>
  </si>
  <si>
    <t>Modesto Penaflor</t>
  </si>
  <si>
    <t xml:space="preserve">Mantalongon </t>
  </si>
  <si>
    <t>Remigio Betarmos</t>
  </si>
  <si>
    <t>Nicasio Lumagod</t>
  </si>
  <si>
    <t>Cantoogan</t>
  </si>
  <si>
    <t>Jocelyn Kaestle</t>
  </si>
  <si>
    <t>09309289865</t>
  </si>
  <si>
    <t>Rowena Moreno</t>
  </si>
  <si>
    <t>09158120690</t>
  </si>
  <si>
    <t>Alejandro Marilla</t>
  </si>
  <si>
    <t>Jimboy Doydoy</t>
  </si>
  <si>
    <t>09388288326</t>
  </si>
  <si>
    <t>Manuel Valentos</t>
  </si>
  <si>
    <t>09101240781</t>
  </si>
  <si>
    <t>Alicio Secotito Jr.</t>
  </si>
  <si>
    <t>09070270781</t>
  </si>
  <si>
    <t>Pedro Deasis</t>
  </si>
  <si>
    <t>09059669130</t>
  </si>
  <si>
    <t>Jacinto Baricuatro</t>
  </si>
  <si>
    <t>09511531615</t>
  </si>
  <si>
    <t>Aarol Gitgano</t>
  </si>
  <si>
    <t>09128746448</t>
  </si>
  <si>
    <t>Gamalich Virtudazo</t>
  </si>
  <si>
    <t>09511300975</t>
  </si>
  <si>
    <t>Jerwin Anunciado</t>
  </si>
  <si>
    <t>Joseph Kim Celmar</t>
  </si>
  <si>
    <t>09606785334</t>
  </si>
  <si>
    <t>Cherie Angeles</t>
  </si>
  <si>
    <t>09817980315</t>
  </si>
  <si>
    <t>Bebe Bautista</t>
  </si>
  <si>
    <t>Venancio Petalcorin</t>
  </si>
  <si>
    <t>Luel Estillore</t>
  </si>
  <si>
    <t>09636368968</t>
  </si>
  <si>
    <t>Ramil Pojas</t>
  </si>
  <si>
    <t>Bagahan</t>
  </si>
  <si>
    <t>09161295857</t>
  </si>
  <si>
    <t>Alfred Acruz</t>
  </si>
  <si>
    <t>November 3</t>
  </si>
  <si>
    <t>William Cosin</t>
  </si>
  <si>
    <t>09687073620</t>
  </si>
  <si>
    <t>Edgar Pacaldo</t>
  </si>
  <si>
    <t>Imie Musong</t>
  </si>
  <si>
    <t>Jessreal Porras</t>
  </si>
  <si>
    <t>09273651552</t>
  </si>
  <si>
    <t>Jonel Saldom</t>
  </si>
  <si>
    <t>Priscilo Campos</t>
  </si>
  <si>
    <t>09567590478</t>
  </si>
  <si>
    <t>09854414114</t>
  </si>
  <si>
    <t>Cirilo Agang</t>
  </si>
  <si>
    <t>John Leister Dapar</t>
  </si>
  <si>
    <t>09446237907</t>
  </si>
  <si>
    <t>Nimrod Gitgano</t>
  </si>
  <si>
    <t>09102032451</t>
  </si>
  <si>
    <t>Carlo Aparicio</t>
  </si>
  <si>
    <t>Armand Cañete</t>
  </si>
  <si>
    <t>Christovan Gener</t>
  </si>
  <si>
    <t>Melbert Ompay</t>
  </si>
  <si>
    <t>Joseph Ayenza</t>
  </si>
  <si>
    <t>Alberto Logroño</t>
  </si>
  <si>
    <t>Emeliano Divino</t>
  </si>
  <si>
    <t>Bernaro Bolonos</t>
  </si>
  <si>
    <t>09701220132</t>
  </si>
  <si>
    <t>Peregrino Marzon Jr.</t>
  </si>
  <si>
    <t>Alfie Tagyam</t>
  </si>
  <si>
    <t>09707756419</t>
  </si>
  <si>
    <t>Alberto Lerion</t>
  </si>
  <si>
    <t>San Vicente, San Miguel Association</t>
  </si>
  <si>
    <t>Anabelle Rasonabe</t>
  </si>
  <si>
    <t>Nilo Niones</t>
  </si>
  <si>
    <t>Rufo Cabulao</t>
  </si>
  <si>
    <t>09260760031</t>
  </si>
  <si>
    <t>Beatriz Jumamoy</t>
  </si>
  <si>
    <t>09360883196</t>
  </si>
  <si>
    <t>Ike Beltran</t>
  </si>
  <si>
    <t>09560029280</t>
  </si>
  <si>
    <t>Jerlyn Palingcod</t>
  </si>
  <si>
    <t>09303138162</t>
  </si>
  <si>
    <t>Ismael Tumanda</t>
  </si>
  <si>
    <t>09703853431</t>
  </si>
  <si>
    <t>November 6</t>
  </si>
  <si>
    <t>1 female</t>
  </si>
  <si>
    <t>LGU-Cortes</t>
  </si>
  <si>
    <t>09383731515</t>
  </si>
  <si>
    <t>Josefina Balabag</t>
  </si>
  <si>
    <t>LGU-Mabini</t>
  </si>
  <si>
    <t>09929701585</t>
  </si>
  <si>
    <t>Wowie Estorba</t>
  </si>
  <si>
    <t>Maretsam Miculob</t>
  </si>
  <si>
    <t>Dantley Canoy</t>
  </si>
  <si>
    <t>09978360054</t>
  </si>
  <si>
    <t>Harold Melliza</t>
  </si>
  <si>
    <t>09488793619</t>
  </si>
  <si>
    <t>Jevelyn Torrentira</t>
  </si>
  <si>
    <t>Eduardo Salpocial</t>
  </si>
  <si>
    <t>Rhenner Pecolados</t>
  </si>
  <si>
    <t>Roselle Pabonita</t>
  </si>
  <si>
    <t>09854437078</t>
  </si>
  <si>
    <t>Rolie Cereligia</t>
  </si>
  <si>
    <t>Ma. Emely Gualiza</t>
  </si>
  <si>
    <t>Henry Ogario</t>
  </si>
  <si>
    <t>Antonio Genita Jr.</t>
  </si>
  <si>
    <t>Bagumbayan</t>
  </si>
  <si>
    <t>Peter Buslon</t>
  </si>
  <si>
    <t>09994984305</t>
  </si>
  <si>
    <t>Jason Degamo</t>
  </si>
  <si>
    <t>Baluarte</t>
  </si>
  <si>
    <t>09679503015</t>
  </si>
  <si>
    <t>Anecito Dico</t>
  </si>
  <si>
    <t>Bryan Ceroy</t>
  </si>
  <si>
    <t>Jayson Añosa</t>
  </si>
  <si>
    <t>09102049186</t>
  </si>
  <si>
    <t>Lito Luminarias</t>
  </si>
  <si>
    <t>09075260029</t>
  </si>
  <si>
    <t>Jerrick Marzon</t>
  </si>
  <si>
    <t>09509249373</t>
  </si>
  <si>
    <t>Emerson Ramirez</t>
  </si>
  <si>
    <t>09977254749</t>
  </si>
  <si>
    <t>Jonel Anub</t>
  </si>
  <si>
    <t>Jessica Olandria</t>
  </si>
  <si>
    <t>09490945874</t>
  </si>
  <si>
    <t>Matias Saren</t>
  </si>
  <si>
    <t>Calinginan Norte</t>
  </si>
  <si>
    <t>Rocky Cutamora</t>
  </si>
  <si>
    <t>San Pascual</t>
  </si>
  <si>
    <t>Michael Eyas</t>
  </si>
  <si>
    <t>Adulfo Juit</t>
  </si>
  <si>
    <t>Bunacan</t>
  </si>
  <si>
    <t>Gretchen Malubay</t>
  </si>
  <si>
    <t>09756757154</t>
  </si>
  <si>
    <t>Manda-og</t>
  </si>
  <si>
    <t>Norman Tindoy</t>
  </si>
  <si>
    <t>09999951687</t>
  </si>
  <si>
    <t>Juanito Loparto</t>
  </si>
  <si>
    <t>09501304233</t>
  </si>
  <si>
    <t>Christopher Gener</t>
  </si>
  <si>
    <t>Jenniel Salahid</t>
  </si>
  <si>
    <t>09928633366</t>
  </si>
  <si>
    <t>Jesus Omac</t>
  </si>
  <si>
    <t>09178211349</t>
  </si>
  <si>
    <t>Basilia Ole</t>
  </si>
  <si>
    <t>09073439234</t>
  </si>
  <si>
    <t>Felomino Magdua II</t>
  </si>
  <si>
    <t>Vallerhermoso</t>
  </si>
  <si>
    <t>09979927942</t>
  </si>
  <si>
    <t>Romualdo Cenita</t>
  </si>
  <si>
    <t xml:space="preserve">Tungod </t>
  </si>
  <si>
    <t>09355032672</t>
  </si>
  <si>
    <t>Jacquelene Dalleon</t>
  </si>
  <si>
    <t>Cansibao</t>
  </si>
  <si>
    <t>09977963653</t>
  </si>
  <si>
    <t>November 13</t>
  </si>
  <si>
    <t>2 male 1 female</t>
  </si>
  <si>
    <t>November 8-13</t>
  </si>
  <si>
    <t>Loreta Divinagracia</t>
  </si>
  <si>
    <t>LGU-San Isidro</t>
  </si>
  <si>
    <t>09171438570</t>
  </si>
  <si>
    <t>Bonie Mantabute</t>
  </si>
  <si>
    <t>Requillo Samuya</t>
  </si>
  <si>
    <t>Rogelio Nogalada Jr.</t>
  </si>
  <si>
    <t>Marcelo Cempron</t>
  </si>
  <si>
    <t>09429390606</t>
  </si>
  <si>
    <t>Jennifer Ole</t>
  </si>
  <si>
    <t>Cabanugan</t>
  </si>
  <si>
    <t>09382448587</t>
  </si>
  <si>
    <t>Robert Abo-abo</t>
  </si>
  <si>
    <t>09287129825</t>
  </si>
  <si>
    <t>Julito Hibalay</t>
  </si>
  <si>
    <t>09907304817</t>
  </si>
  <si>
    <t>09285874987</t>
  </si>
  <si>
    <t>Pamie Espinal</t>
  </si>
  <si>
    <t>La Libertad</t>
  </si>
  <si>
    <t>09958862071</t>
  </si>
  <si>
    <t>Premo Papalid</t>
  </si>
  <si>
    <t>LGU-Batuan</t>
  </si>
  <si>
    <t>09667564563</t>
  </si>
  <si>
    <t>Antonino Pancho</t>
  </si>
  <si>
    <t>Rechie Umapas</t>
  </si>
  <si>
    <t>2 male</t>
  </si>
  <si>
    <t>8-10</t>
  </si>
  <si>
    <t>16</t>
  </si>
  <si>
    <t>09367628840</t>
  </si>
  <si>
    <t>Ruel Suizo</t>
  </si>
  <si>
    <t>Jastoni Bulala</t>
  </si>
  <si>
    <t>Oscar Torrejas</t>
  </si>
  <si>
    <t>Rogelio Nogaloda</t>
  </si>
  <si>
    <t>Johnny Cajes</t>
  </si>
  <si>
    <t xml:space="preserve">Ramon Cruda Jr. </t>
  </si>
  <si>
    <t>09753138526</t>
  </si>
  <si>
    <t>Rene Magdula</t>
  </si>
  <si>
    <t>Rino Corda</t>
  </si>
  <si>
    <t>Paulo Cajote</t>
  </si>
  <si>
    <t>Jupher Labajo</t>
  </si>
  <si>
    <t>Cirilo Petagara</t>
  </si>
  <si>
    <t>Jeson Bautista</t>
  </si>
  <si>
    <t>Aldrin Tinaja</t>
  </si>
  <si>
    <t>November 15-16</t>
  </si>
  <si>
    <t>Juanita Amparado</t>
  </si>
  <si>
    <t>Julien Bagaloyos</t>
  </si>
  <si>
    <t>Catagbacan</t>
  </si>
  <si>
    <t>Mario Bautista</t>
  </si>
  <si>
    <t>Eufracio Patigdas</t>
  </si>
  <si>
    <t>09276222273</t>
  </si>
  <si>
    <t>Mercy Darios Añora</t>
  </si>
  <si>
    <t>Edgardo Mondido</t>
  </si>
  <si>
    <t>09764459202</t>
  </si>
  <si>
    <t>LGU-Loay</t>
  </si>
  <si>
    <t>09380697501</t>
  </si>
  <si>
    <t>Francis Solera</t>
  </si>
  <si>
    <t>Cagawasan Tilapia Growers Association (CATILGA)</t>
  </si>
  <si>
    <t>Salome Lanoy</t>
  </si>
  <si>
    <t>21-22</t>
  </si>
  <si>
    <t>November 20-21</t>
  </si>
  <si>
    <t>November 20-22</t>
  </si>
  <si>
    <t>1 male 1 female</t>
  </si>
  <si>
    <t>Rodrigo Gumamoy</t>
  </si>
  <si>
    <t>Sanny Boy Añasco</t>
  </si>
  <si>
    <t>09458178974</t>
  </si>
  <si>
    <t>Juliser Mangmang</t>
  </si>
  <si>
    <t>Paterna Renegado</t>
  </si>
  <si>
    <t>09212446091</t>
  </si>
  <si>
    <t>09488682362</t>
  </si>
  <si>
    <t>Heracleo Doysabas</t>
  </si>
  <si>
    <t>Segundo Laranjo</t>
  </si>
  <si>
    <t>Agahay</t>
  </si>
  <si>
    <t>09106864192</t>
  </si>
  <si>
    <t>Ricky Caño</t>
  </si>
  <si>
    <t>Toril</t>
  </si>
  <si>
    <t>09463460729</t>
  </si>
  <si>
    <t>Lucio Acain</t>
  </si>
  <si>
    <t>LGU-Maribojoc</t>
  </si>
  <si>
    <t>09129010604</t>
  </si>
  <si>
    <t>Ma. Cindy Escabillas</t>
  </si>
  <si>
    <t>Christopher Cenabre</t>
  </si>
  <si>
    <t>09561035527</t>
  </si>
  <si>
    <t>Adrian Cabrera</t>
  </si>
  <si>
    <t>Nelson Apa-ap</t>
  </si>
  <si>
    <t>09104935397</t>
  </si>
  <si>
    <t>Rosemary Degamo</t>
  </si>
  <si>
    <t>09505338736</t>
  </si>
  <si>
    <t>Louie Dico</t>
  </si>
  <si>
    <t>Eric James Homerez</t>
  </si>
  <si>
    <t>Ronald Navarro</t>
  </si>
  <si>
    <t>Ronalyn Infesto</t>
  </si>
  <si>
    <t>Filemon Cagulada</t>
  </si>
  <si>
    <t>09488859122</t>
  </si>
  <si>
    <t>Ramil Lansang</t>
  </si>
  <si>
    <t>Santos Alquizar</t>
  </si>
  <si>
    <t>Felipe Miano</t>
  </si>
  <si>
    <t>Tuntonan</t>
  </si>
  <si>
    <t>November 23-28</t>
  </si>
  <si>
    <t>23</t>
  </si>
  <si>
    <r>
      <t>Total No. Of Beneficiaries:</t>
    </r>
    <r>
      <rPr>
        <b/>
        <sz val="10"/>
        <color rgb="FFFF0000"/>
        <rFont val="Arial"/>
        <family val="2"/>
      </rPr>
      <t xml:space="preserve"> </t>
    </r>
    <r>
      <rPr>
        <b/>
        <u/>
        <sz val="10"/>
        <color rgb="FFFF0000"/>
        <rFont val="Arial"/>
        <family val="2"/>
      </rPr>
      <t>163</t>
    </r>
  </si>
  <si>
    <t>2 female</t>
  </si>
  <si>
    <r>
      <t>Total No. Of Beneficiaries:</t>
    </r>
    <r>
      <rPr>
        <sz val="10"/>
        <color rgb="FFFF0000"/>
        <rFont val="Arial"/>
        <family val="2"/>
      </rPr>
      <t xml:space="preserve"> </t>
    </r>
    <r>
      <rPr>
        <b/>
        <u/>
        <sz val="10"/>
        <color rgb="FFFF0000"/>
        <rFont val="Arial"/>
        <family val="2"/>
      </rPr>
      <t>10</t>
    </r>
  </si>
  <si>
    <t>December 2023</t>
  </si>
  <si>
    <t>Maximiano Requillo</t>
  </si>
  <si>
    <t>Cansagwit</t>
  </si>
  <si>
    <t>Rodrigo dela Torre</t>
  </si>
  <si>
    <t>Armando Bitang</t>
  </si>
  <si>
    <t>Jhunjie Añosa</t>
  </si>
  <si>
    <t>09467236536</t>
  </si>
  <si>
    <t>Jhon Kyle Lanoy</t>
  </si>
  <si>
    <t>0963824794</t>
  </si>
  <si>
    <t>Donald Namanama</t>
  </si>
  <si>
    <t>09368449122</t>
  </si>
  <si>
    <t>Jacinto Lozada</t>
  </si>
  <si>
    <t>Jose Torrenueva Jr.</t>
  </si>
  <si>
    <t>Oresia Gumop-as</t>
  </si>
  <si>
    <t>Fotlongcam</t>
  </si>
  <si>
    <t>Boy Ligaya</t>
  </si>
  <si>
    <t>09091905582</t>
  </si>
  <si>
    <t>Joseph Suello</t>
  </si>
  <si>
    <t>Edgar Bacquial</t>
  </si>
  <si>
    <t>Arnel Millanes</t>
  </si>
  <si>
    <t>09126939096</t>
  </si>
  <si>
    <t>Jocres Gaudicos</t>
  </si>
  <si>
    <t>Cantumocad</t>
  </si>
  <si>
    <t>09384708297</t>
  </si>
  <si>
    <t>Greg Cloma</t>
  </si>
  <si>
    <t>El Salvador</t>
  </si>
  <si>
    <t>Roberto Baculfo</t>
  </si>
  <si>
    <t>Jone Ruy Gonzaga</t>
  </si>
  <si>
    <t>Moises Nunag</t>
  </si>
  <si>
    <t>09385135052</t>
  </si>
  <si>
    <t>Carlo Bitao</t>
  </si>
  <si>
    <t>Masunoy</t>
  </si>
  <si>
    <t>December 1-4</t>
  </si>
  <si>
    <t>Edwin Tanduyan</t>
  </si>
  <si>
    <t>tilapia</t>
  </si>
  <si>
    <t>hito</t>
  </si>
  <si>
    <t>Raymond Nixer Coloma Sr.</t>
  </si>
  <si>
    <t>Lincod</t>
  </si>
  <si>
    <t>Lorna Padillos</t>
  </si>
  <si>
    <t>09354224176</t>
  </si>
  <si>
    <t>Arnel Quimpang</t>
  </si>
  <si>
    <t>Lucob</t>
  </si>
  <si>
    <t>Felipe Dupa</t>
  </si>
  <si>
    <t>Mario Libado</t>
  </si>
  <si>
    <t>Alfredo Sevilla Jr.</t>
  </si>
  <si>
    <t>Hyden Basagan</t>
  </si>
  <si>
    <t>09938935688</t>
  </si>
  <si>
    <t>Angelito Boaquin</t>
  </si>
  <si>
    <t>Yong Mayol</t>
  </si>
  <si>
    <t>09108808201</t>
  </si>
  <si>
    <t>Victor Castro</t>
  </si>
  <si>
    <t>Gabi</t>
  </si>
  <si>
    <t>09651458199</t>
  </si>
  <si>
    <t>Danny Niepes</t>
  </si>
  <si>
    <t>Romeo Madriaga</t>
  </si>
  <si>
    <t>Rhio Suarez</t>
  </si>
  <si>
    <t>09606788549</t>
  </si>
  <si>
    <t xml:space="preserve">Lawis </t>
  </si>
  <si>
    <t>Vivo Florente</t>
  </si>
  <si>
    <t>Ilijan</t>
  </si>
  <si>
    <t>09853166237</t>
  </si>
  <si>
    <t>Agustin Roperos</t>
  </si>
  <si>
    <t>Justiniano Balayo</t>
  </si>
  <si>
    <t>Romeo Mancha</t>
  </si>
  <si>
    <t>Ruel Lofranco</t>
  </si>
  <si>
    <t>Fernando Saliot</t>
  </si>
  <si>
    <t>Remar Auza</t>
  </si>
  <si>
    <t>Bonifacio Amihan Jr.</t>
  </si>
  <si>
    <t>09364533128</t>
  </si>
  <si>
    <t>Alve Serolijos</t>
  </si>
  <si>
    <t>09308302406</t>
  </si>
  <si>
    <t>Jacob Ylaya</t>
  </si>
  <si>
    <t>Exequiel Golosiano</t>
  </si>
  <si>
    <t>Guinakot</t>
  </si>
  <si>
    <t>Rudy Niepes</t>
  </si>
  <si>
    <t>Arnulfo Genzon</t>
  </si>
  <si>
    <t>Gerardo Almonte</t>
  </si>
  <si>
    <t>San Francisco</t>
  </si>
  <si>
    <t>09388099009</t>
  </si>
  <si>
    <t>Edgar Alampayan</t>
  </si>
  <si>
    <t>Ricardo Dumanayos</t>
  </si>
  <si>
    <t>Los Angeles</t>
  </si>
  <si>
    <t>09306989979</t>
  </si>
  <si>
    <t>LGU-Sevilla / MUFFA</t>
  </si>
  <si>
    <t>09302864761</t>
  </si>
  <si>
    <t>LGU-Dagohoy / Cagawasan IA</t>
  </si>
  <si>
    <t>Franklin Celocia</t>
  </si>
  <si>
    <t>Bunot-bunot</t>
  </si>
  <si>
    <t>Saturnino Petalcorin</t>
  </si>
  <si>
    <t>Cantumogcad</t>
  </si>
  <si>
    <t>Rodney Ian Castillon</t>
  </si>
  <si>
    <t>Dait Norte</t>
  </si>
  <si>
    <t>December 5-11</t>
  </si>
  <si>
    <t>Alfredo Cajes Jr.</t>
  </si>
  <si>
    <t>09151778191</t>
  </si>
  <si>
    <t>Efren Sevilla</t>
  </si>
  <si>
    <t>Candaingan</t>
  </si>
  <si>
    <t>Regie Avenido</t>
  </si>
  <si>
    <t>Enrique Gara</t>
  </si>
  <si>
    <t>Marivic Ompoy</t>
  </si>
  <si>
    <t>09488480522</t>
  </si>
  <si>
    <t>Jabes Lamiguid</t>
  </si>
  <si>
    <t>09050448262</t>
  </si>
  <si>
    <t>Emran Shaffe</t>
  </si>
  <si>
    <t>09506005429</t>
  </si>
  <si>
    <t>Carlito Aparece</t>
  </si>
  <si>
    <t>Cagay-an</t>
  </si>
  <si>
    <t>Parowald Bernido</t>
  </si>
  <si>
    <t>09754527210</t>
  </si>
  <si>
    <t>Marlou Marson</t>
  </si>
  <si>
    <t>09064525417</t>
  </si>
  <si>
    <t>Edwina Acain</t>
  </si>
  <si>
    <t>Roland Valentos</t>
  </si>
  <si>
    <t>09512356451</t>
  </si>
  <si>
    <t>Ramon Pardillo</t>
  </si>
  <si>
    <t>Isidro Estaniola</t>
  </si>
  <si>
    <t>Evangelane Cutamora</t>
  </si>
  <si>
    <t>09540746159</t>
  </si>
  <si>
    <t>Ruben Timbal</t>
  </si>
  <si>
    <t>Ilaud</t>
  </si>
  <si>
    <t>December 12-13</t>
  </si>
  <si>
    <t>Evamie Millosa</t>
  </si>
  <si>
    <t>09358564402</t>
  </si>
  <si>
    <t>LGU-Dagohoy</t>
  </si>
  <si>
    <t>09187444381</t>
  </si>
  <si>
    <t>Mercelyn Torrenueva</t>
  </si>
  <si>
    <t>09706282537</t>
  </si>
  <si>
    <t>Diosdado Ronan</t>
  </si>
  <si>
    <t>Victor Aparece</t>
  </si>
  <si>
    <t>09663626152</t>
  </si>
  <si>
    <t>09511322377</t>
  </si>
  <si>
    <t>Jan Warren Inferido</t>
  </si>
  <si>
    <t>09493294572</t>
  </si>
  <si>
    <t>Ma. Sali Poquita</t>
  </si>
  <si>
    <t>Rey Daguing</t>
  </si>
  <si>
    <t>09506690677</t>
  </si>
  <si>
    <t>Pelegrino Gandulfos</t>
  </si>
  <si>
    <t>Mark Cano</t>
  </si>
  <si>
    <t>Bonifavio Obquia</t>
  </si>
  <si>
    <t>Laorino Melancolico</t>
  </si>
  <si>
    <t>Overland</t>
  </si>
  <si>
    <t>Romulo Bulotano</t>
  </si>
  <si>
    <t>Cabulijan</t>
  </si>
  <si>
    <t>Zyrus Rabuya</t>
  </si>
  <si>
    <t>09925257589</t>
  </si>
  <si>
    <t>Jessie Bitasolo</t>
  </si>
  <si>
    <t>09361682069</t>
  </si>
  <si>
    <t>Tanny Gerebese</t>
  </si>
  <si>
    <t>09606164391</t>
  </si>
  <si>
    <t>Victor Infiesto</t>
  </si>
  <si>
    <t>Felix Pasco</t>
  </si>
  <si>
    <t>09613875773</t>
  </si>
  <si>
    <t>Artemio Cubio</t>
  </si>
  <si>
    <t>09302732737</t>
  </si>
  <si>
    <t>Julito Olarita</t>
  </si>
  <si>
    <t>Babag</t>
  </si>
  <si>
    <t>Soturo Niones Jr.</t>
  </si>
  <si>
    <t>Ramon Sarong Jr.</t>
  </si>
  <si>
    <t>09634889991</t>
  </si>
  <si>
    <t>Crispina Estocado</t>
  </si>
  <si>
    <t>Dao</t>
  </si>
  <si>
    <t>09077194634</t>
  </si>
  <si>
    <t>Mary Ann Degamo</t>
  </si>
  <si>
    <t>09978324222</t>
  </si>
  <si>
    <t>Welbert Macabudbud</t>
  </si>
  <si>
    <t>09079102156</t>
  </si>
  <si>
    <t>Ven Queboy Gelbolingo</t>
  </si>
  <si>
    <t>Philip Ponte</t>
  </si>
  <si>
    <t xml:space="preserve">Calangahan </t>
  </si>
  <si>
    <t>09271866995</t>
  </si>
  <si>
    <t>Felix Lasuta</t>
  </si>
  <si>
    <t>Junrie Fernandez</t>
  </si>
  <si>
    <t>Demetrio Dinoy</t>
  </si>
  <si>
    <t>Elizabeth Juaton</t>
  </si>
  <si>
    <t>09425377563</t>
  </si>
  <si>
    <t>09562009602</t>
  </si>
  <si>
    <t>Romel Dupa</t>
  </si>
  <si>
    <t>09063279404</t>
  </si>
  <si>
    <t>Marino Montojo</t>
  </si>
  <si>
    <t>Ruel Escol</t>
  </si>
  <si>
    <t xml:space="preserve">Guinacot </t>
  </si>
  <si>
    <t>09164469543</t>
  </si>
  <si>
    <t>December 15-27</t>
  </si>
  <si>
    <t>Bakinayao Farmers Irrigators Association</t>
  </si>
  <si>
    <t>Technical Assistance</t>
  </si>
  <si>
    <t>Paril-Cambiroon Irrigators Association</t>
  </si>
  <si>
    <t>Buenavista / Inabanga</t>
  </si>
  <si>
    <t>Antonio Munez</t>
  </si>
  <si>
    <r>
      <t>Total No. Of Beneficiaries:</t>
    </r>
    <r>
      <rPr>
        <b/>
        <sz val="10"/>
        <color rgb="FFFF0000"/>
        <rFont val="Arial"/>
        <family val="2"/>
      </rPr>
      <t xml:space="preserve"> </t>
    </r>
    <r>
      <rPr>
        <b/>
        <u/>
        <sz val="10"/>
        <color rgb="FFFF0000"/>
        <rFont val="Arial"/>
        <family val="2"/>
      </rPr>
      <t>132</t>
    </r>
  </si>
  <si>
    <r>
      <t>Others:(S.C./PWD):</t>
    </r>
    <r>
      <rPr>
        <b/>
        <u/>
        <sz val="10"/>
        <color rgb="FFFF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30</t>
    </r>
  </si>
  <si>
    <t>Roy Baay</t>
  </si>
  <si>
    <r>
      <t>Total No. Of Beneficiaries: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</si>
</sst>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_);_(* \(#,##0.0\);_(* &quot;-&quot;?_);_(@_)"/>
    <numFmt numFmtId="167" formatCode="_(* #,##0_);_(* \(#,##0\);_(* &quot;-&quot;?_);_(@_)"/>
  </numFmts>
  <fonts count="65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u/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3"/>
      <color theme="1"/>
      <name val="Calibri"/>
      <family val="2"/>
      <scheme val="minor"/>
    </font>
    <font>
      <b/>
      <i/>
      <sz val="20"/>
      <color theme="3"/>
      <name val="Cambria"/>
      <family val="1"/>
      <scheme val="major"/>
    </font>
    <font>
      <b/>
      <u/>
      <sz val="10"/>
      <color rgb="FFFF0000"/>
      <name val="Arial"/>
      <family val="2"/>
    </font>
    <font>
      <b/>
      <u/>
      <sz val="9"/>
      <color rgb="FFFF0000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b/>
      <u/>
      <sz val="11"/>
      <color rgb="FFFF0000"/>
      <name val="Calibri"/>
      <family val="2"/>
      <scheme val="minor"/>
    </font>
    <font>
      <sz val="11"/>
      <color theme="5"/>
      <name val="Arial"/>
      <family val="2"/>
    </font>
    <font>
      <sz val="14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i/>
      <sz val="10"/>
      <name val="Arial"/>
      <family val="2"/>
    </font>
    <font>
      <b/>
      <i/>
      <sz val="18"/>
      <color rgb="FFFF000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i/>
      <sz val="14"/>
      <color rgb="FF00B0F0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0070C0"/>
      <name val="Cambria"/>
      <family val="1"/>
      <scheme val="major"/>
    </font>
    <font>
      <b/>
      <sz val="1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20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1"/>
      <color indexed="81"/>
      <name val="Tahoma"/>
      <family val="2"/>
    </font>
    <font>
      <sz val="12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4"/>
      <color indexed="81"/>
      <name val="Tahoma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9"/>
      <color rgb="FFFF0000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  <font>
      <sz val="14"/>
      <color rgb="FF00206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BD3F2"/>
        <bgColor indexed="64"/>
      </patternFill>
    </fill>
    <fill>
      <patternFill patternType="solid">
        <fgColor rgb="FFC9A6E4"/>
        <bgColor indexed="64"/>
      </patternFill>
    </fill>
    <fill>
      <patternFill patternType="solid">
        <fgColor rgb="FFBDFFB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0D9F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8D184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11" fillId="12" borderId="32" applyNumberFormat="0" applyFont="0" applyAlignment="0" applyProtection="0"/>
  </cellStyleXfs>
  <cellXfs count="6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4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5" fillId="0" borderId="5" xfId="0" applyFont="1" applyBorder="1"/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4" xfId="0" applyFont="1" applyBorder="1" applyAlignment="1">
      <alignment horizontal="center"/>
    </xf>
    <xf numFmtId="0" fontId="8" fillId="0" borderId="11" xfId="0" applyFont="1" applyBorder="1"/>
    <xf numFmtId="38" fontId="9" fillId="0" borderId="4" xfId="0" applyNumberFormat="1" applyFont="1" applyBorder="1" applyAlignment="1">
      <alignment horizontal="center"/>
    </xf>
    <xf numFmtId="4" fontId="9" fillId="0" borderId="4" xfId="0" applyNumberFormat="1" applyFont="1" applyBorder="1" applyAlignment="1">
      <alignment horizontal="center"/>
    </xf>
    <xf numFmtId="0" fontId="0" fillId="0" borderId="11" xfId="0" applyBorder="1"/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left"/>
    </xf>
    <xf numFmtId="0" fontId="8" fillId="0" borderId="4" xfId="0" applyFont="1" applyBorder="1"/>
    <xf numFmtId="0" fontId="9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7" fillId="0" borderId="5" xfId="0" applyFont="1" applyBorder="1"/>
    <xf numFmtId="0" fontId="7" fillId="0" borderId="5" xfId="0" applyFont="1" applyBorder="1" applyAlignment="1">
      <alignment horizontal="center"/>
    </xf>
    <xf numFmtId="0" fontId="0" fillId="0" borderId="14" xfId="0" applyBorder="1"/>
    <xf numFmtId="3" fontId="0" fillId="0" borderId="14" xfId="0" applyNumberFormat="1" applyBorder="1"/>
    <xf numFmtId="3" fontId="0" fillId="0" borderId="0" xfId="0" applyNumberFormat="1"/>
    <xf numFmtId="0" fontId="4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4" fontId="0" fillId="0" borderId="0" xfId="0" applyNumberFormat="1"/>
    <xf numFmtId="0" fontId="0" fillId="0" borderId="2" xfId="0" applyBorder="1"/>
    <xf numFmtId="0" fontId="5" fillId="0" borderId="12" xfId="0" applyFont="1" applyBorder="1"/>
    <xf numFmtId="0" fontId="7" fillId="0" borderId="0" xfId="0" applyFont="1" applyAlignment="1">
      <alignment horizontal="right"/>
    </xf>
    <xf numFmtId="0" fontId="0" fillId="0" borderId="5" xfId="0" applyBorder="1"/>
    <xf numFmtId="0" fontId="8" fillId="0" borderId="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4" fontId="0" fillId="0" borderId="2" xfId="0" applyNumberFormat="1" applyBorder="1"/>
    <xf numFmtId="0" fontId="9" fillId="0" borderId="4" xfId="0" applyFont="1" applyBorder="1" applyAlignment="1">
      <alignment horizontal="center"/>
    </xf>
    <xf numFmtId="0" fontId="0" fillId="0" borderId="4" xfId="0" applyBorder="1" applyAlignment="1">
      <alignment horizontal="right"/>
    </xf>
    <xf numFmtId="3" fontId="8" fillId="0" borderId="4" xfId="0" applyNumberFormat="1" applyFont="1" applyBorder="1" applyAlignment="1">
      <alignment horizontal="center"/>
    </xf>
    <xf numFmtId="0" fontId="8" fillId="0" borderId="11" xfId="0" applyFont="1" applyBorder="1" applyAlignment="1">
      <alignment horizontal="right"/>
    </xf>
    <xf numFmtId="4" fontId="7" fillId="0" borderId="4" xfId="0" applyNumberFormat="1" applyFont="1" applyBorder="1"/>
    <xf numFmtId="0" fontId="0" fillId="0" borderId="5" xfId="0" applyBorder="1" applyAlignment="1">
      <alignment horizontal="right"/>
    </xf>
    <xf numFmtId="0" fontId="8" fillId="0" borderId="0" xfId="0" applyFont="1" applyAlignment="1">
      <alignment horizontal="center"/>
    </xf>
    <xf numFmtId="0" fontId="7" fillId="0" borderId="5" xfId="0" applyFont="1" applyBorder="1" applyAlignment="1">
      <alignment horizontal="right"/>
    </xf>
    <xf numFmtId="3" fontId="8" fillId="0" borderId="6" xfId="0" applyNumberFormat="1" applyFont="1" applyBorder="1" applyAlignment="1">
      <alignment horizontal="center"/>
    </xf>
    <xf numFmtId="4" fontId="7" fillId="0" borderId="5" xfId="0" applyNumberFormat="1" applyFont="1" applyBorder="1"/>
    <xf numFmtId="0" fontId="10" fillId="0" borderId="14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right"/>
    </xf>
    <xf numFmtId="4" fontId="0" fillId="0" borderId="14" xfId="0" applyNumberFormat="1" applyBorder="1"/>
    <xf numFmtId="0" fontId="9" fillId="0" borderId="0" xfId="0" applyFont="1"/>
    <xf numFmtId="0" fontId="16" fillId="0" borderId="3" xfId="0" applyFont="1" applyBorder="1"/>
    <xf numFmtId="0" fontId="16" fillId="0" borderId="4" xfId="0" applyFont="1" applyBorder="1"/>
    <xf numFmtId="0" fontId="16" fillId="0" borderId="6" xfId="0" applyFont="1" applyBorder="1"/>
    <xf numFmtId="0" fontId="0" fillId="0" borderId="9" xfId="0" applyBorder="1"/>
    <xf numFmtId="0" fontId="15" fillId="0" borderId="9" xfId="0" applyFont="1" applyBorder="1" applyAlignment="1">
      <alignment horizontal="center" vertical="center"/>
    </xf>
    <xf numFmtId="165" fontId="0" fillId="0" borderId="0" xfId="0" applyNumberFormat="1"/>
    <xf numFmtId="3" fontId="4" fillId="0" borderId="0" xfId="0" applyNumberFormat="1" applyFont="1"/>
    <xf numFmtId="0" fontId="0" fillId="0" borderId="0" xfId="0" applyAlignment="1">
      <alignment vertical="center"/>
    </xf>
    <xf numFmtId="43" fontId="9" fillId="0" borderId="4" xfId="1" applyFont="1" applyFill="1" applyBorder="1" applyAlignment="1">
      <alignment horizontal="center"/>
    </xf>
    <xf numFmtId="43" fontId="0" fillId="0" borderId="14" xfId="1" applyFont="1" applyFill="1" applyBorder="1"/>
    <xf numFmtId="0" fontId="19" fillId="0" borderId="14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38" fontId="4" fillId="0" borderId="0" xfId="0" applyNumberFormat="1" applyFont="1"/>
    <xf numFmtId="0" fontId="9" fillId="0" borderId="5" xfId="0" applyFont="1" applyBorder="1" applyAlignment="1">
      <alignment horizontal="right"/>
    </xf>
    <xf numFmtId="38" fontId="9" fillId="0" borderId="6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16" fillId="0" borderId="7" xfId="0" applyFont="1" applyBorder="1"/>
    <xf numFmtId="0" fontId="16" fillId="0" borderId="12" xfId="0" applyFont="1" applyBorder="1"/>
    <xf numFmtId="0" fontId="16" fillId="0" borderId="13" xfId="0" applyFont="1" applyBorder="1"/>
    <xf numFmtId="166" fontId="0" fillId="0" borderId="0" xfId="0" applyNumberFormat="1"/>
    <xf numFmtId="0" fontId="16" fillId="0" borderId="14" xfId="0" applyFont="1" applyBorder="1" applyAlignment="1">
      <alignment horizontal="center"/>
    </xf>
    <xf numFmtId="0" fontId="2" fillId="0" borderId="0" xfId="0" applyFont="1"/>
    <xf numFmtId="0" fontId="2" fillId="0" borderId="11" xfId="0" applyFont="1" applyBorder="1"/>
    <xf numFmtId="167" fontId="0" fillId="0" borderId="0" xfId="0" applyNumberFormat="1"/>
    <xf numFmtId="0" fontId="2" fillId="0" borderId="14" xfId="0" applyFont="1" applyBorder="1"/>
    <xf numFmtId="0" fontId="2" fillId="0" borderId="5" xfId="0" applyFont="1" applyBorder="1"/>
    <xf numFmtId="43" fontId="4" fillId="0" borderId="0" xfId="1" applyFont="1" applyFill="1"/>
    <xf numFmtId="0" fontId="2" fillId="0" borderId="2" xfId="0" applyFont="1" applyBorder="1"/>
    <xf numFmtId="0" fontId="2" fillId="0" borderId="3" xfId="0" applyFont="1" applyBorder="1"/>
    <xf numFmtId="43" fontId="4" fillId="0" borderId="4" xfId="1" applyFont="1" applyFill="1" applyBorder="1"/>
    <xf numFmtId="0" fontId="2" fillId="0" borderId="6" xfId="0" applyFont="1" applyBorder="1"/>
    <xf numFmtId="43" fontId="4" fillId="0" borderId="2" xfId="1" applyFont="1" applyFill="1" applyBorder="1"/>
    <xf numFmtId="0" fontId="0" fillId="0" borderId="12" xfId="0" applyBorder="1" applyAlignment="1">
      <alignment horizontal="center"/>
    </xf>
    <xf numFmtId="43" fontId="9" fillId="0" borderId="4" xfId="1" applyFont="1" applyFill="1" applyBorder="1"/>
    <xf numFmtId="43" fontId="9" fillId="0" borderId="5" xfId="1" applyFont="1" applyFill="1" applyBorder="1"/>
    <xf numFmtId="43" fontId="0" fillId="0" borderId="0" xfId="1" applyFont="1" applyFill="1" applyBorder="1"/>
    <xf numFmtId="43" fontId="0" fillId="0" borderId="0" xfId="1" applyFont="1" applyFill="1"/>
    <xf numFmtId="43" fontId="9" fillId="0" borderId="0" xfId="1" applyFont="1" applyFill="1"/>
    <xf numFmtId="0" fontId="12" fillId="0" borderId="0" xfId="0" applyFont="1"/>
    <xf numFmtId="43" fontId="4" fillId="0" borderId="0" xfId="1" applyFont="1" applyFill="1" applyAlignment="1"/>
    <xf numFmtId="43" fontId="4" fillId="0" borderId="0" xfId="1" applyFont="1" applyFill="1" applyAlignment="1">
      <alignment horizontal="right"/>
    </xf>
    <xf numFmtId="0" fontId="26" fillId="0" borderId="4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/>
    <xf numFmtId="3" fontId="27" fillId="0" borderId="0" xfId="0" applyNumberFormat="1" applyFont="1" applyAlignment="1">
      <alignment horizontal="left"/>
    </xf>
    <xf numFmtId="0" fontId="30" fillId="0" borderId="4" xfId="0" applyFont="1" applyBorder="1" applyAlignment="1">
      <alignment horizontal="left"/>
    </xf>
    <xf numFmtId="165" fontId="32" fillId="0" borderId="14" xfId="1" applyNumberFormat="1" applyFont="1" applyFill="1" applyBorder="1"/>
    <xf numFmtId="165" fontId="33" fillId="0" borderId="14" xfId="1" applyNumberFormat="1" applyFont="1" applyFill="1" applyBorder="1"/>
    <xf numFmtId="165" fontId="33" fillId="0" borderId="14" xfId="0" applyNumberFormat="1" applyFont="1" applyBorder="1"/>
    <xf numFmtId="165" fontId="32" fillId="0" borderId="14" xfId="1" applyNumberFormat="1" applyFont="1" applyFill="1" applyBorder="1" applyAlignment="1">
      <alignment vertical="center"/>
    </xf>
    <xf numFmtId="0" fontId="32" fillId="0" borderId="14" xfId="0" applyFont="1" applyBorder="1"/>
    <xf numFmtId="165" fontId="32" fillId="0" borderId="14" xfId="1" applyNumberFormat="1" applyFont="1" applyBorder="1"/>
    <xf numFmtId="0" fontId="34" fillId="0" borderId="14" xfId="0" applyFont="1" applyBorder="1" applyAlignment="1">
      <alignment horizontal="right"/>
    </xf>
    <xf numFmtId="0" fontId="14" fillId="0" borderId="0" xfId="0" applyFont="1"/>
    <xf numFmtId="0" fontId="37" fillId="0" borderId="17" xfId="0" applyFont="1" applyBorder="1"/>
    <xf numFmtId="165" fontId="14" fillId="0" borderId="0" xfId="0" applyNumberFormat="1" applyFont="1"/>
    <xf numFmtId="17" fontId="22" fillId="0" borderId="27" xfId="0" applyNumberFormat="1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3" fontId="0" fillId="0" borderId="29" xfId="0" applyNumberFormat="1" applyBorder="1" applyAlignment="1">
      <alignment horizontal="right" vertical="center"/>
    </xf>
    <xf numFmtId="165" fontId="0" fillId="0" borderId="30" xfId="1" applyNumberFormat="1" applyFont="1" applyBorder="1" applyAlignment="1">
      <alignment vertical="center"/>
    </xf>
    <xf numFmtId="165" fontId="0" fillId="0" borderId="29" xfId="1" applyNumberFormat="1" applyFont="1" applyBorder="1" applyAlignment="1">
      <alignment vertical="center"/>
    </xf>
    <xf numFmtId="167" fontId="0" fillId="0" borderId="30" xfId="0" applyNumberFormat="1" applyBorder="1" applyAlignment="1">
      <alignment vertical="center"/>
    </xf>
    <xf numFmtId="0" fontId="0" fillId="0" borderId="29" xfId="0" applyBorder="1" applyAlignment="1">
      <alignment vertical="center"/>
    </xf>
    <xf numFmtId="3" fontId="0" fillId="0" borderId="30" xfId="0" applyNumberFormat="1" applyBorder="1" applyAlignment="1">
      <alignment vertical="center"/>
    </xf>
    <xf numFmtId="3" fontId="0" fillId="0" borderId="26" xfId="0" applyNumberFormat="1" applyBorder="1" applyAlignment="1">
      <alignment horizontal="right" vertical="center"/>
    </xf>
    <xf numFmtId="165" fontId="0" fillId="0" borderId="26" xfId="1" applyNumberFormat="1" applyFont="1" applyBorder="1" applyAlignment="1">
      <alignment vertical="center"/>
    </xf>
    <xf numFmtId="3" fontId="0" fillId="0" borderId="26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165" fontId="0" fillId="0" borderId="26" xfId="1" applyNumberFormat="1" applyFont="1" applyBorder="1" applyAlignment="1">
      <alignment horizontal="right" vertical="center"/>
    </xf>
    <xf numFmtId="0" fontId="0" fillId="0" borderId="31" xfId="0" applyBorder="1" applyAlignment="1">
      <alignment vertical="center"/>
    </xf>
    <xf numFmtId="3" fontId="0" fillId="0" borderId="24" xfId="0" applyNumberFormat="1" applyBorder="1" applyAlignment="1">
      <alignment vertical="center"/>
    </xf>
    <xf numFmtId="165" fontId="11" fillId="0" borderId="25" xfId="1" applyNumberFormat="1" applyFont="1" applyBorder="1" applyAlignment="1">
      <alignment vertical="center"/>
    </xf>
    <xf numFmtId="165" fontId="0" fillId="0" borderId="24" xfId="0" applyNumberFormat="1" applyBorder="1" applyAlignment="1">
      <alignment vertical="center"/>
    </xf>
    <xf numFmtId="3" fontId="0" fillId="0" borderId="25" xfId="0" applyNumberFormat="1" applyBorder="1" applyAlignment="1">
      <alignment vertical="center"/>
    </xf>
    <xf numFmtId="165" fontId="11" fillId="0" borderId="24" xfId="1" applyNumberFormat="1" applyFont="1" applyBorder="1" applyAlignment="1">
      <alignment vertical="center"/>
    </xf>
    <xf numFmtId="165" fontId="40" fillId="0" borderId="0" xfId="0" applyNumberFormat="1" applyFont="1"/>
    <xf numFmtId="0" fontId="40" fillId="0" borderId="0" xfId="0" applyFont="1"/>
    <xf numFmtId="165" fontId="25" fillId="10" borderId="14" xfId="0" applyNumberFormat="1" applyFont="1" applyFill="1" applyBorder="1" applyAlignment="1">
      <alignment vertical="center"/>
    </xf>
    <xf numFmtId="2" fontId="25" fillId="10" borderId="14" xfId="0" applyNumberFormat="1" applyFont="1" applyFill="1" applyBorder="1" applyAlignment="1">
      <alignment vertical="center"/>
    </xf>
    <xf numFmtId="43" fontId="0" fillId="0" borderId="0" xfId="0" applyNumberFormat="1"/>
    <xf numFmtId="20" fontId="0" fillId="0" borderId="0" xfId="0" applyNumberFormat="1"/>
    <xf numFmtId="0" fontId="41" fillId="0" borderId="0" xfId="0" applyFont="1"/>
    <xf numFmtId="165" fontId="41" fillId="6" borderId="0" xfId="0" applyNumberFormat="1" applyFont="1" applyFill="1"/>
    <xf numFmtId="165" fontId="41" fillId="0" borderId="0" xfId="0" applyNumberFormat="1" applyFont="1"/>
    <xf numFmtId="0" fontId="41" fillId="6" borderId="0" xfId="0" applyFont="1" applyFill="1"/>
    <xf numFmtId="0" fontId="42" fillId="0" borderId="0" xfId="0" applyFont="1"/>
    <xf numFmtId="165" fontId="42" fillId="0" borderId="0" xfId="0" applyNumberFormat="1" applyFont="1"/>
    <xf numFmtId="166" fontId="42" fillId="0" borderId="0" xfId="0" applyNumberFormat="1" applyFont="1"/>
    <xf numFmtId="166" fontId="41" fillId="6" borderId="0" xfId="0" applyNumberFormat="1" applyFont="1" applyFill="1"/>
    <xf numFmtId="0" fontId="38" fillId="0" borderId="14" xfId="0" applyFont="1" applyBorder="1" applyAlignment="1">
      <alignment vertical="center"/>
    </xf>
    <xf numFmtId="0" fontId="44" fillId="0" borderId="0" xfId="0" applyFont="1" applyAlignment="1">
      <alignment horizontal="right" vertical="center"/>
    </xf>
    <xf numFmtId="165" fontId="23" fillId="0" borderId="0" xfId="0" applyNumberFormat="1" applyFont="1"/>
    <xf numFmtId="0" fontId="15" fillId="12" borderId="32" xfId="2" applyFont="1" applyAlignment="1">
      <alignment horizontal="center" vertical="center"/>
    </xf>
    <xf numFmtId="9" fontId="15" fillId="12" borderId="32" xfId="2" applyNumberFormat="1" applyFont="1" applyAlignment="1">
      <alignment horizontal="center" vertical="center"/>
    </xf>
    <xf numFmtId="17" fontId="39" fillId="12" borderId="32" xfId="2" quotePrefix="1" applyNumberFormat="1" applyFont="1" applyAlignment="1">
      <alignment vertical="center"/>
    </xf>
    <xf numFmtId="0" fontId="0" fillId="12" borderId="32" xfId="2" applyFont="1" applyAlignment="1">
      <alignment horizontal="center" vertical="center"/>
    </xf>
    <xf numFmtId="0" fontId="39" fillId="12" borderId="32" xfId="2" quotePrefix="1" applyFont="1" applyAlignment="1">
      <alignment vertical="center"/>
    </xf>
    <xf numFmtId="165" fontId="0" fillId="12" borderId="32" xfId="2" applyNumberFormat="1" applyFont="1" applyAlignment="1">
      <alignment horizontal="center" vertical="center"/>
    </xf>
    <xf numFmtId="166" fontId="0" fillId="12" borderId="32" xfId="2" applyNumberFormat="1" applyFont="1" applyAlignment="1">
      <alignment horizontal="center" vertical="center"/>
    </xf>
    <xf numFmtId="165" fontId="40" fillId="12" borderId="32" xfId="2" applyNumberFormat="1" applyFont="1"/>
    <xf numFmtId="0" fontId="45" fillId="12" borderId="32" xfId="2" applyFont="1" applyAlignment="1">
      <alignment horizontal="center" vertical="center"/>
    </xf>
    <xf numFmtId="0" fontId="47" fillId="13" borderId="14" xfId="0" applyFont="1" applyFill="1" applyBorder="1"/>
    <xf numFmtId="165" fontId="47" fillId="13" borderId="14" xfId="0" applyNumberFormat="1" applyFont="1" applyFill="1" applyBorder="1"/>
    <xf numFmtId="0" fontId="48" fillId="13" borderId="14" xfId="0" applyFont="1" applyFill="1" applyBorder="1"/>
    <xf numFmtId="17" fontId="33" fillId="0" borderId="14" xfId="0" quotePrefix="1" applyNumberFormat="1" applyFont="1" applyBorder="1" applyAlignment="1">
      <alignment horizontal="center" vertical="center"/>
    </xf>
    <xf numFmtId="165" fontId="32" fillId="0" borderId="14" xfId="1" applyNumberFormat="1" applyFont="1" applyFill="1" applyBorder="1" applyAlignment="1">
      <alignment horizontal="center" vertical="center"/>
    </xf>
    <xf numFmtId="165" fontId="33" fillId="0" borderId="14" xfId="1" applyNumberFormat="1" applyFont="1" applyFill="1" applyBorder="1" applyAlignment="1">
      <alignment horizontal="center" vertical="center"/>
    </xf>
    <xf numFmtId="165" fontId="33" fillId="0" borderId="14" xfId="0" applyNumberFormat="1" applyFont="1" applyBorder="1" applyAlignment="1">
      <alignment horizontal="center" vertical="center"/>
    </xf>
    <xf numFmtId="165" fontId="50" fillId="0" borderId="14" xfId="1" applyNumberFormat="1" applyFont="1" applyFill="1" applyBorder="1" applyAlignment="1">
      <alignment horizontal="center" vertical="center"/>
    </xf>
    <xf numFmtId="3" fontId="50" fillId="0" borderId="14" xfId="0" applyNumberFormat="1" applyFont="1" applyBorder="1" applyAlignment="1">
      <alignment horizontal="center" vertical="center"/>
    </xf>
    <xf numFmtId="17" fontId="33" fillId="0" borderId="14" xfId="0" quotePrefix="1" applyNumberFormat="1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/>
    </xf>
    <xf numFmtId="17" fontId="33" fillId="0" borderId="5" xfId="0" quotePrefix="1" applyNumberFormat="1" applyFont="1" applyBorder="1" applyAlignment="1">
      <alignment horizontal="center" vertical="center"/>
    </xf>
    <xf numFmtId="165" fontId="32" fillId="0" borderId="5" xfId="1" applyNumberFormat="1" applyFont="1" applyFill="1" applyBorder="1" applyAlignment="1">
      <alignment horizontal="center" vertical="center"/>
    </xf>
    <xf numFmtId="165" fontId="33" fillId="0" borderId="5" xfId="1" applyNumberFormat="1" applyFont="1" applyFill="1" applyBorder="1" applyAlignment="1">
      <alignment horizontal="center" vertical="center"/>
    </xf>
    <xf numFmtId="165" fontId="33" fillId="0" borderId="5" xfId="0" applyNumberFormat="1" applyFont="1" applyBorder="1" applyAlignment="1">
      <alignment horizontal="center" vertical="center"/>
    </xf>
    <xf numFmtId="165" fontId="50" fillId="0" borderId="5" xfId="1" applyNumberFormat="1" applyFont="1" applyFill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 wrapText="1"/>
    </xf>
    <xf numFmtId="0" fontId="46" fillId="0" borderId="27" xfId="0" applyFont="1" applyBorder="1" applyAlignment="1">
      <alignment horizontal="center" vertical="center"/>
    </xf>
    <xf numFmtId="0" fontId="46" fillId="0" borderId="28" xfId="0" applyFont="1" applyBorder="1" applyAlignment="1">
      <alignment horizontal="center" vertical="center" wrapText="1"/>
    </xf>
    <xf numFmtId="0" fontId="49" fillId="9" borderId="37" xfId="0" applyFont="1" applyFill="1" applyBorder="1" applyAlignment="1">
      <alignment horizontal="center" vertical="center"/>
    </xf>
    <xf numFmtId="0" fontId="46" fillId="0" borderId="38" xfId="0" applyFont="1" applyBorder="1" applyAlignment="1">
      <alignment horizontal="center" vertical="center" wrapText="1"/>
    </xf>
    <xf numFmtId="0" fontId="2" fillId="0" borderId="14" xfId="0" applyFont="1" applyBorder="1" applyAlignment="1">
      <alignment wrapText="1"/>
    </xf>
    <xf numFmtId="165" fontId="33" fillId="8" borderId="14" xfId="1" applyNumberFormat="1" applyFont="1" applyFill="1" applyBorder="1" applyAlignment="1">
      <alignment horizontal="center" vertical="center"/>
    </xf>
    <xf numFmtId="165" fontId="15" fillId="0" borderId="0" xfId="0" applyNumberFormat="1" applyFont="1"/>
    <xf numFmtId="165" fontId="33" fillId="11" borderId="14" xfId="0" applyNumberFormat="1" applyFont="1" applyFill="1" applyBorder="1"/>
    <xf numFmtId="0" fontId="0" fillId="0" borderId="0" xfId="0" applyAlignment="1">
      <alignment horizontal="center"/>
    </xf>
    <xf numFmtId="0" fontId="7" fillId="0" borderId="11" xfId="0" applyFont="1" applyBorder="1" applyAlignment="1">
      <alignment horizontal="center"/>
    </xf>
    <xf numFmtId="165" fontId="46" fillId="11" borderId="0" xfId="0" applyNumberFormat="1" applyFont="1" applyFill="1"/>
    <xf numFmtId="165" fontId="0" fillId="11" borderId="0" xfId="0" applyNumberFormat="1" applyFill="1"/>
    <xf numFmtId="0" fontId="0" fillId="11" borderId="0" xfId="0" applyFill="1"/>
    <xf numFmtId="166" fontId="0" fillId="11" borderId="0" xfId="0" applyNumberFormat="1" applyFill="1"/>
    <xf numFmtId="0" fontId="54" fillId="0" borderId="14" xfId="0" applyFont="1" applyBorder="1" applyAlignment="1">
      <alignment horizontal="center"/>
    </xf>
    <xf numFmtId="0" fontId="54" fillId="0" borderId="14" xfId="0" applyFont="1" applyBorder="1"/>
    <xf numFmtId="0" fontId="54" fillId="0" borderId="14" xfId="0" quotePrefix="1" applyFont="1" applyBorder="1" applyAlignment="1">
      <alignment vertical="center"/>
    </xf>
    <xf numFmtId="0" fontId="38" fillId="0" borderId="14" xfId="0" applyFont="1" applyBorder="1"/>
    <xf numFmtId="165" fontId="54" fillId="0" borderId="14" xfId="1" applyNumberFormat="1" applyFont="1" applyFill="1" applyBorder="1" applyAlignment="1">
      <alignment vertical="center"/>
    </xf>
    <xf numFmtId="2" fontId="54" fillId="0" borderId="14" xfId="0" applyNumberFormat="1" applyFont="1" applyBorder="1" applyAlignment="1">
      <alignment vertical="center"/>
    </xf>
    <xf numFmtId="165" fontId="54" fillId="0" borderId="14" xfId="1" applyNumberFormat="1" applyFont="1" applyFill="1" applyBorder="1"/>
    <xf numFmtId="0" fontId="2" fillId="14" borderId="14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55" fillId="0" borderId="14" xfId="0" applyFont="1" applyBorder="1" applyAlignment="1">
      <alignment horizontal="center"/>
    </xf>
    <xf numFmtId="0" fontId="55" fillId="0" borderId="14" xfId="0" applyFont="1" applyBorder="1"/>
    <xf numFmtId="0" fontId="55" fillId="0" borderId="14" xfId="0" quotePrefix="1" applyFont="1" applyBorder="1"/>
    <xf numFmtId="3" fontId="2" fillId="0" borderId="14" xfId="0" applyNumberFormat="1" applyFont="1" applyBorder="1"/>
    <xf numFmtId="43" fontId="2" fillId="0" borderId="14" xfId="1" applyFont="1" applyFill="1" applyBorder="1"/>
    <xf numFmtId="0" fontId="55" fillId="11" borderId="14" xfId="0" applyFont="1" applyFill="1" applyBorder="1" applyAlignment="1">
      <alignment horizontal="center"/>
    </xf>
    <xf numFmtId="43" fontId="2" fillId="11" borderId="14" xfId="1" applyFont="1" applyFill="1" applyBorder="1"/>
    <xf numFmtId="0" fontId="55" fillId="11" borderId="14" xfId="0" applyFont="1" applyFill="1" applyBorder="1"/>
    <xf numFmtId="0" fontId="55" fillId="11" borderId="14" xfId="0" quotePrefix="1" applyFont="1" applyFill="1" applyBorder="1"/>
    <xf numFmtId="3" fontId="2" fillId="11" borderId="14" xfId="0" applyNumberFormat="1" applyFont="1" applyFill="1" applyBorder="1"/>
    <xf numFmtId="0" fontId="2" fillId="11" borderId="14" xfId="0" applyFont="1" applyFill="1" applyBorder="1"/>
    <xf numFmtId="165" fontId="55" fillId="0" borderId="14" xfId="1" applyNumberFormat="1" applyFont="1" applyFill="1" applyBorder="1"/>
    <xf numFmtId="43" fontId="55" fillId="0" borderId="14" xfId="1" applyFont="1" applyFill="1" applyBorder="1"/>
    <xf numFmtId="165" fontId="55" fillId="11" borderId="14" xfId="1" applyNumberFormat="1" applyFont="1" applyFill="1" applyBorder="1"/>
    <xf numFmtId="0" fontId="2" fillId="14" borderId="14" xfId="0" applyFont="1" applyFill="1" applyBorder="1"/>
    <xf numFmtId="0" fontId="55" fillId="14" borderId="14" xfId="0" applyFont="1" applyFill="1" applyBorder="1"/>
    <xf numFmtId="0" fontId="55" fillId="14" borderId="14" xfId="0" quotePrefix="1" applyFont="1" applyFill="1" applyBorder="1"/>
    <xf numFmtId="165" fontId="55" fillId="14" borderId="14" xfId="1" applyNumberFormat="1" applyFont="1" applyFill="1" applyBorder="1"/>
    <xf numFmtId="43" fontId="55" fillId="14" borderId="14" xfId="1" applyFont="1" applyFill="1" applyBorder="1"/>
    <xf numFmtId="17" fontId="32" fillId="15" borderId="14" xfId="0" quotePrefix="1" applyNumberFormat="1" applyFont="1" applyFill="1" applyBorder="1"/>
    <xf numFmtId="17" fontId="32" fillId="15" borderId="14" xfId="0" applyNumberFormat="1" applyFont="1" applyFill="1" applyBorder="1"/>
    <xf numFmtId="0" fontId="38" fillId="0" borderId="14" xfId="0" applyFont="1" applyBorder="1" applyAlignment="1">
      <alignment horizontal="center"/>
    </xf>
    <xf numFmtId="0" fontId="54" fillId="0" borderId="14" xfId="0" applyFont="1" applyBorder="1" applyAlignment="1">
      <alignment horizontal="left"/>
    </xf>
    <xf numFmtId="3" fontId="54" fillId="0" borderId="14" xfId="0" applyNumberFormat="1" applyFont="1" applyBorder="1"/>
    <xf numFmtId="0" fontId="54" fillId="0" borderId="14" xfId="0" applyFont="1" applyBorder="1" applyAlignment="1">
      <alignment horizontal="center" vertical="center"/>
    </xf>
    <xf numFmtId="0" fontId="54" fillId="0" borderId="14" xfId="0" quotePrefix="1" applyFont="1" applyBorder="1"/>
    <xf numFmtId="0" fontId="38" fillId="0" borderId="14" xfId="0" applyFont="1" applyBorder="1" applyAlignment="1">
      <alignment wrapText="1"/>
    </xf>
    <xf numFmtId="2" fontId="54" fillId="0" borderId="14" xfId="0" applyNumberFormat="1" applyFont="1" applyBorder="1"/>
    <xf numFmtId="165" fontId="32" fillId="16" borderId="14" xfId="1" applyNumberFormat="1" applyFont="1" applyFill="1" applyBorder="1"/>
    <xf numFmtId="0" fontId="23" fillId="0" borderId="14" xfId="0" applyFont="1" applyBorder="1"/>
    <xf numFmtId="0" fontId="23" fillId="17" borderId="14" xfId="0" applyFont="1" applyFill="1" applyBorder="1" applyAlignment="1">
      <alignment vertical="center"/>
    </xf>
    <xf numFmtId="0" fontId="41" fillId="13" borderId="14" xfId="0" applyFont="1" applyFill="1" applyBorder="1"/>
    <xf numFmtId="0" fontId="2" fillId="11" borderId="14" xfId="0" applyFont="1" applyFill="1" applyBorder="1" applyAlignment="1">
      <alignment horizontal="center"/>
    </xf>
    <xf numFmtId="0" fontId="0" fillId="0" borderId="14" xfId="0" quotePrefix="1" applyBorder="1"/>
    <xf numFmtId="3" fontId="2" fillId="0" borderId="0" xfId="0" applyNumberFormat="1" applyFont="1"/>
    <xf numFmtId="165" fontId="55" fillId="0" borderId="0" xfId="1" applyNumberFormat="1" applyFont="1" applyFill="1" applyBorder="1"/>
    <xf numFmtId="43" fontId="55" fillId="11" borderId="14" xfId="1" applyFont="1" applyFill="1" applyBorder="1"/>
    <xf numFmtId="0" fontId="55" fillId="9" borderId="14" xfId="0" applyFont="1" applyFill="1" applyBorder="1" applyAlignment="1">
      <alignment horizontal="center"/>
    </xf>
    <xf numFmtId="0" fontId="55" fillId="14" borderId="14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38" fillId="0" borderId="14" xfId="0" applyFont="1" applyBorder="1" applyAlignment="1">
      <alignment vertical="center" wrapText="1"/>
    </xf>
    <xf numFmtId="0" fontId="2" fillId="0" borderId="14" xfId="0" applyFont="1" applyBorder="1" applyAlignment="1">
      <alignment vertical="center"/>
    </xf>
    <xf numFmtId="0" fontId="54" fillId="0" borderId="14" xfId="0" quotePrefix="1" applyFont="1" applyBorder="1" applyAlignment="1">
      <alignment horizontal="left" vertical="center"/>
    </xf>
    <xf numFmtId="0" fontId="38" fillId="0" borderId="14" xfId="0" applyFont="1" applyBorder="1" applyAlignment="1">
      <alignment horizontal="left" vertical="center" wrapText="1"/>
    </xf>
    <xf numFmtId="165" fontId="54" fillId="0" borderId="14" xfId="1" applyNumberFormat="1" applyFont="1" applyFill="1" applyBorder="1" applyAlignment="1">
      <alignment horizontal="left"/>
    </xf>
    <xf numFmtId="17" fontId="32" fillId="15" borderId="14" xfId="0" applyNumberFormat="1" applyFont="1" applyFill="1" applyBorder="1" applyAlignment="1">
      <alignment horizontal="left"/>
    </xf>
    <xf numFmtId="165" fontId="32" fillId="15" borderId="14" xfId="1" applyNumberFormat="1" applyFont="1" applyFill="1" applyBorder="1"/>
    <xf numFmtId="165" fontId="33" fillId="15" borderId="14" xfId="1" applyNumberFormat="1" applyFont="1" applyFill="1" applyBorder="1"/>
    <xf numFmtId="165" fontId="33" fillId="15" borderId="14" xfId="0" applyNumberFormat="1" applyFont="1" applyFill="1" applyBorder="1"/>
    <xf numFmtId="165" fontId="0" fillId="15" borderId="14" xfId="0" applyNumberFormat="1" applyFill="1" applyBorder="1"/>
    <xf numFmtId="165" fontId="15" fillId="15" borderId="14" xfId="0" applyNumberFormat="1" applyFont="1" applyFill="1" applyBorder="1"/>
    <xf numFmtId="0" fontId="23" fillId="15" borderId="14" xfId="0" applyFont="1" applyFill="1" applyBorder="1"/>
    <xf numFmtId="0" fontId="0" fillId="15" borderId="14" xfId="0" applyFill="1" applyBorder="1"/>
    <xf numFmtId="165" fontId="0" fillId="15" borderId="14" xfId="1" applyNumberFormat="1" applyFont="1" applyFill="1" applyBorder="1"/>
    <xf numFmtId="3" fontId="2" fillId="14" borderId="14" xfId="0" applyNumberFormat="1" applyFont="1" applyFill="1" applyBorder="1"/>
    <xf numFmtId="43" fontId="2" fillId="14" borderId="14" xfId="1" applyFont="1" applyFill="1" applyBorder="1"/>
    <xf numFmtId="165" fontId="32" fillId="16" borderId="14" xfId="1" applyNumberFormat="1" applyFont="1" applyFill="1" applyBorder="1" applyAlignment="1"/>
    <xf numFmtId="0" fontId="0" fillId="14" borderId="41" xfId="0" quotePrefix="1" applyFill="1" applyBorder="1"/>
    <xf numFmtId="0" fontId="0" fillId="18" borderId="40" xfId="0" quotePrefix="1" applyFill="1" applyBorder="1"/>
    <xf numFmtId="0" fontId="0" fillId="18" borderId="41" xfId="0" quotePrefix="1" applyFill="1" applyBorder="1"/>
    <xf numFmtId="0" fontId="21" fillId="0" borderId="39" xfId="0" applyFont="1" applyBorder="1" applyAlignment="1">
      <alignment vertical="center"/>
    </xf>
    <xf numFmtId="0" fontId="15" fillId="0" borderId="39" xfId="0" applyFont="1" applyBorder="1" applyAlignment="1">
      <alignment horizontal="center" vertical="center"/>
    </xf>
    <xf numFmtId="17" fontId="32" fillId="18" borderId="14" xfId="0" quotePrefix="1" applyNumberFormat="1" applyFont="1" applyFill="1" applyBorder="1" applyAlignment="1">
      <alignment horizontal="left"/>
    </xf>
    <xf numFmtId="165" fontId="32" fillId="18" borderId="14" xfId="1" applyNumberFormat="1" applyFont="1" applyFill="1" applyBorder="1"/>
    <xf numFmtId="165" fontId="33" fillId="18" borderId="14" xfId="1" applyNumberFormat="1" applyFont="1" applyFill="1" applyBorder="1"/>
    <xf numFmtId="165" fontId="33" fillId="18" borderId="14" xfId="0" applyNumberFormat="1" applyFont="1" applyFill="1" applyBorder="1"/>
    <xf numFmtId="0" fontId="0" fillId="18" borderId="14" xfId="0" applyFill="1" applyBorder="1"/>
    <xf numFmtId="165" fontId="15" fillId="18" borderId="14" xfId="0" applyNumberFormat="1" applyFont="1" applyFill="1" applyBorder="1"/>
    <xf numFmtId="0" fontId="23" fillId="18" borderId="14" xfId="0" applyFont="1" applyFill="1" applyBorder="1"/>
    <xf numFmtId="17" fontId="32" fillId="18" borderId="14" xfId="0" applyNumberFormat="1" applyFont="1" applyFill="1" applyBorder="1" applyAlignment="1">
      <alignment horizontal="left" vertical="center"/>
    </xf>
    <xf numFmtId="17" fontId="32" fillId="18" borderId="14" xfId="0" applyNumberFormat="1" applyFont="1" applyFill="1" applyBorder="1" applyAlignment="1">
      <alignment horizontal="left"/>
    </xf>
    <xf numFmtId="165" fontId="32" fillId="18" borderId="14" xfId="1" applyNumberFormat="1" applyFont="1" applyFill="1" applyBorder="1" applyAlignment="1"/>
    <xf numFmtId="165" fontId="33" fillId="18" borderId="14" xfId="1" applyNumberFormat="1" applyFont="1" applyFill="1" applyBorder="1" applyAlignment="1"/>
    <xf numFmtId="3" fontId="0" fillId="18" borderId="14" xfId="0" applyNumberFormat="1" applyFill="1" applyBorder="1"/>
    <xf numFmtId="165" fontId="32" fillId="18" borderId="14" xfId="1" applyNumberFormat="1" applyFont="1" applyFill="1" applyBorder="1" applyAlignment="1">
      <alignment vertical="center"/>
    </xf>
    <xf numFmtId="37" fontId="32" fillId="18" borderId="14" xfId="1" applyNumberFormat="1" applyFont="1" applyFill="1" applyBorder="1"/>
    <xf numFmtId="0" fontId="55" fillId="19" borderId="14" xfId="0" applyFont="1" applyFill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" fillId="20" borderId="14" xfId="0" applyFont="1" applyFill="1" applyBorder="1" applyAlignment="1">
      <alignment horizontal="center"/>
    </xf>
    <xf numFmtId="0" fontId="38" fillId="20" borderId="14" xfId="0" applyFont="1" applyFill="1" applyBorder="1" applyAlignment="1">
      <alignment horizontal="center"/>
    </xf>
    <xf numFmtId="165" fontId="54" fillId="0" borderId="14" xfId="1" applyNumberFormat="1" applyFont="1" applyFill="1" applyBorder="1" applyAlignment="1">
      <alignment horizontal="right" vertical="center"/>
    </xf>
    <xf numFmtId="0" fontId="54" fillId="0" borderId="5" xfId="0" applyFont="1" applyBorder="1"/>
    <xf numFmtId="0" fontId="38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38" fillId="0" borderId="5" xfId="0" applyFont="1" applyBorder="1" applyAlignment="1">
      <alignment vertical="center"/>
    </xf>
    <xf numFmtId="0" fontId="54" fillId="0" borderId="5" xfId="0" quotePrefix="1" applyFont="1" applyBorder="1" applyAlignment="1">
      <alignment vertical="center"/>
    </xf>
    <xf numFmtId="0" fontId="38" fillId="0" borderId="5" xfId="0" applyFont="1" applyBorder="1"/>
    <xf numFmtId="2" fontId="54" fillId="0" borderId="5" xfId="0" applyNumberFormat="1" applyFont="1" applyBorder="1" applyAlignment="1">
      <alignment vertical="center"/>
    </xf>
    <xf numFmtId="0" fontId="0" fillId="11" borderId="41" xfId="0" quotePrefix="1" applyFill="1" applyBorder="1"/>
    <xf numFmtId="0" fontId="0" fillId="0" borderId="40" xfId="0" applyBorder="1"/>
    <xf numFmtId="0" fontId="0" fillId="0" borderId="41" xfId="0" applyBorder="1"/>
    <xf numFmtId="3" fontId="0" fillId="0" borderId="41" xfId="0" applyNumberFormat="1" applyBorder="1"/>
    <xf numFmtId="0" fontId="2" fillId="19" borderId="14" xfId="0" applyFont="1" applyFill="1" applyBorder="1" applyAlignment="1">
      <alignment horizontal="center"/>
    </xf>
    <xf numFmtId="0" fontId="54" fillId="19" borderId="14" xfId="0" applyFont="1" applyFill="1" applyBorder="1"/>
    <xf numFmtId="0" fontId="54" fillId="8" borderId="5" xfId="0" applyFont="1" applyFill="1" applyBorder="1"/>
    <xf numFmtId="0" fontId="2" fillId="8" borderId="14" xfId="0" applyFont="1" applyFill="1" applyBorder="1" applyAlignment="1">
      <alignment horizontal="center"/>
    </xf>
    <xf numFmtId="0" fontId="2" fillId="8" borderId="14" xfId="0" applyFont="1" applyFill="1" applyBorder="1"/>
    <xf numFmtId="0" fontId="55" fillId="8" borderId="14" xfId="0" applyFont="1" applyFill="1" applyBorder="1"/>
    <xf numFmtId="0" fontId="55" fillId="8" borderId="14" xfId="0" quotePrefix="1" applyFont="1" applyFill="1" applyBorder="1"/>
    <xf numFmtId="165" fontId="55" fillId="8" borderId="14" xfId="1" applyNumberFormat="1" applyFont="1" applyFill="1" applyBorder="1"/>
    <xf numFmtId="43" fontId="55" fillId="8" borderId="14" xfId="1" applyFont="1" applyFill="1" applyBorder="1"/>
    <xf numFmtId="0" fontId="38" fillId="11" borderId="14" xfId="0" applyFont="1" applyFill="1" applyBorder="1" applyAlignment="1">
      <alignment horizontal="center"/>
    </xf>
    <xf numFmtId="0" fontId="54" fillId="11" borderId="14" xfId="0" applyFont="1" applyFill="1" applyBorder="1"/>
    <xf numFmtId="0" fontId="54" fillId="11" borderId="5" xfId="0" applyFont="1" applyFill="1" applyBorder="1"/>
    <xf numFmtId="17" fontId="32" fillId="17" borderId="14" xfId="0" quotePrefix="1" applyNumberFormat="1" applyFont="1" applyFill="1" applyBorder="1" applyAlignment="1">
      <alignment horizontal="left"/>
    </xf>
    <xf numFmtId="165" fontId="32" fillId="17" borderId="14" xfId="1" applyNumberFormat="1" applyFont="1" applyFill="1" applyBorder="1" applyAlignment="1"/>
    <xf numFmtId="17" fontId="32" fillId="17" borderId="14" xfId="0" applyNumberFormat="1" applyFont="1" applyFill="1" applyBorder="1" applyAlignment="1">
      <alignment horizontal="left"/>
    </xf>
    <xf numFmtId="165" fontId="32" fillId="17" borderId="14" xfId="1" applyNumberFormat="1" applyFont="1" applyFill="1" applyBorder="1" applyAlignment="1">
      <alignment vertical="center"/>
    </xf>
    <xf numFmtId="165" fontId="33" fillId="17" borderId="14" xfId="1" applyNumberFormat="1" applyFont="1" applyFill="1" applyBorder="1"/>
    <xf numFmtId="165" fontId="33" fillId="17" borderId="14" xfId="1" applyNumberFormat="1" applyFont="1" applyFill="1" applyBorder="1" applyAlignment="1"/>
    <xf numFmtId="165" fontId="32" fillId="17" borderId="14" xfId="1" applyNumberFormat="1" applyFont="1" applyFill="1" applyBorder="1" applyAlignment="1">
      <alignment horizontal="center"/>
    </xf>
    <xf numFmtId="165" fontId="33" fillId="17" borderId="14" xfId="0" applyNumberFormat="1" applyFont="1" applyFill="1" applyBorder="1"/>
    <xf numFmtId="0" fontId="0" fillId="17" borderId="14" xfId="0" applyFill="1" applyBorder="1"/>
    <xf numFmtId="0" fontId="23" fillId="17" borderId="14" xfId="0" applyFont="1" applyFill="1" applyBorder="1"/>
    <xf numFmtId="3" fontId="0" fillId="17" borderId="14" xfId="0" applyNumberFormat="1" applyFill="1" applyBorder="1"/>
    <xf numFmtId="17" fontId="32" fillId="21" borderId="14" xfId="0" applyNumberFormat="1" applyFont="1" applyFill="1" applyBorder="1"/>
    <xf numFmtId="165" fontId="32" fillId="21" borderId="14" xfId="1" applyNumberFormat="1" applyFont="1" applyFill="1" applyBorder="1" applyAlignment="1"/>
    <xf numFmtId="165" fontId="33" fillId="21" borderId="14" xfId="1" applyNumberFormat="1" applyFont="1" applyFill="1" applyBorder="1"/>
    <xf numFmtId="165" fontId="32" fillId="21" borderId="14" xfId="1" applyNumberFormat="1" applyFont="1" applyFill="1" applyBorder="1" applyAlignment="1">
      <alignment vertical="center"/>
    </xf>
    <xf numFmtId="0" fontId="0" fillId="21" borderId="14" xfId="0" applyFill="1" applyBorder="1"/>
    <xf numFmtId="0" fontId="23" fillId="21" borderId="14" xfId="0" applyFont="1" applyFill="1" applyBorder="1"/>
    <xf numFmtId="165" fontId="33" fillId="21" borderId="14" xfId="1" applyNumberFormat="1" applyFont="1" applyFill="1" applyBorder="1" applyAlignment="1"/>
    <xf numFmtId="165" fontId="33" fillId="11" borderId="14" xfId="1" applyNumberFormat="1" applyFont="1" applyFill="1" applyBorder="1" applyAlignment="1"/>
    <xf numFmtId="0" fontId="55" fillId="8" borderId="14" xfId="0" applyFont="1" applyFill="1" applyBorder="1" applyAlignment="1">
      <alignment horizontal="center"/>
    </xf>
    <xf numFmtId="0" fontId="58" fillId="0" borderId="14" xfId="0" applyFont="1" applyBorder="1" applyAlignment="1">
      <alignment horizontal="left"/>
    </xf>
    <xf numFmtId="4" fontId="60" fillId="0" borderId="0" xfId="0" applyNumberFormat="1" applyFont="1"/>
    <xf numFmtId="0" fontId="0" fillId="11" borderId="0" xfId="0" applyFill="1" applyAlignment="1">
      <alignment horizontal="center"/>
    </xf>
    <xf numFmtId="0" fontId="58" fillId="0" borderId="14" xfId="0" applyFont="1" applyBorder="1" applyAlignment="1">
      <alignment horizontal="left" wrapText="1"/>
    </xf>
    <xf numFmtId="17" fontId="32" fillId="22" borderId="14" xfId="0" applyNumberFormat="1" applyFont="1" applyFill="1" applyBorder="1" applyAlignment="1">
      <alignment horizontal="left"/>
    </xf>
    <xf numFmtId="165" fontId="32" fillId="22" borderId="14" xfId="1" applyNumberFormat="1" applyFont="1" applyFill="1" applyBorder="1" applyAlignment="1"/>
    <xf numFmtId="165" fontId="33" fillId="22" borderId="14" xfId="1" applyNumberFormat="1" applyFont="1" applyFill="1" applyBorder="1" applyAlignment="1"/>
    <xf numFmtId="165" fontId="32" fillId="22" borderId="14" xfId="1" applyNumberFormat="1" applyFont="1" applyFill="1" applyBorder="1" applyAlignment="1">
      <alignment vertical="center"/>
    </xf>
    <xf numFmtId="165" fontId="33" fillId="22" borderId="14" xfId="1" applyNumberFormat="1" applyFont="1" applyFill="1" applyBorder="1"/>
    <xf numFmtId="165" fontId="33" fillId="22" borderId="14" xfId="0" applyNumberFormat="1" applyFont="1" applyFill="1" applyBorder="1"/>
    <xf numFmtId="0" fontId="0" fillId="22" borderId="14" xfId="0" applyFill="1" applyBorder="1"/>
    <xf numFmtId="0" fontId="23" fillId="22" borderId="14" xfId="0" applyFont="1" applyFill="1" applyBorder="1"/>
    <xf numFmtId="41" fontId="59" fillId="22" borderId="14" xfId="1" applyNumberFormat="1" applyFont="1" applyFill="1" applyBorder="1" applyAlignment="1"/>
    <xf numFmtId="165" fontId="33" fillId="23" borderId="14" xfId="0" applyNumberFormat="1" applyFont="1" applyFill="1" applyBorder="1"/>
    <xf numFmtId="0" fontId="38" fillId="8" borderId="14" xfId="0" applyFont="1" applyFill="1" applyBorder="1" applyAlignment="1">
      <alignment horizontal="center"/>
    </xf>
    <xf numFmtId="0" fontId="4" fillId="0" borderId="14" xfId="0" applyFont="1" applyBorder="1" applyAlignment="1">
      <alignment horizontal="left" vertical="center" wrapText="1"/>
    </xf>
    <xf numFmtId="15" fontId="0" fillId="0" borderId="0" xfId="0" quotePrefix="1" applyNumberFormat="1"/>
    <xf numFmtId="17" fontId="32" fillId="0" borderId="14" xfId="0" quotePrefix="1" applyNumberFormat="1" applyFont="1" applyBorder="1" applyAlignment="1">
      <alignment horizontal="left"/>
    </xf>
    <xf numFmtId="0" fontId="0" fillId="0" borderId="0" xfId="0" quotePrefix="1"/>
    <xf numFmtId="165" fontId="33" fillId="24" borderId="14" xfId="0" applyNumberFormat="1" applyFont="1" applyFill="1" applyBorder="1"/>
    <xf numFmtId="3" fontId="15" fillId="0" borderId="0" xfId="0" applyNumberFormat="1" applyFont="1"/>
    <xf numFmtId="0" fontId="54" fillId="8" borderId="14" xfId="0" applyFont="1" applyFill="1" applyBorder="1"/>
    <xf numFmtId="0" fontId="4" fillId="0" borderId="5" xfId="0" applyFont="1" applyBorder="1" applyAlignment="1">
      <alignment wrapText="1"/>
    </xf>
    <xf numFmtId="165" fontId="0" fillId="0" borderId="0" xfId="1" applyNumberFormat="1" applyFont="1" applyBorder="1"/>
    <xf numFmtId="17" fontId="32" fillId="5" borderId="14" xfId="0" applyNumberFormat="1" applyFont="1" applyFill="1" applyBorder="1" applyAlignment="1">
      <alignment horizontal="left"/>
    </xf>
    <xf numFmtId="165" fontId="32" fillId="5" borderId="14" xfId="1" applyNumberFormat="1" applyFont="1" applyFill="1" applyBorder="1" applyAlignment="1">
      <alignment vertical="center"/>
    </xf>
    <xf numFmtId="165" fontId="33" fillId="5" borderId="14" xfId="1" applyNumberFormat="1" applyFont="1" applyFill="1" applyBorder="1" applyAlignment="1"/>
    <xf numFmtId="165" fontId="33" fillId="5" borderId="14" xfId="1" applyNumberFormat="1" applyFont="1" applyFill="1" applyBorder="1"/>
    <xf numFmtId="165" fontId="33" fillId="5" borderId="14" xfId="0" applyNumberFormat="1" applyFont="1" applyFill="1" applyBorder="1"/>
    <xf numFmtId="0" fontId="0" fillId="5" borderId="14" xfId="0" applyFill="1" applyBorder="1"/>
    <xf numFmtId="0" fontId="23" fillId="5" borderId="14" xfId="0" applyFont="1" applyFill="1" applyBorder="1"/>
    <xf numFmtId="17" fontId="32" fillId="5" borderId="14" xfId="0" quotePrefix="1" applyNumberFormat="1" applyFont="1" applyFill="1" applyBorder="1" applyAlignment="1">
      <alignment horizontal="left"/>
    </xf>
    <xf numFmtId="165" fontId="32" fillId="5" borderId="14" xfId="1" applyNumberFormat="1" applyFont="1" applyFill="1" applyBorder="1" applyAlignment="1"/>
    <xf numFmtId="0" fontId="61" fillId="5" borderId="14" xfId="0" applyFont="1" applyFill="1" applyBorder="1"/>
    <xf numFmtId="3" fontId="0" fillId="0" borderId="0" xfId="0" quotePrefix="1" applyNumberFormat="1"/>
    <xf numFmtId="3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5" fontId="44" fillId="0" borderId="0" xfId="0" applyNumberFormat="1" applyFont="1"/>
    <xf numFmtId="3" fontId="0" fillId="0" borderId="0" xfId="0" applyNumberFormat="1" applyAlignment="1">
      <alignment horizontal="left"/>
    </xf>
    <xf numFmtId="17" fontId="32" fillId="25" borderId="14" xfId="0" quotePrefix="1" applyNumberFormat="1" applyFont="1" applyFill="1" applyBorder="1" applyAlignment="1">
      <alignment horizontal="left"/>
    </xf>
    <xf numFmtId="165" fontId="32" fillId="25" borderId="14" xfId="1" applyNumberFormat="1" applyFont="1" applyFill="1" applyBorder="1" applyAlignment="1"/>
    <xf numFmtId="165" fontId="33" fillId="25" borderId="14" xfId="1" applyNumberFormat="1" applyFont="1" applyFill="1" applyBorder="1"/>
    <xf numFmtId="165" fontId="32" fillId="25" borderId="14" xfId="1" applyNumberFormat="1" applyFont="1" applyFill="1" applyBorder="1" applyAlignment="1">
      <alignment vertical="center"/>
    </xf>
    <xf numFmtId="165" fontId="33" fillId="25" borderId="14" xfId="1" applyNumberFormat="1" applyFont="1" applyFill="1" applyBorder="1" applyAlignment="1"/>
    <xf numFmtId="165" fontId="33" fillId="25" borderId="14" xfId="0" applyNumberFormat="1" applyFont="1" applyFill="1" applyBorder="1"/>
    <xf numFmtId="0" fontId="0" fillId="25" borderId="14" xfId="0" applyFill="1" applyBorder="1"/>
    <xf numFmtId="0" fontId="23" fillId="25" borderId="14" xfId="0" applyFont="1" applyFill="1" applyBorder="1"/>
    <xf numFmtId="0" fontId="55" fillId="11" borderId="14" xfId="0" applyFont="1" applyFill="1" applyBorder="1" applyAlignment="1">
      <alignment horizontal="left"/>
    </xf>
    <xf numFmtId="0" fontId="0" fillId="8" borderId="0" xfId="0" quotePrefix="1" applyFill="1"/>
    <xf numFmtId="165" fontId="0" fillId="8" borderId="0" xfId="0" quotePrefix="1" applyNumberFormat="1" applyFill="1" applyAlignment="1">
      <alignment horizontal="left"/>
    </xf>
    <xf numFmtId="165" fontId="0" fillId="8" borderId="0" xfId="0" quotePrefix="1" applyNumberFormat="1" applyFill="1" applyAlignment="1">
      <alignment horizontal="right"/>
    </xf>
    <xf numFmtId="3" fontId="0" fillId="8" borderId="0" xfId="0" quotePrefix="1" applyNumberFormat="1" applyFill="1" applyAlignment="1">
      <alignment horizontal="right"/>
    </xf>
    <xf numFmtId="0" fontId="2" fillId="0" borderId="14" xfId="0" applyFont="1" applyBorder="1" applyAlignment="1">
      <alignment horizontal="left" wrapText="1"/>
    </xf>
    <xf numFmtId="0" fontId="0" fillId="8" borderId="0" xfId="0" applyFill="1"/>
    <xf numFmtId="0" fontId="63" fillId="11" borderId="0" xfId="0" quotePrefix="1" applyFont="1" applyFill="1"/>
    <xf numFmtId="3" fontId="63" fillId="11" borderId="0" xfId="0" quotePrefix="1" applyNumberFormat="1" applyFont="1" applyFill="1"/>
    <xf numFmtId="3" fontId="63" fillId="11" borderId="0" xfId="0" applyNumberFormat="1" applyFont="1" applyFill="1" applyAlignment="1">
      <alignment horizontal="left"/>
    </xf>
    <xf numFmtId="3" fontId="63" fillId="11" borderId="0" xfId="0" applyNumberFormat="1" applyFont="1" applyFill="1" applyAlignment="1">
      <alignment horizontal="right"/>
    </xf>
    <xf numFmtId="0" fontId="63" fillId="11" borderId="0" xfId="0" applyFont="1" applyFill="1"/>
    <xf numFmtId="15" fontId="63" fillId="11" borderId="0" xfId="0" quotePrefix="1" applyNumberFormat="1" applyFont="1" applyFill="1"/>
    <xf numFmtId="17" fontId="32" fillId="23" borderId="14" xfId="0" quotePrefix="1" applyNumberFormat="1" applyFont="1" applyFill="1" applyBorder="1" applyAlignment="1">
      <alignment horizontal="left"/>
    </xf>
    <xf numFmtId="165" fontId="32" fillId="23" borderId="14" xfId="1" applyNumberFormat="1" applyFont="1" applyFill="1" applyBorder="1" applyAlignment="1"/>
    <xf numFmtId="165" fontId="33" fillId="23" borderId="14" xfId="1" applyNumberFormat="1" applyFont="1" applyFill="1" applyBorder="1"/>
    <xf numFmtId="165" fontId="32" fillId="23" borderId="14" xfId="1" applyNumberFormat="1" applyFont="1" applyFill="1" applyBorder="1" applyAlignment="1">
      <alignment vertical="center"/>
    </xf>
    <xf numFmtId="165" fontId="33" fillId="23" borderId="14" xfId="1" applyNumberFormat="1" applyFont="1" applyFill="1" applyBorder="1" applyAlignment="1"/>
    <xf numFmtId="0" fontId="0" fillId="23" borderId="14" xfId="0" applyFill="1" applyBorder="1"/>
    <xf numFmtId="0" fontId="32" fillId="23" borderId="14" xfId="0" applyFont="1" applyFill="1" applyBorder="1"/>
    <xf numFmtId="0" fontId="23" fillId="23" borderId="14" xfId="0" applyFont="1" applyFill="1" applyBorder="1"/>
    <xf numFmtId="3" fontId="63" fillId="23" borderId="0" xfId="0" quotePrefix="1" applyNumberFormat="1" applyFont="1" applyFill="1"/>
    <xf numFmtId="165" fontId="32" fillId="0" borderId="14" xfId="1" applyNumberFormat="1" applyFont="1" applyFill="1" applyBorder="1" applyAlignment="1"/>
    <xf numFmtId="0" fontId="2" fillId="0" borderId="14" xfId="0" applyFont="1" applyBorder="1" applyAlignment="1">
      <alignment vertical="center" wrapText="1"/>
    </xf>
    <xf numFmtId="0" fontId="2" fillId="26" borderId="14" xfId="0" applyFont="1" applyFill="1" applyBorder="1"/>
    <xf numFmtId="0" fontId="2" fillId="27" borderId="14" xfId="0" applyFont="1" applyFill="1" applyBorder="1"/>
    <xf numFmtId="0" fontId="2" fillId="13" borderId="14" xfId="0" applyFont="1" applyFill="1" applyBorder="1"/>
    <xf numFmtId="0" fontId="55" fillId="4" borderId="14" xfId="0" applyFont="1" applyFill="1" applyBorder="1"/>
    <xf numFmtId="0" fontId="38" fillId="28" borderId="14" xfId="0" applyFont="1" applyFill="1" applyBorder="1" applyAlignment="1">
      <alignment horizontal="center"/>
    </xf>
    <xf numFmtId="0" fontId="55" fillId="26" borderId="14" xfId="0" applyFont="1" applyFill="1" applyBorder="1"/>
    <xf numFmtId="0" fontId="63" fillId="5" borderId="0" xfId="0" quotePrefix="1" applyFont="1" applyFill="1"/>
    <xf numFmtId="3" fontId="2" fillId="5" borderId="0" xfId="0" applyNumberFormat="1" applyFont="1" applyFill="1"/>
    <xf numFmtId="0" fontId="0" fillId="5" borderId="0" xfId="0" applyFill="1"/>
    <xf numFmtId="0" fontId="27" fillId="0" borderId="0" xfId="0" applyFont="1"/>
    <xf numFmtId="17" fontId="32" fillId="29" borderId="14" xfId="0" quotePrefix="1" applyNumberFormat="1" applyFont="1" applyFill="1" applyBorder="1" applyAlignment="1">
      <alignment horizontal="left"/>
    </xf>
    <xf numFmtId="165" fontId="32" fillId="29" borderId="14" xfId="1" applyNumberFormat="1" applyFont="1" applyFill="1" applyBorder="1" applyAlignment="1">
      <alignment vertical="center"/>
    </xf>
    <xf numFmtId="165" fontId="33" fillId="29" borderId="14" xfId="1" applyNumberFormat="1" applyFont="1" applyFill="1" applyBorder="1"/>
    <xf numFmtId="165" fontId="33" fillId="29" borderId="14" xfId="1" applyNumberFormat="1" applyFont="1" applyFill="1" applyBorder="1" applyAlignment="1"/>
    <xf numFmtId="165" fontId="32" fillId="29" borderId="14" xfId="1" applyNumberFormat="1" applyFont="1" applyFill="1" applyBorder="1" applyAlignment="1"/>
    <xf numFmtId="165" fontId="33" fillId="29" borderId="14" xfId="0" applyNumberFormat="1" applyFont="1" applyFill="1" applyBorder="1"/>
    <xf numFmtId="0" fontId="0" fillId="29" borderId="14" xfId="0" applyFill="1" applyBorder="1"/>
    <xf numFmtId="0" fontId="23" fillId="29" borderId="14" xfId="0" applyFont="1" applyFill="1" applyBorder="1"/>
    <xf numFmtId="0" fontId="64" fillId="29" borderId="14" xfId="0" applyFont="1" applyFill="1" applyBorder="1"/>
    <xf numFmtId="0" fontId="50" fillId="0" borderId="14" xfId="0" applyFont="1" applyBorder="1"/>
    <xf numFmtId="0" fontId="55" fillId="27" borderId="14" xfId="0" applyFont="1" applyFill="1" applyBorder="1"/>
    <xf numFmtId="0" fontId="55" fillId="26" borderId="14" xfId="0" quotePrefix="1" applyFont="1" applyFill="1" applyBorder="1"/>
    <xf numFmtId="0" fontId="38" fillId="0" borderId="14" xfId="0" applyFont="1" applyBorder="1" applyAlignment="1">
      <alignment horizontal="left" wrapText="1"/>
    </xf>
    <xf numFmtId="0" fontId="54" fillId="0" borderId="14" xfId="0" applyFont="1" applyBorder="1" applyAlignment="1">
      <alignment horizontal="left" wrapText="1"/>
    </xf>
    <xf numFmtId="0" fontId="54" fillId="28" borderId="14" xfId="0" applyFont="1" applyFill="1" applyBorder="1" applyAlignment="1">
      <alignment horizontal="center"/>
    </xf>
    <xf numFmtId="0" fontId="54" fillId="11" borderId="14" xfId="0" applyFont="1" applyFill="1" applyBorder="1" applyAlignment="1">
      <alignment horizontal="center"/>
    </xf>
    <xf numFmtId="165" fontId="54" fillId="0" borderId="14" xfId="1" applyNumberFormat="1" applyFont="1" applyFill="1" applyBorder="1" applyAlignment="1"/>
    <xf numFmtId="0" fontId="38" fillId="0" borderId="5" xfId="0" applyFont="1" applyBorder="1" applyAlignment="1">
      <alignment wrapText="1"/>
    </xf>
    <xf numFmtId="165" fontId="54" fillId="0" borderId="14" xfId="1" applyNumberFormat="1" applyFont="1" applyFill="1" applyBorder="1" applyAlignment="1">
      <alignment horizontal="right"/>
    </xf>
    <xf numFmtId="0" fontId="54" fillId="8" borderId="14" xfId="0" applyFont="1" applyFill="1" applyBorder="1" applyAlignment="1">
      <alignment horizontal="center"/>
    </xf>
    <xf numFmtId="0" fontId="55" fillId="30" borderId="14" xfId="0" applyFont="1" applyFill="1" applyBorder="1"/>
    <xf numFmtId="165" fontId="55" fillId="30" borderId="14" xfId="1" applyNumberFormat="1" applyFont="1" applyFill="1" applyBorder="1"/>
    <xf numFmtId="0" fontId="55" fillId="13" borderId="14" xfId="0" applyFont="1" applyFill="1" applyBorder="1"/>
    <xf numFmtId="16" fontId="63" fillId="5" borderId="0" xfId="0" quotePrefix="1" applyNumberFormat="1" applyFont="1" applyFill="1"/>
    <xf numFmtId="17" fontId="32" fillId="31" borderId="14" xfId="0" quotePrefix="1" applyNumberFormat="1" applyFont="1" applyFill="1" applyBorder="1" applyAlignment="1">
      <alignment horizontal="left"/>
    </xf>
    <xf numFmtId="165" fontId="32" fillId="31" borderId="14" xfId="1" applyNumberFormat="1" applyFont="1" applyFill="1" applyBorder="1" applyAlignment="1"/>
    <xf numFmtId="165" fontId="33" fillId="31" borderId="14" xfId="1" applyNumberFormat="1" applyFont="1" applyFill="1" applyBorder="1"/>
    <xf numFmtId="165" fontId="32" fillId="31" borderId="14" xfId="1" applyNumberFormat="1" applyFont="1" applyFill="1" applyBorder="1" applyAlignment="1">
      <alignment vertical="center"/>
    </xf>
    <xf numFmtId="165" fontId="33" fillId="31" borderId="14" xfId="1" applyNumberFormat="1" applyFont="1" applyFill="1" applyBorder="1" applyAlignment="1"/>
    <xf numFmtId="165" fontId="33" fillId="31" borderId="14" xfId="0" applyNumberFormat="1" applyFont="1" applyFill="1" applyBorder="1"/>
    <xf numFmtId="0" fontId="0" fillId="31" borderId="14" xfId="0" applyFill="1" applyBorder="1"/>
    <xf numFmtId="0" fontId="64" fillId="31" borderId="14" xfId="0" applyFont="1" applyFill="1" applyBorder="1"/>
    <xf numFmtId="0" fontId="23" fillId="31" borderId="14" xfId="0" applyFont="1" applyFill="1" applyBorder="1"/>
    <xf numFmtId="17" fontId="32" fillId="31" borderId="14" xfId="0" applyNumberFormat="1" applyFont="1" applyFill="1" applyBorder="1" applyAlignment="1">
      <alignment horizontal="left"/>
    </xf>
    <xf numFmtId="0" fontId="50" fillId="31" borderId="14" xfId="0" applyFont="1" applyFill="1" applyBorder="1"/>
    <xf numFmtId="0" fontId="55" fillId="16" borderId="14" xfId="0" applyFont="1" applyFill="1" applyBorder="1"/>
    <xf numFmtId="49" fontId="0" fillId="0" borderId="0" xfId="0" applyNumberFormat="1"/>
    <xf numFmtId="49" fontId="0" fillId="0" borderId="0" xfId="0" applyNumberFormat="1" applyAlignment="1">
      <alignment horizontal="right"/>
    </xf>
    <xf numFmtId="165" fontId="0" fillId="0" borderId="0" xfId="1" applyNumberFormat="1" applyFont="1"/>
    <xf numFmtId="43" fontId="54" fillId="0" borderId="14" xfId="1" applyFont="1" applyFill="1" applyBorder="1" applyAlignment="1"/>
    <xf numFmtId="3" fontId="60" fillId="0" borderId="0" xfId="0" applyNumberFormat="1" applyFont="1"/>
    <xf numFmtId="165" fontId="23" fillId="30" borderId="0" xfId="1" applyNumberFormat="1" applyFont="1" applyFill="1"/>
    <xf numFmtId="0" fontId="0" fillId="11" borderId="10" xfId="0" applyFill="1" applyBorder="1" applyAlignment="1">
      <alignment horizontal="center"/>
    </xf>
    <xf numFmtId="0" fontId="62" fillId="4" borderId="14" xfId="0" applyFont="1" applyFill="1" applyBorder="1"/>
    <xf numFmtId="0" fontId="2" fillId="0" borderId="0" xfId="0" quotePrefix="1" applyFont="1"/>
    <xf numFmtId="43" fontId="0" fillId="8" borderId="0" xfId="0" applyNumberFormat="1" applyFill="1"/>
    <xf numFmtId="43" fontId="54" fillId="8" borderId="14" xfId="1" applyFont="1" applyFill="1" applyBorder="1" applyAlignment="1"/>
    <xf numFmtId="17" fontId="32" fillId="22" borderId="14" xfId="0" quotePrefix="1" applyNumberFormat="1" applyFont="1" applyFill="1" applyBorder="1" applyAlignment="1">
      <alignment horizontal="left"/>
    </xf>
    <xf numFmtId="0" fontId="50" fillId="22" borderId="14" xfId="0" applyFont="1" applyFill="1" applyBorder="1"/>
    <xf numFmtId="0" fontId="2" fillId="0" borderId="12" xfId="0" applyFont="1" applyBorder="1"/>
    <xf numFmtId="0" fontId="25" fillId="10" borderId="9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center" vertical="center"/>
    </xf>
    <xf numFmtId="0" fontId="25" fillId="10" borderId="10" xfId="0" applyFont="1" applyFill="1" applyBorder="1" applyAlignment="1">
      <alignment horizontal="center" vertical="center"/>
    </xf>
    <xf numFmtId="0" fontId="35" fillId="2" borderId="9" xfId="0" applyFont="1" applyFill="1" applyBorder="1" applyAlignment="1">
      <alignment horizontal="center" vertical="center"/>
    </xf>
    <xf numFmtId="0" fontId="35" fillId="2" borderId="16" xfId="0" applyFont="1" applyFill="1" applyBorder="1" applyAlignment="1">
      <alignment horizontal="center" vertical="center"/>
    </xf>
    <xf numFmtId="0" fontId="35" fillId="2" borderId="10" xfId="0" applyFont="1" applyFill="1" applyBorder="1" applyAlignment="1">
      <alignment horizontal="center" vertical="center"/>
    </xf>
    <xf numFmtId="0" fontId="35" fillId="5" borderId="9" xfId="0" applyFont="1" applyFill="1" applyBorder="1" applyAlignment="1">
      <alignment horizontal="center" vertical="center"/>
    </xf>
    <xf numFmtId="0" fontId="35" fillId="5" borderId="16" xfId="0" applyFont="1" applyFill="1" applyBorder="1" applyAlignment="1">
      <alignment horizontal="center" vertical="center"/>
    </xf>
    <xf numFmtId="0" fontId="35" fillId="5" borderId="10" xfId="0" applyFont="1" applyFill="1" applyBorder="1" applyAlignment="1">
      <alignment horizontal="center" vertical="center"/>
    </xf>
    <xf numFmtId="0" fontId="35" fillId="7" borderId="9" xfId="0" applyFont="1" applyFill="1" applyBorder="1" applyAlignment="1">
      <alignment horizontal="center" vertical="center"/>
    </xf>
    <xf numFmtId="0" fontId="35" fillId="7" borderId="16" xfId="0" applyFont="1" applyFill="1" applyBorder="1" applyAlignment="1">
      <alignment horizontal="center" vertical="center"/>
    </xf>
    <xf numFmtId="0" fontId="35" fillId="7" borderId="10" xfId="0" applyFont="1" applyFill="1" applyBorder="1" applyAlignment="1">
      <alignment horizontal="center" vertical="center"/>
    </xf>
    <xf numFmtId="0" fontId="35" fillId="9" borderId="9" xfId="0" applyFont="1" applyFill="1" applyBorder="1" applyAlignment="1">
      <alignment horizontal="center" vertical="center"/>
    </xf>
    <xf numFmtId="0" fontId="35" fillId="9" borderId="16" xfId="0" applyFont="1" applyFill="1" applyBorder="1" applyAlignment="1">
      <alignment horizontal="center" vertical="center"/>
    </xf>
    <xf numFmtId="0" fontId="35" fillId="9" borderId="10" xfId="0" applyFont="1" applyFill="1" applyBorder="1" applyAlignment="1">
      <alignment horizontal="center" vertical="center"/>
    </xf>
    <xf numFmtId="0" fontId="35" fillId="3" borderId="9" xfId="0" applyFont="1" applyFill="1" applyBorder="1" applyAlignment="1">
      <alignment horizontal="center" vertical="center"/>
    </xf>
    <xf numFmtId="0" fontId="35" fillId="3" borderId="16" xfId="0" applyFont="1" applyFill="1" applyBorder="1" applyAlignment="1">
      <alignment horizontal="center" vertical="center"/>
    </xf>
    <xf numFmtId="0" fontId="35" fillId="3" borderId="10" xfId="0" applyFont="1" applyFill="1" applyBorder="1" applyAlignment="1">
      <alignment horizontal="center" vertical="center"/>
    </xf>
    <xf numFmtId="0" fontId="35" fillId="4" borderId="9" xfId="0" applyFont="1" applyFill="1" applyBorder="1" applyAlignment="1">
      <alignment horizontal="center" vertical="center"/>
    </xf>
    <xf numFmtId="0" fontId="35" fillId="4" borderId="16" xfId="0" applyFont="1" applyFill="1" applyBorder="1" applyAlignment="1">
      <alignment horizontal="center" vertical="center"/>
    </xf>
    <xf numFmtId="0" fontId="35" fillId="4" borderId="10" xfId="0" applyFont="1" applyFill="1" applyBorder="1" applyAlignment="1">
      <alignment horizontal="center" vertical="center"/>
    </xf>
    <xf numFmtId="0" fontId="43" fillId="0" borderId="0" xfId="0" applyFont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9" borderId="14" xfId="0" applyFont="1" applyFill="1" applyBorder="1" applyAlignment="1">
      <alignment horizontal="center" vertical="center"/>
    </xf>
    <xf numFmtId="165" fontId="25" fillId="10" borderId="9" xfId="0" applyNumberFormat="1" applyFont="1" applyFill="1" applyBorder="1" applyAlignment="1">
      <alignment horizontal="center" vertical="center"/>
    </xf>
    <xf numFmtId="165" fontId="25" fillId="10" borderId="16" xfId="0" applyNumberFormat="1" applyFont="1" applyFill="1" applyBorder="1" applyAlignment="1">
      <alignment horizontal="center" vertical="center"/>
    </xf>
    <xf numFmtId="165" fontId="25" fillId="10" borderId="10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166" fontId="31" fillId="0" borderId="9" xfId="0" applyNumberFormat="1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166" fontId="31" fillId="0" borderId="9" xfId="0" applyNumberFormat="1" applyFont="1" applyBorder="1" applyAlignment="1">
      <alignment horizontal="right"/>
    </xf>
    <xf numFmtId="166" fontId="31" fillId="0" borderId="16" xfId="0" applyNumberFormat="1" applyFont="1" applyBorder="1" applyAlignment="1">
      <alignment horizontal="right"/>
    </xf>
    <xf numFmtId="166" fontId="31" fillId="0" borderId="10" xfId="0" applyNumberFormat="1" applyFont="1" applyBorder="1" applyAlignment="1">
      <alignment horizontal="right"/>
    </xf>
    <xf numFmtId="0" fontId="23" fillId="7" borderId="14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0" fontId="23" fillId="4" borderId="10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23" fillId="5" borderId="16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 wrapText="1"/>
    </xf>
    <xf numFmtId="0" fontId="25" fillId="10" borderId="16" xfId="0" applyFont="1" applyFill="1" applyBorder="1" applyAlignment="1">
      <alignment horizontal="center" vertical="center" wrapText="1"/>
    </xf>
    <xf numFmtId="0" fontId="25" fillId="10" borderId="10" xfId="0" applyFont="1" applyFill="1" applyBorder="1" applyAlignment="1">
      <alignment horizontal="center" vertical="center" wrapText="1"/>
    </xf>
    <xf numFmtId="166" fontId="31" fillId="0" borderId="16" xfId="0" applyNumberFormat="1" applyFont="1" applyBorder="1" applyAlignment="1">
      <alignment horizontal="center"/>
    </xf>
    <xf numFmtId="166" fontId="31" fillId="0" borderId="10" xfId="0" applyNumberFormat="1" applyFont="1" applyBorder="1" applyAlignment="1">
      <alignment horizontal="center"/>
    </xf>
    <xf numFmtId="0" fontId="25" fillId="10" borderId="9" xfId="0" applyFont="1" applyFill="1" applyBorder="1" applyAlignment="1">
      <alignment horizontal="right" vertical="center"/>
    </xf>
    <xf numFmtId="0" fontId="25" fillId="10" borderId="16" xfId="0" applyFont="1" applyFill="1" applyBorder="1" applyAlignment="1">
      <alignment horizontal="right" vertical="center"/>
    </xf>
    <xf numFmtId="0" fontId="25" fillId="10" borderId="10" xfId="0" applyFont="1" applyFill="1" applyBorder="1" applyAlignment="1">
      <alignment horizontal="right" vertical="center"/>
    </xf>
    <xf numFmtId="2" fontId="25" fillId="10" borderId="9" xfId="0" applyNumberFormat="1" applyFont="1" applyFill="1" applyBorder="1" applyAlignment="1">
      <alignment horizontal="right" vertical="center"/>
    </xf>
    <xf numFmtId="2" fontId="25" fillId="10" borderId="16" xfId="0" applyNumberFormat="1" applyFont="1" applyFill="1" applyBorder="1" applyAlignment="1">
      <alignment horizontal="right" vertical="center"/>
    </xf>
    <xf numFmtId="2" fontId="25" fillId="10" borderId="10" xfId="0" applyNumberFormat="1" applyFont="1" applyFill="1" applyBorder="1" applyAlignment="1">
      <alignment horizontal="right" vertical="center"/>
    </xf>
    <xf numFmtId="165" fontId="23" fillId="0" borderId="33" xfId="0" applyNumberFormat="1" applyFont="1" applyBorder="1" applyAlignment="1">
      <alignment horizontal="center"/>
    </xf>
    <xf numFmtId="0" fontId="15" fillId="12" borderId="32" xfId="2" applyFont="1" applyAlignment="1">
      <alignment horizontal="center" vertical="center"/>
    </xf>
    <xf numFmtId="3" fontId="0" fillId="12" borderId="32" xfId="2" applyNumberFormat="1" applyFont="1" applyAlignment="1">
      <alignment horizontal="center" vertical="center"/>
    </xf>
    <xf numFmtId="0" fontId="0" fillId="12" borderId="32" xfId="2" applyFont="1" applyAlignment="1">
      <alignment horizontal="center" vertical="center"/>
    </xf>
    <xf numFmtId="166" fontId="0" fillId="12" borderId="32" xfId="2" applyNumberFormat="1" applyFont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1" xfId="0" applyFont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51" fillId="0" borderId="0" xfId="0" quotePrefix="1" applyNumberFormat="1" applyFont="1" applyAlignment="1">
      <alignment horizontal="center"/>
    </xf>
    <xf numFmtId="164" fontId="51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3" fontId="0" fillId="0" borderId="0" xfId="0" applyNumberFormat="1" applyAlignment="1">
      <alignment horizontal="center"/>
    </xf>
    <xf numFmtId="0" fontId="38" fillId="0" borderId="2" xfId="0" applyFont="1" applyBorder="1" applyAlignment="1">
      <alignment horizontal="left" vertical="center"/>
    </xf>
    <xf numFmtId="0" fontId="38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4" fillId="0" borderId="2" xfId="0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38" fillId="0" borderId="2" xfId="0" applyFont="1" applyBorder="1" applyAlignment="1">
      <alignment horizontal="left" vertical="center" wrapText="1"/>
    </xf>
    <xf numFmtId="0" fontId="38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4" fillId="0" borderId="2" xfId="0" quotePrefix="1" applyFont="1" applyBorder="1" applyAlignment="1">
      <alignment horizontal="left" vertical="center"/>
    </xf>
    <xf numFmtId="0" fontId="54" fillId="0" borderId="5" xfId="0" quotePrefix="1" applyFont="1" applyBorder="1" applyAlignment="1">
      <alignment horizontal="left" vertical="center"/>
    </xf>
    <xf numFmtId="0" fontId="38" fillId="4" borderId="2" xfId="0" applyFont="1" applyFill="1" applyBorder="1" applyAlignment="1">
      <alignment horizontal="left"/>
    </xf>
    <xf numFmtId="0" fontId="38" fillId="4" borderId="5" xfId="0" applyFont="1" applyFill="1" applyBorder="1" applyAlignment="1">
      <alignment horizontal="left"/>
    </xf>
    <xf numFmtId="2" fontId="54" fillId="0" borderId="2" xfId="0" applyNumberFormat="1" applyFont="1" applyBorder="1" applyAlignment="1">
      <alignment horizontal="left" vertical="center"/>
    </xf>
    <xf numFmtId="2" fontId="54" fillId="0" borderId="5" xfId="0" applyNumberFormat="1" applyFont="1" applyBorder="1" applyAlignment="1">
      <alignment horizontal="left" vertical="center"/>
    </xf>
    <xf numFmtId="0" fontId="0" fillId="14" borderId="41" xfId="0" applyFill="1" applyBorder="1" applyAlignment="1">
      <alignment horizontal="center"/>
    </xf>
    <xf numFmtId="41" fontId="0" fillId="14" borderId="41" xfId="1" applyNumberFormat="1" applyFont="1" applyFill="1" applyBorder="1" applyAlignment="1">
      <alignment horizontal="center"/>
    </xf>
    <xf numFmtId="3" fontId="0" fillId="10" borderId="43" xfId="0" applyNumberFormat="1" applyFill="1" applyBorder="1" applyAlignment="1">
      <alignment horizontal="center" vertical="center" wrapText="1"/>
    </xf>
    <xf numFmtId="3" fontId="0" fillId="10" borderId="42" xfId="0" applyNumberFormat="1" applyFill="1" applyBorder="1" applyAlignment="1">
      <alignment horizontal="center" vertical="center" wrapText="1"/>
    </xf>
    <xf numFmtId="3" fontId="0" fillId="10" borderId="44" xfId="0" applyNumberFormat="1" applyFill="1" applyBorder="1" applyAlignment="1">
      <alignment horizontal="center" vertical="center" wrapText="1"/>
    </xf>
    <xf numFmtId="41" fontId="0" fillId="14" borderId="41" xfId="1" applyNumberFormat="1" applyFont="1" applyFill="1" applyBorder="1" applyAlignment="1">
      <alignment horizontal="right"/>
    </xf>
    <xf numFmtId="0" fontId="0" fillId="14" borderId="43" xfId="0" applyFill="1" applyBorder="1" applyAlignment="1">
      <alignment horizontal="center"/>
    </xf>
    <xf numFmtId="41" fontId="0" fillId="14" borderId="43" xfId="1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0" fillId="10" borderId="42" xfId="0" applyFill="1" applyBorder="1" applyAlignment="1">
      <alignment horizontal="center" vertical="center" wrapText="1"/>
    </xf>
    <xf numFmtId="0" fontId="55" fillId="14" borderId="41" xfId="0" applyFont="1" applyFill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0" fillId="18" borderId="40" xfId="0" applyFill="1" applyBorder="1" applyAlignment="1">
      <alignment horizontal="center"/>
    </xf>
    <xf numFmtId="41" fontId="0" fillId="18" borderId="40" xfId="1" applyNumberFormat="1" applyFont="1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41" fontId="0" fillId="18" borderId="41" xfId="1" applyNumberFormat="1" applyFont="1" applyFill="1" applyBorder="1" applyAlignment="1">
      <alignment horizontal="center"/>
    </xf>
    <xf numFmtId="3" fontId="0" fillId="11" borderId="43" xfId="0" applyNumberFormat="1" applyFill="1" applyBorder="1" applyAlignment="1">
      <alignment horizontal="center" vertical="center" wrapText="1"/>
    </xf>
    <xf numFmtId="3" fontId="0" fillId="11" borderId="42" xfId="0" applyNumberFormat="1" applyFill="1" applyBorder="1" applyAlignment="1">
      <alignment horizontal="center" vertical="center" wrapText="1"/>
    </xf>
    <xf numFmtId="3" fontId="0" fillId="11" borderId="44" xfId="0" applyNumberFormat="1" applyFill="1" applyBorder="1" applyAlignment="1">
      <alignment horizontal="center" vertical="center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23" fillId="0" borderId="0" xfId="0" applyFont="1" applyAlignment="1">
      <alignment horizontal="center"/>
    </xf>
    <xf numFmtId="0" fontId="49" fillId="13" borderId="37" xfId="0" applyFont="1" applyFill="1" applyBorder="1" applyAlignment="1">
      <alignment horizontal="center" vertical="center" wrapText="1"/>
    </xf>
    <xf numFmtId="0" fontId="49" fillId="13" borderId="38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/>
    </xf>
    <xf numFmtId="0" fontId="49" fillId="0" borderId="35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49" fillId="3" borderId="22" xfId="0" applyFont="1" applyFill="1" applyBorder="1" applyAlignment="1">
      <alignment horizontal="center" vertical="center"/>
    </xf>
    <xf numFmtId="0" fontId="49" fillId="3" borderId="34" xfId="0" applyFont="1" applyFill="1" applyBorder="1" applyAlignment="1">
      <alignment horizontal="center" vertical="center"/>
    </xf>
    <xf numFmtId="0" fontId="49" fillId="3" borderId="23" xfId="0" applyFont="1" applyFill="1" applyBorder="1" applyAlignment="1">
      <alignment horizontal="center" vertical="center"/>
    </xf>
    <xf numFmtId="0" fontId="49" fillId="4" borderId="22" xfId="0" applyFont="1" applyFill="1" applyBorder="1" applyAlignment="1">
      <alignment horizontal="center" vertical="center"/>
    </xf>
    <xf numFmtId="0" fontId="49" fillId="4" borderId="34" xfId="0" applyFont="1" applyFill="1" applyBorder="1" applyAlignment="1">
      <alignment horizontal="center" vertical="center"/>
    </xf>
    <xf numFmtId="0" fontId="49" fillId="4" borderId="23" xfId="0" applyFont="1" applyFill="1" applyBorder="1" applyAlignment="1">
      <alignment horizontal="center" vertical="center"/>
    </xf>
    <xf numFmtId="0" fontId="49" fillId="2" borderId="22" xfId="0" applyFont="1" applyFill="1" applyBorder="1" applyAlignment="1">
      <alignment horizontal="center" vertical="center"/>
    </xf>
    <xf numFmtId="0" fontId="49" fillId="2" borderId="34" xfId="0" applyFont="1" applyFill="1" applyBorder="1" applyAlignment="1">
      <alignment horizontal="center" vertical="center"/>
    </xf>
    <xf numFmtId="0" fontId="49" fillId="2" borderId="23" xfId="0" applyFont="1" applyFill="1" applyBorder="1" applyAlignment="1">
      <alignment horizontal="center" vertical="center"/>
    </xf>
    <xf numFmtId="0" fontId="49" fillId="5" borderId="22" xfId="0" applyFont="1" applyFill="1" applyBorder="1" applyAlignment="1">
      <alignment horizontal="center" vertical="center"/>
    </xf>
    <xf numFmtId="0" fontId="49" fillId="5" borderId="34" xfId="0" applyFont="1" applyFill="1" applyBorder="1" applyAlignment="1">
      <alignment horizontal="center" vertical="center"/>
    </xf>
    <xf numFmtId="0" fontId="49" fillId="5" borderId="23" xfId="0" applyFont="1" applyFill="1" applyBorder="1" applyAlignment="1">
      <alignment horizontal="center" vertical="center"/>
    </xf>
    <xf numFmtId="0" fontId="49" fillId="7" borderId="22" xfId="0" applyFont="1" applyFill="1" applyBorder="1" applyAlignment="1">
      <alignment horizontal="center" vertical="center"/>
    </xf>
    <xf numFmtId="0" fontId="49" fillId="7" borderId="34" xfId="0" applyFont="1" applyFill="1" applyBorder="1" applyAlignment="1">
      <alignment horizontal="center" vertical="center"/>
    </xf>
    <xf numFmtId="0" fontId="49" fillId="7" borderId="23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165" fontId="37" fillId="0" borderId="18" xfId="0" applyNumberFormat="1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36" fillId="0" borderId="17" xfId="0" applyFont="1" applyBorder="1" applyAlignment="1">
      <alignment horizontal="right"/>
    </xf>
    <xf numFmtId="0" fontId="36" fillId="0" borderId="18" xfId="0" applyFont="1" applyBorder="1" applyAlignment="1">
      <alignment horizontal="right"/>
    </xf>
    <xf numFmtId="165" fontId="36" fillId="0" borderId="18" xfId="0" applyNumberFormat="1" applyFont="1" applyBorder="1" applyAlignment="1">
      <alignment horizontal="center"/>
    </xf>
    <xf numFmtId="165" fontId="36" fillId="0" borderId="19" xfId="0" applyNumberFormat="1" applyFont="1" applyBorder="1" applyAlignment="1">
      <alignment horizontal="center"/>
    </xf>
    <xf numFmtId="17" fontId="21" fillId="0" borderId="22" xfId="0" applyNumberFormat="1" applyFont="1" applyBorder="1" applyAlignment="1">
      <alignment horizontal="center" vertical="center"/>
    </xf>
    <xf numFmtId="17" fontId="21" fillId="0" borderId="23" xfId="0" applyNumberFormat="1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te" xfId="2" builtinId="10"/>
  </cellStyles>
  <dxfs count="0"/>
  <tableStyles count="0" defaultTableStyle="TableStyleMedium2" defaultPivotStyle="PivotStyleMedium9"/>
  <colors>
    <mruColors>
      <color rgb="FFF8D184"/>
      <color rgb="FFF8D388"/>
      <color rgb="FFF8D590"/>
      <color rgb="FFFF9E6D"/>
      <color rgb="FFFBD3F2"/>
      <color rgb="FFC00000"/>
      <color rgb="FFC9A6E4"/>
      <color rgb="FFB0D9FA"/>
      <color rgb="FF89E0FF"/>
      <color rgb="FFFFED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T102"/>
  <sheetViews>
    <sheetView view="pageBreakPreview" topLeftCell="A53" zoomScale="73" zoomScaleNormal="73" zoomScaleSheetLayoutView="73" zoomScalePageLayoutView="84" workbookViewId="0">
      <selection activeCell="S69" sqref="S69"/>
    </sheetView>
  </sheetViews>
  <sheetFormatPr defaultRowHeight="15" x14ac:dyDescent="0.25"/>
  <cols>
    <col min="1" max="1" width="19.85546875" customWidth="1"/>
    <col min="2" max="2" width="24.28515625" customWidth="1"/>
    <col min="3" max="3" width="19.42578125" customWidth="1"/>
    <col min="4" max="4" width="29.28515625" customWidth="1"/>
    <col min="5" max="5" width="15.7109375" customWidth="1"/>
    <col min="6" max="6" width="13.140625" customWidth="1"/>
    <col min="7" max="7" width="23.140625" customWidth="1"/>
    <col min="8" max="8" width="16.42578125" customWidth="1"/>
    <col min="9" max="9" width="14.7109375" customWidth="1"/>
    <col min="10" max="10" width="17.140625" customWidth="1"/>
    <col min="11" max="11" width="16.85546875" customWidth="1"/>
    <col min="12" max="12" width="15.140625" customWidth="1"/>
    <col min="13" max="13" width="17.7109375" customWidth="1"/>
    <col min="14" max="14" width="14.85546875" customWidth="1"/>
    <col min="15" max="15" width="15.42578125" customWidth="1"/>
    <col min="16" max="16" width="26.28515625" customWidth="1"/>
    <col min="17" max="17" width="18.42578125" customWidth="1"/>
    <col min="18" max="18" width="17.7109375" customWidth="1"/>
    <col min="19" max="19" width="26.7109375" customWidth="1"/>
    <col min="20" max="20" width="22.140625" customWidth="1"/>
    <col min="21" max="21" width="6.28515625" customWidth="1"/>
    <col min="22" max="22" width="21.7109375" customWidth="1"/>
    <col min="23" max="23" width="12.42578125" customWidth="1"/>
    <col min="24" max="24" width="16.5703125" customWidth="1"/>
  </cols>
  <sheetData>
    <row r="1" spans="1:20" ht="25.5" x14ac:dyDescent="0.35">
      <c r="A1" s="474" t="s">
        <v>190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474"/>
      <c r="S1" s="474"/>
    </row>
    <row r="3" spans="1:20" ht="30" customHeight="1" x14ac:dyDescent="0.25">
      <c r="A3" s="475" t="s">
        <v>102</v>
      </c>
      <c r="B3" s="491" t="s">
        <v>99</v>
      </c>
      <c r="C3" s="492"/>
      <c r="D3" s="493"/>
      <c r="E3" s="494" t="s">
        <v>254</v>
      </c>
      <c r="F3" s="495"/>
      <c r="G3" s="496"/>
      <c r="H3" s="497" t="s">
        <v>98</v>
      </c>
      <c r="I3" s="498"/>
      <c r="J3" s="499"/>
      <c r="K3" s="500" t="s">
        <v>109</v>
      </c>
      <c r="L3" s="501"/>
      <c r="M3" s="502"/>
      <c r="N3" s="490" t="s">
        <v>138</v>
      </c>
      <c r="O3" s="490"/>
      <c r="P3" s="490"/>
      <c r="Q3" s="477" t="s">
        <v>147</v>
      </c>
      <c r="R3" s="477"/>
      <c r="S3" s="477"/>
      <c r="T3" s="228" t="s">
        <v>389</v>
      </c>
    </row>
    <row r="4" spans="1:20" ht="17.25" x14ac:dyDescent="0.3">
      <c r="A4" s="476"/>
      <c r="B4" s="62" t="s">
        <v>97</v>
      </c>
      <c r="C4" s="62" t="s">
        <v>96</v>
      </c>
      <c r="D4" s="63" t="s">
        <v>18</v>
      </c>
      <c r="E4" s="62" t="s">
        <v>97</v>
      </c>
      <c r="F4" s="62" t="s">
        <v>96</v>
      </c>
      <c r="G4" s="63" t="s">
        <v>18</v>
      </c>
      <c r="H4" s="62" t="s">
        <v>97</v>
      </c>
      <c r="I4" s="75" t="s">
        <v>96</v>
      </c>
      <c r="J4" s="63" t="s">
        <v>18</v>
      </c>
      <c r="K4" s="62" t="s">
        <v>97</v>
      </c>
      <c r="L4" s="75" t="s">
        <v>96</v>
      </c>
      <c r="M4" s="63" t="s">
        <v>18</v>
      </c>
      <c r="N4" s="62" t="s">
        <v>97</v>
      </c>
      <c r="O4" s="75" t="s">
        <v>96</v>
      </c>
      <c r="P4" s="63" t="s">
        <v>18</v>
      </c>
      <c r="Q4" s="62" t="s">
        <v>97</v>
      </c>
      <c r="R4" s="62" t="s">
        <v>96</v>
      </c>
      <c r="S4" s="63" t="s">
        <v>18</v>
      </c>
      <c r="T4" s="23"/>
    </row>
    <row r="5" spans="1:20" ht="29.25" customHeight="1" x14ac:dyDescent="0.3">
      <c r="A5" s="217" t="s">
        <v>253</v>
      </c>
      <c r="B5" s="244">
        <v>18500</v>
      </c>
      <c r="C5" s="244"/>
      <c r="D5" s="245">
        <f>B5+C5</f>
        <v>18500</v>
      </c>
      <c r="E5" s="244">
        <v>40</v>
      </c>
      <c r="F5" s="244"/>
      <c r="G5" s="245">
        <f>E5+F5</f>
        <v>40</v>
      </c>
      <c r="H5" s="244"/>
      <c r="I5" s="244"/>
      <c r="J5" s="245"/>
      <c r="K5" s="244">
        <v>6760</v>
      </c>
      <c r="L5" s="244"/>
      <c r="M5" s="245">
        <f>K5+L5</f>
        <v>6760</v>
      </c>
      <c r="N5" s="244">
        <v>970</v>
      </c>
      <c r="O5" s="244"/>
      <c r="P5" s="246">
        <f>N5+O5</f>
        <v>970</v>
      </c>
      <c r="Q5" s="247"/>
      <c r="R5" s="247"/>
      <c r="S5" s="248"/>
      <c r="T5" s="249">
        <v>27</v>
      </c>
    </row>
    <row r="6" spans="1:20" ht="29.25" customHeight="1" x14ac:dyDescent="0.3">
      <c r="A6" s="218" t="s">
        <v>305</v>
      </c>
      <c r="B6" s="244">
        <v>5700</v>
      </c>
      <c r="C6" s="244"/>
      <c r="D6" s="245">
        <f>B6+C6</f>
        <v>5700</v>
      </c>
      <c r="E6" s="244"/>
      <c r="F6" s="244"/>
      <c r="G6" s="245">
        <f t="shared" ref="G6:G24" si="0">E6+F6</f>
        <v>0</v>
      </c>
      <c r="H6" s="244"/>
      <c r="I6" s="244"/>
      <c r="J6" s="245"/>
      <c r="K6" s="244">
        <v>16750</v>
      </c>
      <c r="L6" s="244">
        <v>25000</v>
      </c>
      <c r="M6" s="245">
        <f>K6+L6</f>
        <v>41750</v>
      </c>
      <c r="N6" s="244"/>
      <c r="O6" s="244"/>
      <c r="P6" s="246">
        <f t="shared" ref="P6:P40" si="1">N6+O6</f>
        <v>0</v>
      </c>
      <c r="Q6" s="250"/>
      <c r="R6" s="251"/>
      <c r="S6" s="248"/>
      <c r="T6" s="249">
        <v>15</v>
      </c>
    </row>
    <row r="7" spans="1:20" ht="29.25" customHeight="1" x14ac:dyDescent="0.3">
      <c r="A7" s="243" t="s">
        <v>306</v>
      </c>
      <c r="B7" s="244">
        <v>7100</v>
      </c>
      <c r="C7" s="244"/>
      <c r="D7" s="245">
        <f>B7+C7</f>
        <v>7100</v>
      </c>
      <c r="E7" s="244"/>
      <c r="F7" s="244"/>
      <c r="G7" s="245">
        <f t="shared" si="0"/>
        <v>0</v>
      </c>
      <c r="H7" s="244"/>
      <c r="I7" s="244"/>
      <c r="J7" s="245"/>
      <c r="K7" s="244">
        <v>1500</v>
      </c>
      <c r="L7" s="244"/>
      <c r="M7" s="245">
        <f>K7+L7</f>
        <v>1500</v>
      </c>
      <c r="N7" s="244"/>
      <c r="O7" s="244"/>
      <c r="P7" s="246">
        <f t="shared" si="1"/>
        <v>0</v>
      </c>
      <c r="Q7" s="250"/>
      <c r="R7" s="250"/>
      <c r="S7" s="248"/>
      <c r="T7" s="249">
        <v>5</v>
      </c>
    </row>
    <row r="8" spans="1:20" ht="29.25" customHeight="1" x14ac:dyDescent="0.3">
      <c r="A8" s="243" t="s">
        <v>349</v>
      </c>
      <c r="B8" s="244">
        <v>16600</v>
      </c>
      <c r="C8" s="244">
        <v>4000</v>
      </c>
      <c r="D8" s="245">
        <f>B8+C8</f>
        <v>20600</v>
      </c>
      <c r="E8" s="244">
        <v>266</v>
      </c>
      <c r="F8" s="244"/>
      <c r="G8" s="245">
        <f t="shared" si="0"/>
        <v>266</v>
      </c>
      <c r="H8" s="244"/>
      <c r="I8" s="244"/>
      <c r="J8" s="245"/>
      <c r="K8" s="244">
        <v>370</v>
      </c>
      <c r="L8" s="244"/>
      <c r="M8" s="245">
        <f>K8+L8</f>
        <v>370</v>
      </c>
      <c r="N8" s="244"/>
      <c r="O8" s="244"/>
      <c r="P8" s="246">
        <f t="shared" si="1"/>
        <v>0</v>
      </c>
      <c r="Q8" s="250"/>
      <c r="R8" s="250"/>
      <c r="S8" s="248"/>
      <c r="T8" s="249">
        <v>17</v>
      </c>
    </row>
    <row r="9" spans="1:20" ht="29.25" customHeight="1" x14ac:dyDescent="0.3">
      <c r="A9" s="243" t="s">
        <v>386</v>
      </c>
      <c r="B9" s="244"/>
      <c r="C9" s="226">
        <v>11700</v>
      </c>
      <c r="D9" s="245"/>
      <c r="E9" s="244"/>
      <c r="F9" s="244"/>
      <c r="G9" s="245"/>
      <c r="H9" s="244"/>
      <c r="I9" s="244"/>
      <c r="J9" s="245"/>
      <c r="K9" s="244"/>
      <c r="L9" s="244"/>
      <c r="M9" s="245"/>
      <c r="N9" s="244"/>
      <c r="O9" s="244"/>
      <c r="P9" s="246">
        <f t="shared" si="1"/>
        <v>0</v>
      </c>
      <c r="Q9" s="250"/>
      <c r="R9" s="250"/>
      <c r="S9" s="248"/>
      <c r="T9" s="249">
        <v>1</v>
      </c>
    </row>
    <row r="10" spans="1:20" ht="29.25" customHeight="1" x14ac:dyDescent="0.3">
      <c r="A10" s="243" t="s">
        <v>374</v>
      </c>
      <c r="B10" s="244">
        <v>12700</v>
      </c>
      <c r="C10" s="244"/>
      <c r="D10" s="245">
        <f>B10+C10</f>
        <v>12700</v>
      </c>
      <c r="E10" s="244">
        <v>110</v>
      </c>
      <c r="F10" s="244"/>
      <c r="G10" s="245">
        <f t="shared" si="0"/>
        <v>110</v>
      </c>
      <c r="H10" s="244"/>
      <c r="I10" s="244"/>
      <c r="J10" s="245"/>
      <c r="K10" s="244"/>
      <c r="L10" s="244"/>
      <c r="M10" s="245">
        <f t="shared" ref="M10:M69" si="2">K10+L10</f>
        <v>0</v>
      </c>
      <c r="N10" s="244"/>
      <c r="O10" s="244"/>
      <c r="P10" s="246">
        <f t="shared" si="1"/>
        <v>0</v>
      </c>
      <c r="Q10" s="250"/>
      <c r="R10" s="250"/>
      <c r="S10" s="248"/>
      <c r="T10" s="249">
        <v>9</v>
      </c>
    </row>
    <row r="11" spans="1:20" ht="29.25" customHeight="1" x14ac:dyDescent="0.3">
      <c r="A11" s="243" t="s">
        <v>388</v>
      </c>
      <c r="B11" s="244">
        <v>1000</v>
      </c>
      <c r="C11" s="226">
        <v>31280</v>
      </c>
      <c r="D11" s="245">
        <f>B11</f>
        <v>1000</v>
      </c>
      <c r="E11" s="244">
        <v>30</v>
      </c>
      <c r="F11" s="244"/>
      <c r="G11" s="245">
        <f t="shared" si="0"/>
        <v>30</v>
      </c>
      <c r="H11" s="244"/>
      <c r="I11" s="244"/>
      <c r="J11" s="245"/>
      <c r="K11" s="244"/>
      <c r="L11" s="244"/>
      <c r="M11" s="245">
        <f t="shared" si="2"/>
        <v>0</v>
      </c>
      <c r="N11" s="244"/>
      <c r="O11" s="244"/>
      <c r="P11" s="246">
        <f t="shared" si="1"/>
        <v>0</v>
      </c>
      <c r="Q11" s="250"/>
      <c r="R11" s="250"/>
      <c r="S11" s="248"/>
      <c r="T11" s="249">
        <v>3</v>
      </c>
    </row>
    <row r="12" spans="1:20" ht="29.25" customHeight="1" x14ac:dyDescent="0.3">
      <c r="A12" s="260" t="s">
        <v>456</v>
      </c>
      <c r="B12" s="261">
        <v>34200</v>
      </c>
      <c r="C12" s="226">
        <v>6000</v>
      </c>
      <c r="D12" s="262">
        <v>34200</v>
      </c>
      <c r="E12" s="261">
        <v>460</v>
      </c>
      <c r="F12" s="261"/>
      <c r="G12" s="262">
        <f t="shared" si="0"/>
        <v>460</v>
      </c>
      <c r="H12" s="261"/>
      <c r="I12" s="261"/>
      <c r="J12" s="262"/>
      <c r="K12" s="261">
        <v>300</v>
      </c>
      <c r="L12" s="261"/>
      <c r="M12" s="262">
        <f t="shared" si="2"/>
        <v>300</v>
      </c>
      <c r="N12" s="261"/>
      <c r="O12" s="261"/>
      <c r="P12" s="263">
        <f t="shared" si="1"/>
        <v>0</v>
      </c>
      <c r="Q12" s="264"/>
      <c r="R12" s="264"/>
      <c r="S12" s="265"/>
      <c r="T12" s="266">
        <v>30</v>
      </c>
    </row>
    <row r="13" spans="1:20" ht="29.25" customHeight="1" x14ac:dyDescent="0.3">
      <c r="A13" s="267" t="s">
        <v>492</v>
      </c>
      <c r="B13" s="261">
        <v>33700</v>
      </c>
      <c r="C13" s="261">
        <v>500</v>
      </c>
      <c r="D13" s="262">
        <f t="shared" ref="D13:D70" si="3">B13+C13</f>
        <v>34200</v>
      </c>
      <c r="E13" s="261">
        <v>220</v>
      </c>
      <c r="F13" s="261"/>
      <c r="G13" s="262">
        <f t="shared" si="0"/>
        <v>220</v>
      </c>
      <c r="H13" s="261"/>
      <c r="I13" s="261"/>
      <c r="J13" s="262"/>
      <c r="K13" s="261"/>
      <c r="L13" s="261">
        <v>3600</v>
      </c>
      <c r="M13" s="262">
        <f t="shared" si="2"/>
        <v>3600</v>
      </c>
      <c r="N13" s="261">
        <v>1100</v>
      </c>
      <c r="O13" s="261"/>
      <c r="P13" s="263">
        <f t="shared" si="1"/>
        <v>1100</v>
      </c>
      <c r="Q13" s="264"/>
      <c r="R13" s="264"/>
      <c r="S13" s="265"/>
      <c r="T13" s="266">
        <v>19</v>
      </c>
    </row>
    <row r="14" spans="1:20" s="59" customFormat="1" ht="29.25" customHeight="1" x14ac:dyDescent="0.3">
      <c r="A14" s="268" t="s">
        <v>537</v>
      </c>
      <c r="B14" s="269">
        <v>29400</v>
      </c>
      <c r="C14" s="269">
        <v>500</v>
      </c>
      <c r="D14" s="270">
        <f t="shared" si="3"/>
        <v>29900</v>
      </c>
      <c r="E14" s="269">
        <v>100</v>
      </c>
      <c r="F14" s="269"/>
      <c r="G14" s="270">
        <f t="shared" si="0"/>
        <v>100</v>
      </c>
      <c r="H14" s="269"/>
      <c r="I14" s="269"/>
      <c r="J14" s="270"/>
      <c r="K14" s="269"/>
      <c r="L14" s="269"/>
      <c r="M14" s="270">
        <f t="shared" si="2"/>
        <v>0</v>
      </c>
      <c r="N14" s="269">
        <v>8100</v>
      </c>
      <c r="O14" s="269">
        <v>100</v>
      </c>
      <c r="P14" s="263">
        <f t="shared" si="1"/>
        <v>8200</v>
      </c>
      <c r="Q14" s="264"/>
      <c r="R14" s="271"/>
      <c r="S14" s="265"/>
      <c r="T14" s="266">
        <v>22</v>
      </c>
    </row>
    <row r="15" spans="1:20" ht="31.5" customHeight="1" x14ac:dyDescent="0.3">
      <c r="A15" s="267" t="s">
        <v>592</v>
      </c>
      <c r="B15" s="269">
        <v>13450</v>
      </c>
      <c r="C15" s="269">
        <v>2100</v>
      </c>
      <c r="D15" s="262">
        <f t="shared" si="3"/>
        <v>15550</v>
      </c>
      <c r="E15" s="272">
        <v>40</v>
      </c>
      <c r="F15" s="272"/>
      <c r="G15" s="262">
        <f t="shared" si="0"/>
        <v>40</v>
      </c>
      <c r="H15" s="272"/>
      <c r="I15" s="272"/>
      <c r="J15" s="262"/>
      <c r="K15" s="269">
        <v>2200</v>
      </c>
      <c r="L15" s="269">
        <v>100</v>
      </c>
      <c r="M15" s="262">
        <f t="shared" si="2"/>
        <v>2300</v>
      </c>
      <c r="N15" s="269">
        <v>2950</v>
      </c>
      <c r="O15" s="272"/>
      <c r="P15" s="263">
        <f t="shared" si="1"/>
        <v>2950</v>
      </c>
      <c r="Q15" s="264"/>
      <c r="R15" s="273">
        <v>6000</v>
      </c>
      <c r="S15" s="263">
        <f>Q15+R15</f>
        <v>6000</v>
      </c>
      <c r="T15" s="266">
        <v>21</v>
      </c>
    </row>
    <row r="16" spans="1:20" ht="29.25" customHeight="1" x14ac:dyDescent="0.3">
      <c r="A16" s="302" t="s">
        <v>679</v>
      </c>
      <c r="B16" s="303">
        <v>21250</v>
      </c>
      <c r="C16" s="254">
        <v>22992</v>
      </c>
      <c r="D16" s="306">
        <v>21250</v>
      </c>
      <c r="E16" s="303">
        <v>260</v>
      </c>
      <c r="F16" s="305"/>
      <c r="G16" s="306">
        <f t="shared" si="0"/>
        <v>260</v>
      </c>
      <c r="H16" s="305"/>
      <c r="I16" s="305"/>
      <c r="J16" s="306"/>
      <c r="K16" s="303">
        <v>8100</v>
      </c>
      <c r="L16" s="303">
        <v>350</v>
      </c>
      <c r="M16" s="306">
        <f t="shared" si="2"/>
        <v>8450</v>
      </c>
      <c r="N16" s="303">
        <v>9800</v>
      </c>
      <c r="O16" s="305"/>
      <c r="P16" s="309">
        <f t="shared" si="1"/>
        <v>9800</v>
      </c>
      <c r="Q16" s="310"/>
      <c r="R16" s="310"/>
      <c r="S16" s="309">
        <f t="shared" ref="S16:S27" si="4">Q16+R16</f>
        <v>0</v>
      </c>
      <c r="T16" s="311">
        <v>42</v>
      </c>
    </row>
    <row r="17" spans="1:20" ht="29.25" customHeight="1" x14ac:dyDescent="0.3">
      <c r="A17" s="304" t="s">
        <v>791</v>
      </c>
      <c r="B17" s="303">
        <v>35250</v>
      </c>
      <c r="C17" s="254">
        <v>12268</v>
      </c>
      <c r="D17" s="307">
        <v>36250</v>
      </c>
      <c r="E17" s="303">
        <v>130</v>
      </c>
      <c r="F17" s="303">
        <v>5</v>
      </c>
      <c r="G17" s="307">
        <f t="shared" si="0"/>
        <v>135</v>
      </c>
      <c r="H17" s="303"/>
      <c r="I17" s="303"/>
      <c r="J17" s="307"/>
      <c r="K17" s="303">
        <v>16075</v>
      </c>
      <c r="L17" s="303"/>
      <c r="M17" s="307">
        <f t="shared" si="2"/>
        <v>16075</v>
      </c>
      <c r="N17" s="303">
        <v>8000</v>
      </c>
      <c r="O17" s="303">
        <v>20000</v>
      </c>
      <c r="P17" s="309">
        <f t="shared" si="1"/>
        <v>28000</v>
      </c>
      <c r="Q17" s="310"/>
      <c r="R17" s="310"/>
      <c r="S17" s="309">
        <f t="shared" si="4"/>
        <v>0</v>
      </c>
      <c r="T17" s="311">
        <v>53</v>
      </c>
    </row>
    <row r="18" spans="1:20" ht="29.25" customHeight="1" x14ac:dyDescent="0.3">
      <c r="A18" s="302" t="s">
        <v>799</v>
      </c>
      <c r="B18" s="303">
        <v>3100</v>
      </c>
      <c r="C18" s="303">
        <v>50</v>
      </c>
      <c r="D18" s="307">
        <f t="shared" si="3"/>
        <v>3150</v>
      </c>
      <c r="E18" s="303">
        <v>100</v>
      </c>
      <c r="F18" s="303"/>
      <c r="G18" s="307">
        <f t="shared" si="0"/>
        <v>100</v>
      </c>
      <c r="H18" s="303"/>
      <c r="I18" s="303"/>
      <c r="J18" s="307"/>
      <c r="K18" s="303"/>
      <c r="L18" s="303"/>
      <c r="M18" s="307">
        <f t="shared" si="2"/>
        <v>0</v>
      </c>
      <c r="N18" s="303">
        <v>100</v>
      </c>
      <c r="O18" s="303">
        <v>30000</v>
      </c>
      <c r="P18" s="309">
        <f t="shared" si="1"/>
        <v>30100</v>
      </c>
      <c r="Q18" s="310"/>
      <c r="R18" s="312"/>
      <c r="S18" s="309">
        <f t="shared" si="4"/>
        <v>0</v>
      </c>
      <c r="T18" s="311">
        <v>1</v>
      </c>
    </row>
    <row r="19" spans="1:20" ht="29.25" customHeight="1" x14ac:dyDescent="0.3">
      <c r="A19" s="304" t="s">
        <v>866</v>
      </c>
      <c r="B19" s="303">
        <v>17000</v>
      </c>
      <c r="C19" s="303">
        <v>22570</v>
      </c>
      <c r="D19" s="306">
        <f t="shared" si="3"/>
        <v>39570</v>
      </c>
      <c r="E19" s="308">
        <v>494</v>
      </c>
      <c r="F19" s="305"/>
      <c r="G19" s="306">
        <f t="shared" si="0"/>
        <v>494</v>
      </c>
      <c r="H19" s="305"/>
      <c r="I19" s="305"/>
      <c r="J19" s="306"/>
      <c r="K19" s="305"/>
      <c r="L19" s="305"/>
      <c r="M19" s="306">
        <f t="shared" si="2"/>
        <v>0</v>
      </c>
      <c r="N19" s="305"/>
      <c r="O19" s="305"/>
      <c r="P19" s="309">
        <f t="shared" si="1"/>
        <v>0</v>
      </c>
      <c r="Q19" s="310"/>
      <c r="R19" s="310"/>
      <c r="S19" s="309">
        <f t="shared" si="4"/>
        <v>0</v>
      </c>
      <c r="T19" s="311">
        <v>29</v>
      </c>
    </row>
    <row r="20" spans="1:20" ht="29.25" customHeight="1" x14ac:dyDescent="0.3">
      <c r="A20" s="304" t="s">
        <v>914</v>
      </c>
      <c r="B20" s="303">
        <v>26600</v>
      </c>
      <c r="C20" s="303">
        <v>14220</v>
      </c>
      <c r="D20" s="306">
        <f t="shared" si="3"/>
        <v>40820</v>
      </c>
      <c r="E20" s="303">
        <v>220</v>
      </c>
      <c r="F20" s="305"/>
      <c r="G20" s="306">
        <f t="shared" si="0"/>
        <v>220</v>
      </c>
      <c r="H20" s="305"/>
      <c r="I20" s="305"/>
      <c r="J20" s="306"/>
      <c r="K20" s="305">
        <v>1000</v>
      </c>
      <c r="L20" s="305"/>
      <c r="M20" s="306">
        <f t="shared" si="2"/>
        <v>1000</v>
      </c>
      <c r="N20" s="305"/>
      <c r="O20" s="305"/>
      <c r="P20" s="309">
        <f t="shared" si="1"/>
        <v>0</v>
      </c>
      <c r="Q20" s="310"/>
      <c r="R20" s="310"/>
      <c r="S20" s="309">
        <f t="shared" si="4"/>
        <v>0</v>
      </c>
      <c r="T20" s="311">
        <v>25</v>
      </c>
    </row>
    <row r="21" spans="1:20" ht="29.25" customHeight="1" x14ac:dyDescent="0.3">
      <c r="A21" s="304" t="s">
        <v>935</v>
      </c>
      <c r="B21" s="303">
        <v>20800</v>
      </c>
      <c r="C21" s="305"/>
      <c r="D21" s="306">
        <f t="shared" si="3"/>
        <v>20800</v>
      </c>
      <c r="E21" s="303">
        <v>120</v>
      </c>
      <c r="F21" s="305"/>
      <c r="G21" s="306">
        <f t="shared" si="0"/>
        <v>120</v>
      </c>
      <c r="H21" s="305"/>
      <c r="I21" s="305"/>
      <c r="J21" s="306"/>
      <c r="K21" s="303">
        <v>3000</v>
      </c>
      <c r="L21" s="305"/>
      <c r="M21" s="306">
        <f t="shared" si="2"/>
        <v>3000</v>
      </c>
      <c r="N21" s="305"/>
      <c r="O21" s="305"/>
      <c r="P21" s="309">
        <f t="shared" si="1"/>
        <v>0</v>
      </c>
      <c r="Q21" s="310"/>
      <c r="R21" s="310"/>
      <c r="S21" s="309">
        <f t="shared" si="4"/>
        <v>0</v>
      </c>
      <c r="T21" s="311">
        <v>14</v>
      </c>
    </row>
    <row r="22" spans="1:20" ht="28.5" customHeight="1" x14ac:dyDescent="0.3">
      <c r="A22" s="313" t="s">
        <v>1024</v>
      </c>
      <c r="B22" s="314">
        <v>60050</v>
      </c>
      <c r="C22" s="314">
        <v>8400</v>
      </c>
      <c r="D22" s="315">
        <f t="shared" si="3"/>
        <v>68450</v>
      </c>
      <c r="E22" s="314">
        <v>434</v>
      </c>
      <c r="F22" s="316"/>
      <c r="G22" s="315">
        <f t="shared" si="0"/>
        <v>434</v>
      </c>
      <c r="H22" s="316"/>
      <c r="I22" s="316"/>
      <c r="J22" s="315"/>
      <c r="K22" s="314">
        <v>6950</v>
      </c>
      <c r="L22" s="314">
        <v>3000</v>
      </c>
      <c r="M22" s="315">
        <f t="shared" si="2"/>
        <v>9950</v>
      </c>
      <c r="N22" s="316"/>
      <c r="O22" s="316"/>
      <c r="P22" s="182">
        <f t="shared" si="1"/>
        <v>0</v>
      </c>
      <c r="Q22" s="317"/>
      <c r="R22" s="317"/>
      <c r="S22" s="335">
        <f t="shared" si="4"/>
        <v>0</v>
      </c>
      <c r="T22" s="318">
        <v>51</v>
      </c>
    </row>
    <row r="23" spans="1:20" ht="28.5" customHeight="1" x14ac:dyDescent="0.3">
      <c r="A23" s="313" t="s">
        <v>1051</v>
      </c>
      <c r="B23" s="314">
        <v>31950</v>
      </c>
      <c r="C23" s="314">
        <v>2500</v>
      </c>
      <c r="D23" s="315">
        <f t="shared" si="3"/>
        <v>34450</v>
      </c>
      <c r="E23" s="314">
        <v>69</v>
      </c>
      <c r="F23" s="316"/>
      <c r="G23" s="315">
        <f t="shared" si="0"/>
        <v>69</v>
      </c>
      <c r="H23" s="316"/>
      <c r="I23" s="316"/>
      <c r="J23" s="315"/>
      <c r="K23" s="316"/>
      <c r="L23" s="316"/>
      <c r="M23" s="315">
        <f t="shared" si="2"/>
        <v>0</v>
      </c>
      <c r="N23" s="316"/>
      <c r="O23" s="316"/>
      <c r="P23" s="182">
        <f t="shared" si="1"/>
        <v>0</v>
      </c>
      <c r="Q23" s="317"/>
      <c r="R23" s="317"/>
      <c r="S23" s="335">
        <f t="shared" si="4"/>
        <v>0</v>
      </c>
      <c r="T23" s="318">
        <v>17</v>
      </c>
    </row>
    <row r="24" spans="1:20" ht="28.5" customHeight="1" x14ac:dyDescent="0.3">
      <c r="A24" s="313" t="s">
        <v>1059</v>
      </c>
      <c r="B24" s="314">
        <v>3800</v>
      </c>
      <c r="C24" s="314">
        <v>1500</v>
      </c>
      <c r="D24" s="319">
        <f t="shared" si="3"/>
        <v>5300</v>
      </c>
      <c r="E24" s="314"/>
      <c r="F24" s="314">
        <v>115</v>
      </c>
      <c r="G24" s="319">
        <f t="shared" si="0"/>
        <v>115</v>
      </c>
      <c r="H24" s="316"/>
      <c r="I24" s="316"/>
      <c r="J24" s="315"/>
      <c r="K24" s="316"/>
      <c r="L24" s="316"/>
      <c r="M24" s="315">
        <f t="shared" si="2"/>
        <v>0</v>
      </c>
      <c r="N24" s="316"/>
      <c r="O24" s="316"/>
      <c r="P24" s="182">
        <f t="shared" si="1"/>
        <v>0</v>
      </c>
      <c r="Q24" s="317"/>
      <c r="R24" s="317"/>
      <c r="S24" s="335">
        <f t="shared" si="4"/>
        <v>0</v>
      </c>
      <c r="T24" s="318">
        <v>4</v>
      </c>
    </row>
    <row r="25" spans="1:20" ht="25.5" customHeight="1" x14ac:dyDescent="0.3">
      <c r="A25" s="326" t="s">
        <v>1090</v>
      </c>
      <c r="B25" s="327">
        <v>10000</v>
      </c>
      <c r="C25" s="327">
        <v>190</v>
      </c>
      <c r="D25" s="328">
        <f t="shared" si="3"/>
        <v>10190</v>
      </c>
      <c r="E25" s="327">
        <v>660</v>
      </c>
      <c r="F25" s="329"/>
      <c r="G25" s="330">
        <f>E25+F25</f>
        <v>660</v>
      </c>
      <c r="H25" s="329"/>
      <c r="I25" s="329"/>
      <c r="J25" s="330"/>
      <c r="K25" s="329"/>
      <c r="L25" s="329"/>
      <c r="M25" s="330">
        <f t="shared" si="2"/>
        <v>0</v>
      </c>
      <c r="N25" s="329"/>
      <c r="O25" s="329"/>
      <c r="P25" s="341">
        <f t="shared" si="1"/>
        <v>0</v>
      </c>
      <c r="Q25" s="332"/>
      <c r="R25" s="332"/>
      <c r="S25" s="331">
        <f t="shared" si="4"/>
        <v>0</v>
      </c>
      <c r="T25" s="333">
        <v>14</v>
      </c>
    </row>
    <row r="26" spans="1:20" ht="25.5" customHeight="1" x14ac:dyDescent="0.3">
      <c r="A26" s="326" t="s">
        <v>1131</v>
      </c>
      <c r="B26" s="327">
        <v>24020</v>
      </c>
      <c r="C26" s="327"/>
      <c r="D26" s="328">
        <f t="shared" si="3"/>
        <v>24020</v>
      </c>
      <c r="E26" s="327">
        <v>146</v>
      </c>
      <c r="F26" s="327"/>
      <c r="G26" s="328">
        <f>E26+F26</f>
        <v>146</v>
      </c>
      <c r="H26" s="327"/>
      <c r="I26" s="327"/>
      <c r="J26" s="328"/>
      <c r="K26" s="327">
        <v>2170</v>
      </c>
      <c r="L26" s="327"/>
      <c r="M26" s="330">
        <f t="shared" si="2"/>
        <v>2170</v>
      </c>
      <c r="N26" s="327"/>
      <c r="O26" s="327"/>
      <c r="P26" s="341">
        <f t="shared" si="1"/>
        <v>0</v>
      </c>
      <c r="Q26" s="332"/>
      <c r="R26" s="332"/>
      <c r="S26" s="331">
        <f t="shared" si="4"/>
        <v>0</v>
      </c>
      <c r="T26" s="333">
        <v>21</v>
      </c>
    </row>
    <row r="27" spans="1:20" ht="25.5" customHeight="1" x14ac:dyDescent="0.3">
      <c r="A27" s="326" t="s">
        <v>1147</v>
      </c>
      <c r="B27" s="327"/>
      <c r="C27" s="327"/>
      <c r="D27" s="328">
        <f t="shared" si="3"/>
        <v>0</v>
      </c>
      <c r="E27" s="327">
        <v>60</v>
      </c>
      <c r="F27" s="327">
        <v>65</v>
      </c>
      <c r="G27" s="328">
        <f>E27+F27</f>
        <v>125</v>
      </c>
      <c r="H27" s="327"/>
      <c r="I27" s="327"/>
      <c r="J27" s="328"/>
      <c r="K27" s="327"/>
      <c r="L27" s="327">
        <v>30</v>
      </c>
      <c r="M27" s="328">
        <f t="shared" si="2"/>
        <v>30</v>
      </c>
      <c r="N27" s="327"/>
      <c r="O27" s="327"/>
      <c r="P27" s="341">
        <f t="shared" si="1"/>
        <v>0</v>
      </c>
      <c r="Q27" s="332"/>
      <c r="R27" s="334">
        <v>1750</v>
      </c>
      <c r="S27" s="331">
        <f t="shared" si="4"/>
        <v>1750</v>
      </c>
      <c r="T27" s="333">
        <v>6</v>
      </c>
    </row>
    <row r="28" spans="1:20" ht="25.5" customHeight="1" x14ac:dyDescent="0.3">
      <c r="A28" s="346" t="s">
        <v>1202</v>
      </c>
      <c r="B28" s="347">
        <v>56400</v>
      </c>
      <c r="C28" s="347">
        <v>75</v>
      </c>
      <c r="D28" s="348">
        <f t="shared" si="3"/>
        <v>56475</v>
      </c>
      <c r="E28" s="347"/>
      <c r="F28" s="347"/>
      <c r="G28" s="348">
        <f t="shared" ref="G28:G69" si="5">E28+F28</f>
        <v>0</v>
      </c>
      <c r="H28" s="347"/>
      <c r="I28" s="347"/>
      <c r="J28" s="349"/>
      <c r="K28" s="347"/>
      <c r="L28" s="347"/>
      <c r="M28" s="348">
        <f t="shared" si="2"/>
        <v>0</v>
      </c>
      <c r="N28" s="347"/>
      <c r="O28" s="347"/>
      <c r="P28" s="350">
        <f t="shared" si="1"/>
        <v>0</v>
      </c>
      <c r="Q28" s="351"/>
      <c r="R28" s="351"/>
      <c r="S28" s="350">
        <v>21200</v>
      </c>
      <c r="T28" s="352">
        <v>21</v>
      </c>
    </row>
    <row r="29" spans="1:20" ht="25.5" customHeight="1" x14ac:dyDescent="0.3">
      <c r="A29" s="353" t="s">
        <v>1277</v>
      </c>
      <c r="B29" s="354">
        <v>85050</v>
      </c>
      <c r="C29" s="354">
        <v>100</v>
      </c>
      <c r="D29" s="349">
        <f t="shared" si="3"/>
        <v>85150</v>
      </c>
      <c r="E29" s="354">
        <v>40</v>
      </c>
      <c r="F29" s="347"/>
      <c r="G29" s="348">
        <f t="shared" si="5"/>
        <v>40</v>
      </c>
      <c r="H29" s="347"/>
      <c r="I29" s="347"/>
      <c r="J29" s="349"/>
      <c r="K29" s="347"/>
      <c r="L29" s="347"/>
      <c r="M29" s="348">
        <f t="shared" si="2"/>
        <v>0</v>
      </c>
      <c r="N29" s="347"/>
      <c r="O29" s="347"/>
      <c r="P29" s="350">
        <f t="shared" si="1"/>
        <v>0</v>
      </c>
      <c r="Q29" s="351"/>
      <c r="R29" s="351"/>
      <c r="S29" s="350"/>
      <c r="T29" s="355">
        <v>35</v>
      </c>
    </row>
    <row r="30" spans="1:20" ht="25.5" customHeight="1" x14ac:dyDescent="0.3">
      <c r="A30" s="353" t="s">
        <v>1307</v>
      </c>
      <c r="B30" s="354">
        <v>65000</v>
      </c>
      <c r="C30" s="354">
        <v>4150</v>
      </c>
      <c r="D30" s="349">
        <f t="shared" si="3"/>
        <v>69150</v>
      </c>
      <c r="E30" s="347"/>
      <c r="F30" s="347">
        <v>60</v>
      </c>
      <c r="G30" s="348">
        <f t="shared" si="5"/>
        <v>60</v>
      </c>
      <c r="H30" s="347"/>
      <c r="I30" s="347"/>
      <c r="J30" s="349"/>
      <c r="K30" s="347"/>
      <c r="L30" s="347"/>
      <c r="M30" s="348">
        <f t="shared" si="2"/>
        <v>0</v>
      </c>
      <c r="N30" s="347"/>
      <c r="O30" s="347"/>
      <c r="P30" s="350">
        <f t="shared" si="1"/>
        <v>0</v>
      </c>
      <c r="Q30" s="351"/>
      <c r="R30" s="351"/>
      <c r="S30" s="350"/>
      <c r="T30" s="352">
        <v>14</v>
      </c>
    </row>
    <row r="31" spans="1:20" ht="25.5" customHeight="1" x14ac:dyDescent="0.3">
      <c r="A31" s="353" t="s">
        <v>1355</v>
      </c>
      <c r="B31" s="354">
        <v>72850</v>
      </c>
      <c r="C31" s="354"/>
      <c r="D31" s="349">
        <f t="shared" si="3"/>
        <v>72850</v>
      </c>
      <c r="E31" s="347"/>
      <c r="F31" s="347"/>
      <c r="G31" s="348">
        <f t="shared" si="5"/>
        <v>0</v>
      </c>
      <c r="H31" s="347"/>
      <c r="I31" s="347"/>
      <c r="J31" s="349"/>
      <c r="K31" s="347"/>
      <c r="L31" s="347"/>
      <c r="M31" s="348">
        <f t="shared" si="2"/>
        <v>0</v>
      </c>
      <c r="N31" s="347"/>
      <c r="O31" s="347"/>
      <c r="P31" s="350">
        <f t="shared" si="1"/>
        <v>0</v>
      </c>
      <c r="Q31" s="351"/>
      <c r="R31" s="351"/>
      <c r="S31" s="350"/>
      <c r="T31" s="352">
        <v>22</v>
      </c>
    </row>
    <row r="32" spans="1:20" ht="25.5" customHeight="1" x14ac:dyDescent="0.3">
      <c r="A32" s="353" t="s">
        <v>1361</v>
      </c>
      <c r="B32" s="354">
        <v>3500</v>
      </c>
      <c r="C32" s="354"/>
      <c r="D32" s="349">
        <f t="shared" si="3"/>
        <v>3500</v>
      </c>
      <c r="E32" s="347"/>
      <c r="F32" s="347"/>
      <c r="G32" s="348">
        <f t="shared" si="5"/>
        <v>0</v>
      </c>
      <c r="H32" s="347"/>
      <c r="I32" s="347"/>
      <c r="J32" s="349"/>
      <c r="K32" s="347"/>
      <c r="L32" s="347"/>
      <c r="M32" s="348">
        <f t="shared" si="2"/>
        <v>0</v>
      </c>
      <c r="N32" s="347"/>
      <c r="O32" s="347"/>
      <c r="P32" s="350">
        <f t="shared" si="1"/>
        <v>0</v>
      </c>
      <c r="Q32" s="351"/>
      <c r="R32" s="351"/>
      <c r="S32" s="350"/>
      <c r="T32" s="352">
        <v>2</v>
      </c>
    </row>
    <row r="33" spans="1:20" ht="25.5" customHeight="1" x14ac:dyDescent="0.3">
      <c r="A33" s="353" t="s">
        <v>1376</v>
      </c>
      <c r="B33" s="354">
        <v>3500</v>
      </c>
      <c r="C33" s="354"/>
      <c r="D33" s="349">
        <f t="shared" si="3"/>
        <v>3500</v>
      </c>
      <c r="E33" s="347"/>
      <c r="F33" s="347"/>
      <c r="G33" s="348">
        <f t="shared" si="5"/>
        <v>0</v>
      </c>
      <c r="H33" s="347"/>
      <c r="I33" s="347"/>
      <c r="J33" s="349"/>
      <c r="K33" s="347"/>
      <c r="L33" s="347"/>
      <c r="M33" s="348">
        <f t="shared" si="2"/>
        <v>0</v>
      </c>
      <c r="N33" s="347"/>
      <c r="O33" s="347"/>
      <c r="P33" s="350">
        <f t="shared" si="1"/>
        <v>0</v>
      </c>
      <c r="Q33" s="351"/>
      <c r="R33" s="351"/>
      <c r="S33" s="350">
        <v>4400</v>
      </c>
      <c r="T33" s="352">
        <v>4</v>
      </c>
    </row>
    <row r="34" spans="1:20" ht="25.5" customHeight="1" x14ac:dyDescent="0.3">
      <c r="A34" s="353" t="s">
        <v>1399</v>
      </c>
      <c r="B34" s="354">
        <v>12800</v>
      </c>
      <c r="C34" s="354">
        <v>1000</v>
      </c>
      <c r="D34" s="349">
        <f t="shared" si="3"/>
        <v>13800</v>
      </c>
      <c r="E34" s="347"/>
      <c r="F34" s="347"/>
      <c r="G34" s="348">
        <f t="shared" si="5"/>
        <v>0</v>
      </c>
      <c r="H34" s="347"/>
      <c r="I34" s="347"/>
      <c r="J34" s="349"/>
      <c r="K34" s="347"/>
      <c r="L34" s="347"/>
      <c r="M34" s="348">
        <f t="shared" si="2"/>
        <v>0</v>
      </c>
      <c r="N34" s="347"/>
      <c r="O34" s="347"/>
      <c r="P34" s="350">
        <f t="shared" si="1"/>
        <v>0</v>
      </c>
      <c r="Q34" s="351"/>
      <c r="R34" s="351"/>
      <c r="S34" s="350"/>
      <c r="T34" s="352">
        <v>11</v>
      </c>
    </row>
    <row r="35" spans="1:20" ht="25.5" customHeight="1" x14ac:dyDescent="0.3">
      <c r="A35" s="361" t="s">
        <v>1480</v>
      </c>
      <c r="B35" s="362">
        <v>77500</v>
      </c>
      <c r="C35" s="362">
        <v>255</v>
      </c>
      <c r="D35" s="363">
        <f t="shared" si="3"/>
        <v>77755</v>
      </c>
      <c r="E35" s="364"/>
      <c r="F35" s="364"/>
      <c r="G35" s="365">
        <f t="shared" si="5"/>
        <v>0</v>
      </c>
      <c r="H35" s="364"/>
      <c r="I35" s="364"/>
      <c r="J35" s="363"/>
      <c r="K35" s="364"/>
      <c r="L35" s="364"/>
      <c r="M35" s="365">
        <f t="shared" si="2"/>
        <v>0</v>
      </c>
      <c r="N35" s="364"/>
      <c r="O35" s="364"/>
      <c r="P35" s="366">
        <f t="shared" si="1"/>
        <v>0</v>
      </c>
      <c r="Q35" s="367"/>
      <c r="R35" s="367"/>
      <c r="S35" s="366"/>
      <c r="T35" s="368">
        <v>36</v>
      </c>
    </row>
    <row r="36" spans="1:20" ht="25.5" customHeight="1" x14ac:dyDescent="0.3">
      <c r="A36" s="361" t="s">
        <v>1549</v>
      </c>
      <c r="B36" s="362">
        <v>61050</v>
      </c>
      <c r="C36" s="362">
        <v>15500</v>
      </c>
      <c r="D36" s="363">
        <f t="shared" si="3"/>
        <v>76550</v>
      </c>
      <c r="E36" s="364"/>
      <c r="F36" s="364"/>
      <c r="G36" s="365">
        <f t="shared" si="5"/>
        <v>0</v>
      </c>
      <c r="H36" s="364"/>
      <c r="I36" s="364"/>
      <c r="J36" s="363"/>
      <c r="K36" s="364"/>
      <c r="L36" s="364"/>
      <c r="M36" s="365">
        <f t="shared" si="2"/>
        <v>0</v>
      </c>
      <c r="N36" s="364"/>
      <c r="O36" s="364"/>
      <c r="P36" s="366">
        <f t="shared" si="1"/>
        <v>0</v>
      </c>
      <c r="Q36" s="367"/>
      <c r="R36" s="367"/>
      <c r="S36" s="366"/>
      <c r="T36" s="368">
        <v>37</v>
      </c>
    </row>
    <row r="37" spans="1:20" ht="25.5" customHeight="1" x14ac:dyDescent="0.3">
      <c r="A37" s="361" t="s">
        <v>1608</v>
      </c>
      <c r="B37" s="362">
        <v>55400</v>
      </c>
      <c r="C37" s="362">
        <v>1200</v>
      </c>
      <c r="D37" s="363">
        <f t="shared" si="3"/>
        <v>56600</v>
      </c>
      <c r="E37" s="364"/>
      <c r="F37" s="364"/>
      <c r="G37" s="365">
        <f t="shared" si="5"/>
        <v>0</v>
      </c>
      <c r="H37" s="364"/>
      <c r="I37" s="364"/>
      <c r="J37" s="363"/>
      <c r="K37" s="362">
        <v>1200</v>
      </c>
      <c r="L37" s="362"/>
      <c r="M37" s="365">
        <f t="shared" si="2"/>
        <v>1200</v>
      </c>
      <c r="N37" s="362">
        <v>2000</v>
      </c>
      <c r="O37" s="364"/>
      <c r="P37" s="366">
        <f t="shared" si="1"/>
        <v>2000</v>
      </c>
      <c r="Q37" s="367"/>
      <c r="R37" s="367"/>
      <c r="S37" s="366"/>
      <c r="T37" s="368">
        <v>33</v>
      </c>
    </row>
    <row r="38" spans="1:20" ht="25.5" customHeight="1" x14ac:dyDescent="0.3">
      <c r="A38" s="361" t="s">
        <v>1631</v>
      </c>
      <c r="B38" s="362">
        <v>23200</v>
      </c>
      <c r="C38" s="362"/>
      <c r="D38" s="363">
        <f t="shared" si="3"/>
        <v>23200</v>
      </c>
      <c r="E38" s="364"/>
      <c r="F38" s="364"/>
      <c r="G38" s="365">
        <f t="shared" si="5"/>
        <v>0</v>
      </c>
      <c r="H38" s="364"/>
      <c r="I38" s="364"/>
      <c r="J38" s="363"/>
      <c r="K38" s="364">
        <v>250</v>
      </c>
      <c r="L38" s="364"/>
      <c r="M38" s="365">
        <f t="shared" si="2"/>
        <v>250</v>
      </c>
      <c r="N38" s="364">
        <v>3200</v>
      </c>
      <c r="O38" s="364"/>
      <c r="P38" s="366">
        <f t="shared" si="1"/>
        <v>3200</v>
      </c>
      <c r="Q38" s="367"/>
      <c r="R38" s="367"/>
      <c r="S38" s="366"/>
      <c r="T38" s="368">
        <v>11</v>
      </c>
    </row>
    <row r="39" spans="1:20" ht="25.5" customHeight="1" x14ac:dyDescent="0.3">
      <c r="A39" s="361" t="s">
        <v>1678</v>
      </c>
      <c r="B39" s="362">
        <v>89800</v>
      </c>
      <c r="C39" s="362">
        <v>2000</v>
      </c>
      <c r="D39" s="363">
        <f>B39+C39</f>
        <v>91800</v>
      </c>
      <c r="E39" s="364"/>
      <c r="F39" s="364"/>
      <c r="G39" s="365">
        <f t="shared" si="5"/>
        <v>0</v>
      </c>
      <c r="H39" s="364"/>
      <c r="I39" s="364"/>
      <c r="J39" s="363"/>
      <c r="K39" s="364">
        <v>6200</v>
      </c>
      <c r="L39" s="364"/>
      <c r="M39" s="365">
        <f t="shared" si="2"/>
        <v>6200</v>
      </c>
      <c r="N39" s="364">
        <v>800</v>
      </c>
      <c r="O39" s="364"/>
      <c r="P39" s="366">
        <f t="shared" si="1"/>
        <v>800</v>
      </c>
      <c r="Q39" s="367"/>
      <c r="R39" s="367"/>
      <c r="S39" s="366"/>
      <c r="T39" s="368">
        <v>31</v>
      </c>
    </row>
    <row r="40" spans="1:20" ht="25.5" customHeight="1" x14ac:dyDescent="0.3">
      <c r="A40" s="382" t="s">
        <v>1811</v>
      </c>
      <c r="B40" s="383">
        <v>163600</v>
      </c>
      <c r="C40" s="383">
        <v>20500</v>
      </c>
      <c r="D40" s="384">
        <f t="shared" si="3"/>
        <v>184100</v>
      </c>
      <c r="E40" s="385"/>
      <c r="F40" s="385"/>
      <c r="G40" s="386">
        <f t="shared" si="5"/>
        <v>0</v>
      </c>
      <c r="H40" s="385"/>
      <c r="I40" s="385"/>
      <c r="J40" s="384"/>
      <c r="K40" s="383">
        <v>26640</v>
      </c>
      <c r="L40" s="383">
        <v>800</v>
      </c>
      <c r="M40" s="386">
        <f t="shared" si="2"/>
        <v>27440</v>
      </c>
      <c r="N40" s="385">
        <v>3140</v>
      </c>
      <c r="O40" s="385"/>
      <c r="P40" s="335">
        <f t="shared" si="1"/>
        <v>3140</v>
      </c>
      <c r="Q40" s="387"/>
      <c r="R40" s="388">
        <v>560</v>
      </c>
      <c r="S40" s="335">
        <f>Q40+R40</f>
        <v>560</v>
      </c>
      <c r="T40" s="389">
        <v>75</v>
      </c>
    </row>
    <row r="41" spans="1:20" ht="25.5" customHeight="1" x14ac:dyDescent="0.3">
      <c r="A41" s="382" t="s">
        <v>1849</v>
      </c>
      <c r="B41" s="383">
        <v>54900</v>
      </c>
      <c r="C41" s="383"/>
      <c r="D41" s="384">
        <f t="shared" si="3"/>
        <v>54900</v>
      </c>
      <c r="E41" s="385"/>
      <c r="F41" s="385"/>
      <c r="G41" s="386">
        <f t="shared" si="5"/>
        <v>0</v>
      </c>
      <c r="H41" s="385"/>
      <c r="I41" s="385"/>
      <c r="J41" s="384"/>
      <c r="K41" s="385">
        <v>1050</v>
      </c>
      <c r="L41" s="385">
        <v>500</v>
      </c>
      <c r="M41" s="386">
        <f t="shared" si="2"/>
        <v>1550</v>
      </c>
      <c r="N41" s="385">
        <v>200</v>
      </c>
      <c r="O41" s="385">
        <v>500</v>
      </c>
      <c r="P41" s="335">
        <f>N41+O41</f>
        <v>700</v>
      </c>
      <c r="Q41" s="387"/>
      <c r="R41" s="388"/>
      <c r="S41" s="335">
        <f t="shared" ref="S41:S70" si="6">Q41+R41</f>
        <v>0</v>
      </c>
      <c r="T41" s="389">
        <v>21</v>
      </c>
    </row>
    <row r="42" spans="1:20" ht="25.5" customHeight="1" x14ac:dyDescent="0.3">
      <c r="A42" s="382" t="s">
        <v>1850</v>
      </c>
      <c r="B42" s="383"/>
      <c r="C42" s="383"/>
      <c r="D42" s="384">
        <f t="shared" si="3"/>
        <v>0</v>
      </c>
      <c r="E42" s="385"/>
      <c r="F42" s="385"/>
      <c r="G42" s="386">
        <f t="shared" si="5"/>
        <v>0</v>
      </c>
      <c r="H42" s="385"/>
      <c r="I42" s="385"/>
      <c r="J42" s="384"/>
      <c r="K42" s="385"/>
      <c r="L42" s="385"/>
      <c r="M42" s="386">
        <f t="shared" si="2"/>
        <v>0</v>
      </c>
      <c r="N42" s="385"/>
      <c r="O42" s="385">
        <v>500</v>
      </c>
      <c r="P42" s="335">
        <f>N42+O42</f>
        <v>500</v>
      </c>
      <c r="Q42" s="387"/>
      <c r="R42" s="388">
        <v>1000</v>
      </c>
      <c r="S42" s="335">
        <f t="shared" si="6"/>
        <v>1000</v>
      </c>
      <c r="T42" s="389">
        <v>2</v>
      </c>
    </row>
    <row r="43" spans="1:20" ht="25.5" customHeight="1" x14ac:dyDescent="0.3">
      <c r="A43" s="382" t="s">
        <v>1881</v>
      </c>
      <c r="B43" s="383">
        <v>33250</v>
      </c>
      <c r="C43" s="383"/>
      <c r="D43" s="384">
        <f t="shared" si="3"/>
        <v>33250</v>
      </c>
      <c r="E43" s="385"/>
      <c r="F43" s="385"/>
      <c r="G43" s="386">
        <f t="shared" si="5"/>
        <v>0</v>
      </c>
      <c r="H43" s="385"/>
      <c r="I43" s="385"/>
      <c r="J43" s="384"/>
      <c r="K43" s="385">
        <v>120</v>
      </c>
      <c r="L43" s="385"/>
      <c r="M43" s="386">
        <f t="shared" si="2"/>
        <v>120</v>
      </c>
      <c r="N43" s="385">
        <v>1050</v>
      </c>
      <c r="O43" s="385"/>
      <c r="P43" s="335">
        <f>N43+O43</f>
        <v>1050</v>
      </c>
      <c r="Q43" s="387"/>
      <c r="R43" s="387"/>
      <c r="S43" s="335">
        <f t="shared" si="6"/>
        <v>0</v>
      </c>
      <c r="T43" s="389">
        <v>18</v>
      </c>
    </row>
    <row r="44" spans="1:20" ht="25.5" customHeight="1" x14ac:dyDescent="0.3">
      <c r="A44" s="382" t="s">
        <v>1901</v>
      </c>
      <c r="B44" s="383">
        <v>13250</v>
      </c>
      <c r="C44" s="383">
        <v>1500</v>
      </c>
      <c r="D44" s="384">
        <f t="shared" si="3"/>
        <v>14750</v>
      </c>
      <c r="E44" s="385">
        <v>189</v>
      </c>
      <c r="F44" s="385"/>
      <c r="G44" s="386">
        <f t="shared" si="5"/>
        <v>189</v>
      </c>
      <c r="H44" s="385"/>
      <c r="I44" s="385"/>
      <c r="J44" s="384"/>
      <c r="K44" s="385"/>
      <c r="L44" s="385"/>
      <c r="M44" s="386">
        <f t="shared" si="2"/>
        <v>0</v>
      </c>
      <c r="N44" s="385">
        <v>136</v>
      </c>
      <c r="O44" s="385">
        <v>10000</v>
      </c>
      <c r="P44" s="335">
        <f t="shared" ref="P44:P69" si="7">N44+O44</f>
        <v>10136</v>
      </c>
      <c r="Q44" s="387"/>
      <c r="R44" s="387"/>
      <c r="S44" s="335">
        <f t="shared" si="6"/>
        <v>0</v>
      </c>
      <c r="T44" s="389">
        <v>17</v>
      </c>
    </row>
    <row r="45" spans="1:20" ht="25.5" customHeight="1" x14ac:dyDescent="0.3">
      <c r="A45" s="382" t="s">
        <v>1946</v>
      </c>
      <c r="B45" s="385">
        <v>30070</v>
      </c>
      <c r="C45" s="385">
        <v>650</v>
      </c>
      <c r="D45" s="384">
        <f t="shared" si="3"/>
        <v>30720</v>
      </c>
      <c r="E45" s="385">
        <v>3</v>
      </c>
      <c r="F45" s="385"/>
      <c r="G45" s="386">
        <f t="shared" si="5"/>
        <v>3</v>
      </c>
      <c r="H45" s="385"/>
      <c r="I45" s="385"/>
      <c r="J45" s="384"/>
      <c r="K45" s="385">
        <v>8100</v>
      </c>
      <c r="L45" s="385">
        <v>1000</v>
      </c>
      <c r="M45" s="386">
        <f t="shared" si="2"/>
        <v>9100</v>
      </c>
      <c r="N45" s="385">
        <v>1800</v>
      </c>
      <c r="O45" s="385"/>
      <c r="P45" s="335">
        <f t="shared" si="7"/>
        <v>1800</v>
      </c>
      <c r="Q45" s="387"/>
      <c r="R45" s="387"/>
      <c r="S45" s="335">
        <f t="shared" si="6"/>
        <v>0</v>
      </c>
      <c r="T45" s="389">
        <v>34</v>
      </c>
    </row>
    <row r="46" spans="1:20" ht="25.5" customHeight="1" x14ac:dyDescent="0.3">
      <c r="A46" s="403" t="s">
        <v>1970</v>
      </c>
      <c r="B46" s="404">
        <v>27800</v>
      </c>
      <c r="C46" s="404"/>
      <c r="D46" s="405">
        <f t="shared" si="3"/>
        <v>27800</v>
      </c>
      <c r="E46" s="404"/>
      <c r="F46" s="404"/>
      <c r="G46" s="406">
        <f t="shared" si="5"/>
        <v>0</v>
      </c>
      <c r="H46" s="404"/>
      <c r="I46" s="404"/>
      <c r="J46" s="405"/>
      <c r="K46" s="407">
        <v>9900</v>
      </c>
      <c r="L46" s="404">
        <v>3000</v>
      </c>
      <c r="M46" s="406">
        <f t="shared" si="2"/>
        <v>12900</v>
      </c>
      <c r="N46" s="404">
        <v>30</v>
      </c>
      <c r="O46" s="404"/>
      <c r="P46" s="408">
        <f t="shared" si="7"/>
        <v>30</v>
      </c>
      <c r="Q46" s="409"/>
      <c r="R46" s="409"/>
      <c r="S46" s="408">
        <f t="shared" si="6"/>
        <v>0</v>
      </c>
      <c r="T46" s="410">
        <v>15</v>
      </c>
    </row>
    <row r="47" spans="1:20" ht="25.5" customHeight="1" x14ac:dyDescent="0.3">
      <c r="A47" s="403" t="s">
        <v>2029</v>
      </c>
      <c r="B47" s="407">
        <v>58450</v>
      </c>
      <c r="C47" s="407">
        <v>39750</v>
      </c>
      <c r="D47" s="405">
        <f t="shared" si="3"/>
        <v>98200</v>
      </c>
      <c r="E47" s="404"/>
      <c r="F47" s="404"/>
      <c r="G47" s="406">
        <f t="shared" si="5"/>
        <v>0</v>
      </c>
      <c r="H47" s="404"/>
      <c r="I47" s="404"/>
      <c r="J47" s="405"/>
      <c r="K47" s="407">
        <v>13200</v>
      </c>
      <c r="L47" s="404"/>
      <c r="M47" s="406">
        <f t="shared" si="2"/>
        <v>13200</v>
      </c>
      <c r="N47" s="404"/>
      <c r="O47" s="404"/>
      <c r="P47" s="408">
        <f t="shared" si="7"/>
        <v>0</v>
      </c>
      <c r="Q47" s="409"/>
      <c r="R47" s="409"/>
      <c r="S47" s="408">
        <f t="shared" si="6"/>
        <v>0</v>
      </c>
      <c r="T47" s="410">
        <v>36</v>
      </c>
    </row>
    <row r="48" spans="1:20" ht="25.5" customHeight="1" x14ac:dyDescent="0.3">
      <c r="A48" s="403" t="s">
        <v>2039</v>
      </c>
      <c r="B48" s="407">
        <v>15600</v>
      </c>
      <c r="C48" s="404"/>
      <c r="D48" s="405">
        <f t="shared" si="3"/>
        <v>15600</v>
      </c>
      <c r="E48" s="404"/>
      <c r="F48" s="404"/>
      <c r="G48" s="406">
        <f t="shared" si="5"/>
        <v>0</v>
      </c>
      <c r="H48" s="404"/>
      <c r="I48" s="404"/>
      <c r="J48" s="405"/>
      <c r="K48" s="407">
        <v>4200</v>
      </c>
      <c r="L48" s="404"/>
      <c r="M48" s="406">
        <f t="shared" si="2"/>
        <v>4200</v>
      </c>
      <c r="N48" s="404"/>
      <c r="O48" s="404"/>
      <c r="P48" s="408">
        <f t="shared" si="7"/>
        <v>0</v>
      </c>
      <c r="Q48" s="409"/>
      <c r="R48" s="411">
        <v>800</v>
      </c>
      <c r="S48" s="408">
        <f t="shared" si="6"/>
        <v>800</v>
      </c>
      <c r="T48" s="410">
        <v>9</v>
      </c>
    </row>
    <row r="49" spans="1:20" ht="25.5" customHeight="1" x14ac:dyDescent="0.3">
      <c r="A49" s="403" t="s">
        <v>2100</v>
      </c>
      <c r="B49" s="407">
        <v>49800</v>
      </c>
      <c r="C49" s="407">
        <v>1000</v>
      </c>
      <c r="D49" s="405">
        <f t="shared" si="3"/>
        <v>50800</v>
      </c>
      <c r="E49" s="404"/>
      <c r="F49" s="404"/>
      <c r="G49" s="406">
        <f t="shared" si="5"/>
        <v>0</v>
      </c>
      <c r="H49" s="404"/>
      <c r="I49" s="404"/>
      <c r="J49" s="405"/>
      <c r="K49" s="407">
        <v>1720</v>
      </c>
      <c r="L49" s="407">
        <v>500</v>
      </c>
      <c r="M49" s="406">
        <f t="shared" si="2"/>
        <v>2220</v>
      </c>
      <c r="N49" s="404"/>
      <c r="O49" s="404"/>
      <c r="P49" s="408">
        <f t="shared" si="7"/>
        <v>0</v>
      </c>
      <c r="Q49" s="409"/>
      <c r="R49" s="409"/>
      <c r="S49" s="408">
        <f t="shared" si="6"/>
        <v>0</v>
      </c>
      <c r="T49" s="410">
        <v>27</v>
      </c>
    </row>
    <row r="50" spans="1:20" ht="25.5" customHeight="1" x14ac:dyDescent="0.3">
      <c r="A50" s="403" t="s">
        <v>2128</v>
      </c>
      <c r="B50" s="407">
        <v>20900</v>
      </c>
      <c r="C50" s="407">
        <v>5200</v>
      </c>
      <c r="D50" s="405">
        <f t="shared" si="3"/>
        <v>26100</v>
      </c>
      <c r="E50" s="404"/>
      <c r="F50" s="404">
        <v>30</v>
      </c>
      <c r="G50" s="406">
        <f t="shared" si="5"/>
        <v>30</v>
      </c>
      <c r="H50" s="404"/>
      <c r="I50" s="404"/>
      <c r="J50" s="405"/>
      <c r="K50" s="407"/>
      <c r="L50" s="404"/>
      <c r="M50" s="406">
        <f t="shared" si="2"/>
        <v>0</v>
      </c>
      <c r="N50" s="404"/>
      <c r="O50" s="404"/>
      <c r="P50" s="408">
        <f t="shared" si="7"/>
        <v>0</v>
      </c>
      <c r="Q50" s="409"/>
      <c r="R50" s="411">
        <v>750</v>
      </c>
      <c r="S50" s="408">
        <f t="shared" si="6"/>
        <v>750</v>
      </c>
      <c r="T50" s="410">
        <v>15</v>
      </c>
    </row>
    <row r="51" spans="1:20" ht="25.5" customHeight="1" x14ac:dyDescent="0.3">
      <c r="A51" s="403" t="s">
        <v>2162</v>
      </c>
      <c r="B51" s="407">
        <v>23450</v>
      </c>
      <c r="C51" s="407">
        <v>5500</v>
      </c>
      <c r="D51" s="405">
        <f t="shared" si="3"/>
        <v>28950</v>
      </c>
      <c r="E51" s="404">
        <v>370</v>
      </c>
      <c r="F51" s="404"/>
      <c r="G51" s="406">
        <f t="shared" si="5"/>
        <v>370</v>
      </c>
      <c r="H51" s="404"/>
      <c r="I51" s="404"/>
      <c r="J51" s="405"/>
      <c r="K51" s="407">
        <v>2600</v>
      </c>
      <c r="L51" s="407">
        <v>1900</v>
      </c>
      <c r="M51" s="406">
        <f t="shared" si="2"/>
        <v>4500</v>
      </c>
      <c r="N51" s="404"/>
      <c r="O51" s="404"/>
      <c r="P51" s="408">
        <f t="shared" si="7"/>
        <v>0</v>
      </c>
      <c r="Q51" s="409"/>
      <c r="R51" s="409"/>
      <c r="S51" s="408">
        <f t="shared" si="6"/>
        <v>0</v>
      </c>
      <c r="T51" s="410">
        <v>19</v>
      </c>
    </row>
    <row r="52" spans="1:20" ht="25.5" customHeight="1" x14ac:dyDescent="0.3">
      <c r="A52" s="403" t="s">
        <v>2168</v>
      </c>
      <c r="B52" s="407">
        <v>4500</v>
      </c>
      <c r="C52" s="404"/>
      <c r="D52" s="405">
        <f t="shared" si="3"/>
        <v>4500</v>
      </c>
      <c r="E52" s="404"/>
      <c r="F52" s="404"/>
      <c r="G52" s="406">
        <f t="shared" si="5"/>
        <v>0</v>
      </c>
      <c r="H52" s="404"/>
      <c r="I52" s="404"/>
      <c r="J52" s="405"/>
      <c r="K52" s="407">
        <v>5950</v>
      </c>
      <c r="L52" s="404"/>
      <c r="M52" s="406">
        <f t="shared" si="2"/>
        <v>5950</v>
      </c>
      <c r="N52" s="404">
        <v>200</v>
      </c>
      <c r="O52" s="407"/>
      <c r="P52" s="408">
        <f t="shared" si="7"/>
        <v>200</v>
      </c>
      <c r="Q52" s="409"/>
      <c r="R52" s="409"/>
      <c r="S52" s="408">
        <f t="shared" si="6"/>
        <v>0</v>
      </c>
      <c r="T52" s="410">
        <v>7</v>
      </c>
    </row>
    <row r="53" spans="1:20" ht="25.5" customHeight="1" x14ac:dyDescent="0.3">
      <c r="A53" s="403" t="s">
        <v>2217</v>
      </c>
      <c r="B53" s="407">
        <v>34100</v>
      </c>
      <c r="C53" s="407">
        <v>11500</v>
      </c>
      <c r="D53" s="405">
        <f t="shared" si="3"/>
        <v>45600</v>
      </c>
      <c r="E53" s="407">
        <v>175</v>
      </c>
      <c r="F53" s="404"/>
      <c r="G53" s="406">
        <f t="shared" si="5"/>
        <v>175</v>
      </c>
      <c r="H53" s="404"/>
      <c r="I53" s="404"/>
      <c r="J53" s="405"/>
      <c r="K53" s="407">
        <v>750</v>
      </c>
      <c r="L53" s="407">
        <v>500</v>
      </c>
      <c r="M53" s="406">
        <f t="shared" si="2"/>
        <v>1250</v>
      </c>
      <c r="N53" s="404"/>
      <c r="O53" s="407">
        <v>16300</v>
      </c>
      <c r="P53" s="408">
        <f t="shared" si="7"/>
        <v>16300</v>
      </c>
      <c r="Q53" s="409"/>
      <c r="R53" s="411">
        <v>950</v>
      </c>
      <c r="S53" s="408">
        <f t="shared" si="6"/>
        <v>950</v>
      </c>
      <c r="T53" s="410">
        <v>27</v>
      </c>
    </row>
    <row r="54" spans="1:20" ht="25.5" customHeight="1" x14ac:dyDescent="0.3">
      <c r="A54" s="427" t="s">
        <v>2267</v>
      </c>
      <c r="B54" s="428">
        <v>38600</v>
      </c>
      <c r="C54" s="428">
        <v>16720</v>
      </c>
      <c r="D54" s="429">
        <f t="shared" si="3"/>
        <v>55320</v>
      </c>
      <c r="E54" s="428">
        <v>94</v>
      </c>
      <c r="F54" s="430"/>
      <c r="G54" s="431">
        <f t="shared" si="5"/>
        <v>94</v>
      </c>
      <c r="H54" s="430"/>
      <c r="I54" s="430"/>
      <c r="J54" s="429"/>
      <c r="K54" s="428">
        <v>8360</v>
      </c>
      <c r="L54" s="428">
        <v>2500</v>
      </c>
      <c r="M54" s="431">
        <f t="shared" si="2"/>
        <v>10860</v>
      </c>
      <c r="N54" s="428">
        <v>700</v>
      </c>
      <c r="O54" s="430"/>
      <c r="P54" s="432">
        <f t="shared" si="7"/>
        <v>700</v>
      </c>
      <c r="Q54" s="433"/>
      <c r="R54" s="434">
        <v>220</v>
      </c>
      <c r="S54" s="432">
        <f t="shared" si="6"/>
        <v>220</v>
      </c>
      <c r="T54" s="435">
        <v>30</v>
      </c>
    </row>
    <row r="55" spans="1:20" ht="25.5" customHeight="1" x14ac:dyDescent="0.3">
      <c r="A55" s="436" t="s">
        <v>2314</v>
      </c>
      <c r="B55" s="428">
        <v>40700</v>
      </c>
      <c r="C55" s="428">
        <v>24180</v>
      </c>
      <c r="D55" s="431">
        <f>B55+C55</f>
        <v>64880</v>
      </c>
      <c r="E55" s="428"/>
      <c r="F55" s="428">
        <v>5</v>
      </c>
      <c r="G55" s="431">
        <f t="shared" si="5"/>
        <v>5</v>
      </c>
      <c r="H55" s="428"/>
      <c r="I55" s="428"/>
      <c r="J55" s="431"/>
      <c r="K55" s="428">
        <v>11500</v>
      </c>
      <c r="L55" s="428">
        <v>250</v>
      </c>
      <c r="M55" s="431">
        <f t="shared" si="2"/>
        <v>11750</v>
      </c>
      <c r="N55" s="428">
        <v>1000</v>
      </c>
      <c r="O55" s="428"/>
      <c r="P55" s="432">
        <f t="shared" si="7"/>
        <v>1000</v>
      </c>
      <c r="Q55" s="433"/>
      <c r="R55" s="437">
        <v>210</v>
      </c>
      <c r="S55" s="432">
        <f t="shared" si="6"/>
        <v>210</v>
      </c>
      <c r="T55" s="435">
        <v>31</v>
      </c>
    </row>
    <row r="56" spans="1:20" ht="25.5" customHeight="1" x14ac:dyDescent="0.3">
      <c r="A56" s="427" t="s">
        <v>2395</v>
      </c>
      <c r="B56" s="428">
        <v>120920</v>
      </c>
      <c r="C56" s="428">
        <v>2100</v>
      </c>
      <c r="D56" s="431">
        <f>B56+C56</f>
        <v>123020</v>
      </c>
      <c r="E56" s="428">
        <v>185</v>
      </c>
      <c r="F56" s="428"/>
      <c r="G56" s="431">
        <f t="shared" si="5"/>
        <v>185</v>
      </c>
      <c r="H56" s="428"/>
      <c r="I56" s="428"/>
      <c r="J56" s="431"/>
      <c r="K56" s="428">
        <v>11250</v>
      </c>
      <c r="L56" s="428"/>
      <c r="M56" s="431">
        <f t="shared" si="2"/>
        <v>11250</v>
      </c>
      <c r="N56" s="428">
        <v>5300</v>
      </c>
      <c r="O56" s="428"/>
      <c r="P56" s="432">
        <f t="shared" si="7"/>
        <v>5300</v>
      </c>
      <c r="Q56" s="433"/>
      <c r="R56" s="437"/>
      <c r="S56" s="432">
        <f t="shared" si="6"/>
        <v>0</v>
      </c>
      <c r="T56" s="435">
        <v>54</v>
      </c>
    </row>
    <row r="57" spans="1:20" ht="25.5" customHeight="1" x14ac:dyDescent="0.3">
      <c r="A57" s="427" t="s">
        <v>2411</v>
      </c>
      <c r="B57" s="428">
        <v>13400</v>
      </c>
      <c r="C57" s="428">
        <v>6000</v>
      </c>
      <c r="D57" s="429">
        <f t="shared" si="3"/>
        <v>19400</v>
      </c>
      <c r="E57" s="430"/>
      <c r="F57" s="430"/>
      <c r="G57" s="431">
        <f t="shared" si="5"/>
        <v>0</v>
      </c>
      <c r="H57" s="430"/>
      <c r="I57" s="430"/>
      <c r="J57" s="429"/>
      <c r="K57" s="428">
        <v>500</v>
      </c>
      <c r="L57" s="430"/>
      <c r="M57" s="431">
        <f t="shared" si="2"/>
        <v>500</v>
      </c>
      <c r="N57" s="430"/>
      <c r="O57" s="430"/>
      <c r="P57" s="432">
        <f t="shared" si="7"/>
        <v>0</v>
      </c>
      <c r="Q57" s="433"/>
      <c r="R57" s="437"/>
      <c r="S57" s="432">
        <f t="shared" si="6"/>
        <v>0</v>
      </c>
      <c r="T57" s="435">
        <v>8</v>
      </c>
    </row>
    <row r="58" spans="1:20" ht="25.5" customHeight="1" x14ac:dyDescent="0.3">
      <c r="A58" s="427" t="s">
        <v>2446</v>
      </c>
      <c r="B58" s="428">
        <v>59450</v>
      </c>
      <c r="C58" s="428">
        <v>9020</v>
      </c>
      <c r="D58" s="429">
        <f t="shared" si="3"/>
        <v>68470</v>
      </c>
      <c r="E58" s="430"/>
      <c r="F58" s="430"/>
      <c r="G58" s="431">
        <f t="shared" si="5"/>
        <v>0</v>
      </c>
      <c r="H58" s="430"/>
      <c r="I58" s="430"/>
      <c r="J58" s="429"/>
      <c r="K58" s="430"/>
      <c r="L58" s="430"/>
      <c r="M58" s="431">
        <f t="shared" si="2"/>
        <v>0</v>
      </c>
      <c r="N58" s="428">
        <v>1700</v>
      </c>
      <c r="O58" s="430"/>
      <c r="P58" s="432">
        <f t="shared" si="7"/>
        <v>1700</v>
      </c>
      <c r="Q58" s="433"/>
      <c r="R58" s="437"/>
      <c r="S58" s="432">
        <f t="shared" si="6"/>
        <v>0</v>
      </c>
      <c r="T58" s="435">
        <v>29</v>
      </c>
    </row>
    <row r="59" spans="1:20" ht="25.5" customHeight="1" x14ac:dyDescent="0.3">
      <c r="A59" s="427" t="s">
        <v>2459</v>
      </c>
      <c r="B59" s="430"/>
      <c r="C59" s="428">
        <v>21350</v>
      </c>
      <c r="D59" s="429">
        <f t="shared" si="3"/>
        <v>21350</v>
      </c>
      <c r="E59" s="430"/>
      <c r="F59" s="430"/>
      <c r="G59" s="431">
        <f t="shared" si="5"/>
        <v>0</v>
      </c>
      <c r="H59" s="430"/>
      <c r="I59" s="430"/>
      <c r="J59" s="429"/>
      <c r="K59" s="430"/>
      <c r="L59" s="430"/>
      <c r="M59" s="431">
        <f t="shared" si="2"/>
        <v>0</v>
      </c>
      <c r="N59" s="430"/>
      <c r="O59" s="430"/>
      <c r="P59" s="432">
        <f t="shared" si="7"/>
        <v>0</v>
      </c>
      <c r="Q59" s="433"/>
      <c r="R59" s="437"/>
      <c r="S59" s="432">
        <f t="shared" si="6"/>
        <v>0</v>
      </c>
      <c r="T59" s="435">
        <v>1</v>
      </c>
    </row>
    <row r="60" spans="1:20" ht="25.5" customHeight="1" x14ac:dyDescent="0.3">
      <c r="A60" s="450" t="s">
        <v>2500</v>
      </c>
      <c r="B60" s="327">
        <v>34200</v>
      </c>
      <c r="C60" s="327">
        <v>1000</v>
      </c>
      <c r="D60" s="330">
        <f t="shared" si="3"/>
        <v>35200</v>
      </c>
      <c r="E60" s="327">
        <v>20</v>
      </c>
      <c r="F60" s="329"/>
      <c r="G60" s="328">
        <f t="shared" si="5"/>
        <v>20</v>
      </c>
      <c r="H60" s="329"/>
      <c r="I60" s="329"/>
      <c r="J60" s="330"/>
      <c r="K60" s="327">
        <v>14550</v>
      </c>
      <c r="L60" s="329"/>
      <c r="M60" s="328">
        <f t="shared" si="2"/>
        <v>14550</v>
      </c>
      <c r="N60" s="329"/>
      <c r="O60" s="329"/>
      <c r="P60" s="331">
        <f t="shared" si="7"/>
        <v>0</v>
      </c>
      <c r="Q60" s="332"/>
      <c r="R60" s="451"/>
      <c r="S60" s="331">
        <f t="shared" si="6"/>
        <v>0</v>
      </c>
      <c r="T60" s="333">
        <v>30</v>
      </c>
    </row>
    <row r="61" spans="1:20" ht="25.5" customHeight="1" x14ac:dyDescent="0.3">
      <c r="A61" s="450" t="s">
        <v>2542</v>
      </c>
      <c r="B61" s="327">
        <v>87600</v>
      </c>
      <c r="C61" s="327">
        <v>500</v>
      </c>
      <c r="D61" s="330">
        <f t="shared" si="3"/>
        <v>88100</v>
      </c>
      <c r="E61" s="329"/>
      <c r="F61" s="329"/>
      <c r="G61" s="328">
        <f t="shared" si="5"/>
        <v>0</v>
      </c>
      <c r="H61" s="329"/>
      <c r="I61" s="329"/>
      <c r="J61" s="330"/>
      <c r="K61" s="327">
        <v>5450</v>
      </c>
      <c r="L61" s="329"/>
      <c r="M61" s="328">
        <f t="shared" si="2"/>
        <v>5450</v>
      </c>
      <c r="N61" s="329"/>
      <c r="O61" s="329"/>
      <c r="P61" s="331">
        <f t="shared" si="7"/>
        <v>0</v>
      </c>
      <c r="Q61" s="332"/>
      <c r="R61" s="451"/>
      <c r="S61" s="331">
        <f t="shared" si="6"/>
        <v>0</v>
      </c>
      <c r="T61" s="333">
        <v>31</v>
      </c>
    </row>
    <row r="62" spans="1:20" ht="25.5" customHeight="1" x14ac:dyDescent="0.3">
      <c r="A62" s="450" t="s">
        <v>2615</v>
      </c>
      <c r="B62" s="327">
        <v>93100</v>
      </c>
      <c r="C62" s="327">
        <v>16500</v>
      </c>
      <c r="D62" s="330">
        <f t="shared" si="3"/>
        <v>109600</v>
      </c>
      <c r="E62" s="329"/>
      <c r="F62" s="329"/>
      <c r="G62" s="328">
        <f t="shared" si="5"/>
        <v>0</v>
      </c>
      <c r="H62" s="329"/>
      <c r="I62" s="329"/>
      <c r="J62" s="330"/>
      <c r="K62" s="327">
        <v>6000</v>
      </c>
      <c r="L62" s="329"/>
      <c r="M62" s="328">
        <f t="shared" si="2"/>
        <v>6000</v>
      </c>
      <c r="N62" s="329"/>
      <c r="O62" s="329"/>
      <c r="P62" s="331">
        <f t="shared" si="7"/>
        <v>0</v>
      </c>
      <c r="Q62" s="332"/>
      <c r="R62" s="451"/>
      <c r="S62" s="331">
        <f t="shared" si="6"/>
        <v>0</v>
      </c>
      <c r="T62" s="333">
        <v>49</v>
      </c>
    </row>
    <row r="63" spans="1:20" ht="25.5" customHeight="1" x14ac:dyDescent="0.3">
      <c r="A63" s="450" t="s">
        <v>2658</v>
      </c>
      <c r="B63" s="327">
        <v>57000</v>
      </c>
      <c r="C63" s="327">
        <v>65000</v>
      </c>
      <c r="D63" s="330">
        <f t="shared" si="3"/>
        <v>122000</v>
      </c>
      <c r="E63" s="329"/>
      <c r="F63" s="329"/>
      <c r="G63" s="328">
        <f t="shared" si="5"/>
        <v>0</v>
      </c>
      <c r="H63" s="329"/>
      <c r="I63" s="329"/>
      <c r="J63" s="330"/>
      <c r="K63" s="329"/>
      <c r="L63" s="329"/>
      <c r="M63" s="328">
        <f t="shared" si="2"/>
        <v>0</v>
      </c>
      <c r="N63" s="329"/>
      <c r="O63" s="329"/>
      <c r="P63" s="331">
        <f t="shared" si="7"/>
        <v>0</v>
      </c>
      <c r="Q63" s="332"/>
      <c r="R63" s="451"/>
      <c r="S63" s="331">
        <f t="shared" si="6"/>
        <v>0</v>
      </c>
      <c r="T63" s="333">
        <v>15</v>
      </c>
    </row>
    <row r="64" spans="1:20" ht="25.5" customHeight="1" x14ac:dyDescent="0.3">
      <c r="A64" s="450" t="s">
        <v>2675</v>
      </c>
      <c r="B64" s="327">
        <v>47850</v>
      </c>
      <c r="C64" s="327">
        <v>26900</v>
      </c>
      <c r="D64" s="328">
        <f t="shared" si="3"/>
        <v>74750</v>
      </c>
      <c r="E64" s="327">
        <v>200</v>
      </c>
      <c r="F64" s="329"/>
      <c r="G64" s="328">
        <f t="shared" si="5"/>
        <v>200</v>
      </c>
      <c r="H64" s="329"/>
      <c r="I64" s="329"/>
      <c r="J64" s="330"/>
      <c r="K64" s="329"/>
      <c r="L64" s="329"/>
      <c r="M64" s="328">
        <f t="shared" si="2"/>
        <v>0</v>
      </c>
      <c r="N64" s="329"/>
      <c r="O64" s="329"/>
      <c r="P64" s="331">
        <f t="shared" si="7"/>
        <v>0</v>
      </c>
      <c r="Q64" s="332"/>
      <c r="R64" s="451"/>
      <c r="S64" s="331">
        <f t="shared" si="6"/>
        <v>0</v>
      </c>
      <c r="T64" s="333">
        <v>24</v>
      </c>
    </row>
    <row r="65" spans="1:20" ht="25.5" customHeight="1" x14ac:dyDescent="0.3">
      <c r="A65" s="450" t="s">
        <v>2712</v>
      </c>
      <c r="B65" s="327">
        <v>24650</v>
      </c>
      <c r="C65" s="327">
        <v>13500</v>
      </c>
      <c r="D65" s="330">
        <f t="shared" si="3"/>
        <v>38150</v>
      </c>
      <c r="E65" s="329"/>
      <c r="F65" s="327">
        <v>10</v>
      </c>
      <c r="G65" s="328">
        <f t="shared" si="5"/>
        <v>10</v>
      </c>
      <c r="H65" s="329"/>
      <c r="I65" s="329"/>
      <c r="J65" s="330"/>
      <c r="K65" s="327">
        <v>620</v>
      </c>
      <c r="L65" s="329"/>
      <c r="M65" s="328">
        <f t="shared" si="2"/>
        <v>620</v>
      </c>
      <c r="N65" s="329"/>
      <c r="O65" s="329"/>
      <c r="P65" s="331">
        <f t="shared" si="7"/>
        <v>0</v>
      </c>
      <c r="Q65" s="332"/>
      <c r="R65" s="451"/>
      <c r="S65" s="331">
        <f t="shared" si="6"/>
        <v>0</v>
      </c>
      <c r="T65" s="333">
        <v>24</v>
      </c>
    </row>
    <row r="66" spans="1:20" ht="25.5" customHeight="1" x14ac:dyDescent="0.3">
      <c r="A66" s="339" t="s">
        <v>2749</v>
      </c>
      <c r="B66" s="391">
        <v>90950</v>
      </c>
      <c r="C66" s="391">
        <v>2000</v>
      </c>
      <c r="D66" s="102">
        <f t="shared" si="3"/>
        <v>92950</v>
      </c>
      <c r="E66" s="104"/>
      <c r="F66" s="391"/>
      <c r="G66" s="320">
        <f t="shared" si="5"/>
        <v>0</v>
      </c>
      <c r="H66" s="104"/>
      <c r="I66" s="104"/>
      <c r="J66" s="102"/>
      <c r="K66" s="391">
        <v>20200</v>
      </c>
      <c r="L66" s="104"/>
      <c r="M66" s="320">
        <f t="shared" si="2"/>
        <v>20200</v>
      </c>
      <c r="N66" s="104"/>
      <c r="O66" s="104"/>
      <c r="P66" s="182">
        <f t="shared" si="7"/>
        <v>0</v>
      </c>
      <c r="Q66" s="23"/>
      <c r="R66" s="412"/>
      <c r="S66" s="182">
        <f t="shared" si="6"/>
        <v>0</v>
      </c>
      <c r="T66" s="227">
        <v>32</v>
      </c>
    </row>
    <row r="67" spans="1:20" ht="25.5" customHeight="1" x14ac:dyDescent="0.3">
      <c r="A67" s="339" t="s">
        <v>2809</v>
      </c>
      <c r="B67" s="391">
        <v>58350</v>
      </c>
      <c r="C67" s="391">
        <v>62550</v>
      </c>
      <c r="D67" s="102">
        <f t="shared" si="3"/>
        <v>120900</v>
      </c>
      <c r="E67" s="104"/>
      <c r="F67" s="391"/>
      <c r="G67" s="320">
        <f t="shared" si="5"/>
        <v>0</v>
      </c>
      <c r="H67" s="104"/>
      <c r="I67" s="104"/>
      <c r="J67" s="102"/>
      <c r="K67" s="391">
        <v>8000</v>
      </c>
      <c r="L67" s="104"/>
      <c r="M67" s="320">
        <f t="shared" si="2"/>
        <v>8000</v>
      </c>
      <c r="N67" s="104"/>
      <c r="O67" s="104"/>
      <c r="P67" s="182">
        <f t="shared" si="7"/>
        <v>0</v>
      </c>
      <c r="Q67" s="23"/>
      <c r="R67" s="412"/>
      <c r="S67" s="182">
        <f t="shared" si="6"/>
        <v>0</v>
      </c>
      <c r="T67" s="227">
        <v>41</v>
      </c>
    </row>
    <row r="68" spans="1:20" ht="25.5" customHeight="1" x14ac:dyDescent="0.3">
      <c r="A68" s="339" t="s">
        <v>2837</v>
      </c>
      <c r="B68" s="391">
        <v>69150</v>
      </c>
      <c r="C68" s="391">
        <v>15500</v>
      </c>
      <c r="D68" s="102">
        <f t="shared" si="3"/>
        <v>84650</v>
      </c>
      <c r="E68" s="104"/>
      <c r="F68" s="391"/>
      <c r="G68" s="320">
        <f t="shared" si="5"/>
        <v>0</v>
      </c>
      <c r="H68" s="104"/>
      <c r="I68" s="104"/>
      <c r="J68" s="102"/>
      <c r="K68" s="391">
        <v>1500</v>
      </c>
      <c r="L68" s="104"/>
      <c r="M68" s="320">
        <f t="shared" si="2"/>
        <v>1500</v>
      </c>
      <c r="N68" s="104"/>
      <c r="O68" s="104"/>
      <c r="P68" s="182">
        <f t="shared" si="7"/>
        <v>0</v>
      </c>
      <c r="Q68" s="23"/>
      <c r="R68" s="412"/>
      <c r="S68" s="182">
        <f t="shared" si="6"/>
        <v>0</v>
      </c>
      <c r="T68" s="227">
        <v>19</v>
      </c>
    </row>
    <row r="69" spans="1:20" ht="25.5" customHeight="1" x14ac:dyDescent="0.3">
      <c r="A69" s="339" t="s">
        <v>2899</v>
      </c>
      <c r="B69" s="391">
        <v>158450</v>
      </c>
      <c r="C69" s="391">
        <v>21900</v>
      </c>
      <c r="D69" s="102">
        <f t="shared" si="3"/>
        <v>180350</v>
      </c>
      <c r="E69" s="104"/>
      <c r="F69" s="104"/>
      <c r="G69" s="320">
        <f t="shared" si="5"/>
        <v>0</v>
      </c>
      <c r="H69" s="104"/>
      <c r="I69" s="104"/>
      <c r="J69" s="102"/>
      <c r="K69" s="104"/>
      <c r="L69" s="104"/>
      <c r="M69" s="320">
        <f t="shared" si="2"/>
        <v>0</v>
      </c>
      <c r="N69" s="104"/>
      <c r="O69" s="104"/>
      <c r="P69" s="182">
        <f t="shared" si="7"/>
        <v>0</v>
      </c>
      <c r="Q69" s="23"/>
      <c r="R69" s="412"/>
      <c r="S69" s="182">
        <v>0</v>
      </c>
      <c r="T69" s="227">
        <v>48</v>
      </c>
    </row>
    <row r="70" spans="1:20" ht="22.5" customHeight="1" x14ac:dyDescent="0.3">
      <c r="A70" s="105"/>
      <c r="B70" s="106"/>
      <c r="C70" s="106"/>
      <c r="D70" s="102">
        <f t="shared" si="3"/>
        <v>0</v>
      </c>
      <c r="E70" s="101"/>
      <c r="F70" s="101"/>
      <c r="G70" s="102">
        <f t="shared" ref="G70" si="8">SUM(E70:F70)</f>
        <v>0</v>
      </c>
      <c r="H70" s="101"/>
      <c r="I70" s="101"/>
      <c r="J70" s="102">
        <f t="shared" ref="J70" si="9">SUM(H70:I70)</f>
        <v>0</v>
      </c>
      <c r="K70" s="101"/>
      <c r="L70" s="101"/>
      <c r="M70" s="102">
        <f t="shared" ref="M70" si="10">SUM(K70:L70)</f>
        <v>0</v>
      </c>
      <c r="N70" s="101"/>
      <c r="O70" s="105"/>
      <c r="P70" s="103">
        <f t="shared" ref="P70" si="11">SUM(N70:O70)</f>
        <v>0</v>
      </c>
      <c r="Q70" s="23"/>
      <c r="R70" s="412"/>
      <c r="S70" s="182">
        <f t="shared" si="6"/>
        <v>0</v>
      </c>
      <c r="T70" s="227"/>
    </row>
    <row r="71" spans="1:20" ht="29.25" customHeight="1" x14ac:dyDescent="0.4">
      <c r="A71" s="157" t="s">
        <v>100</v>
      </c>
      <c r="B71" s="158">
        <f t="shared" ref="B71:I71" si="12">SUM(B5:B70)</f>
        <v>2556260</v>
      </c>
      <c r="C71" s="158">
        <f t="shared" si="12"/>
        <v>555370</v>
      </c>
      <c r="D71" s="158">
        <f>SUM(D5:D69)</f>
        <v>3028390</v>
      </c>
      <c r="E71" s="158">
        <f t="shared" si="12"/>
        <v>5235</v>
      </c>
      <c r="F71" s="158">
        <f t="shared" si="12"/>
        <v>290</v>
      </c>
      <c r="G71" s="158">
        <f t="shared" si="12"/>
        <v>5525</v>
      </c>
      <c r="H71" s="158">
        <f t="shared" si="12"/>
        <v>0</v>
      </c>
      <c r="I71" s="158">
        <f t="shared" si="12"/>
        <v>0</v>
      </c>
      <c r="J71" s="158">
        <f>SUM(H71:I71)</f>
        <v>0</v>
      </c>
      <c r="K71" s="158">
        <f t="shared" ref="K71:P71" si="13">SUM(K5:K70)</f>
        <v>234985</v>
      </c>
      <c r="L71" s="158">
        <f t="shared" si="13"/>
        <v>43030</v>
      </c>
      <c r="M71" s="158">
        <f t="shared" si="13"/>
        <v>278015</v>
      </c>
      <c r="N71" s="158">
        <f t="shared" si="13"/>
        <v>52276</v>
      </c>
      <c r="O71" s="158">
        <f t="shared" si="13"/>
        <v>77400</v>
      </c>
      <c r="P71" s="158">
        <f t="shared" si="13"/>
        <v>129676</v>
      </c>
      <c r="Q71" s="159"/>
      <c r="R71" s="159"/>
      <c r="S71" s="158">
        <f>SUM(S5:S70)</f>
        <v>37840</v>
      </c>
      <c r="T71" s="229">
        <f>SUM(T5:T70)</f>
        <v>1491</v>
      </c>
    </row>
    <row r="72" spans="1:20" ht="26.25" customHeight="1" x14ac:dyDescent="0.25">
      <c r="A72" s="487">
        <f>D71*0.2</f>
        <v>605678</v>
      </c>
      <c r="B72" s="488"/>
      <c r="C72" s="488"/>
      <c r="D72" s="489"/>
      <c r="E72" s="484">
        <f>G71*0.2</f>
        <v>1105</v>
      </c>
      <c r="F72" s="485"/>
      <c r="G72" s="486"/>
      <c r="H72" s="484">
        <f>J71*0.2</f>
        <v>0</v>
      </c>
      <c r="I72" s="506"/>
      <c r="J72" s="507"/>
      <c r="K72" s="484">
        <f>M71*0.2</f>
        <v>55603</v>
      </c>
      <c r="L72" s="506"/>
      <c r="M72" s="507"/>
      <c r="N72" s="484">
        <f>P71*0.2</f>
        <v>25935.200000000001</v>
      </c>
      <c r="O72" s="506"/>
      <c r="P72" s="507"/>
      <c r="Q72" s="481"/>
      <c r="R72" s="482"/>
      <c r="S72" s="483"/>
    </row>
    <row r="73" spans="1:20" ht="36.75" customHeight="1" x14ac:dyDescent="0.25">
      <c r="A73" s="503" t="s">
        <v>110</v>
      </c>
      <c r="B73" s="504"/>
      <c r="C73" s="505"/>
      <c r="D73" s="133">
        <f>D71+A72+200000</f>
        <v>3834068</v>
      </c>
      <c r="E73" s="478">
        <f>G71+E72</f>
        <v>6630</v>
      </c>
      <c r="F73" s="479"/>
      <c r="G73" s="480"/>
      <c r="H73" s="478">
        <f>J71+H72</f>
        <v>0</v>
      </c>
      <c r="I73" s="479"/>
      <c r="J73" s="480"/>
      <c r="K73" s="478">
        <f>M71+K72</f>
        <v>333618</v>
      </c>
      <c r="L73" s="479"/>
      <c r="M73" s="480"/>
      <c r="N73" s="478">
        <f>P71+N72</f>
        <v>155611.20000000001</v>
      </c>
      <c r="O73" s="479"/>
      <c r="P73" s="480"/>
      <c r="Q73" s="478">
        <f>S71+Q72</f>
        <v>37840</v>
      </c>
      <c r="R73" s="479"/>
      <c r="S73" s="480"/>
    </row>
    <row r="74" spans="1:20" ht="37.5" customHeight="1" x14ac:dyDescent="0.25">
      <c r="A74" s="453" t="s">
        <v>139</v>
      </c>
      <c r="B74" s="454"/>
      <c r="C74" s="455"/>
      <c r="D74" s="134">
        <f>D73/4200000*(100)</f>
        <v>91.287333333333336</v>
      </c>
      <c r="E74" s="511">
        <f>E73/6000*(100)</f>
        <v>110.5</v>
      </c>
      <c r="F74" s="512"/>
      <c r="G74" s="513"/>
      <c r="H74" s="508">
        <f>H73/6000*(100)</f>
        <v>0</v>
      </c>
      <c r="I74" s="509"/>
      <c r="J74" s="510"/>
      <c r="K74" s="508">
        <f>K73/72000*(100)</f>
        <v>463.35833333333329</v>
      </c>
      <c r="L74" s="509"/>
      <c r="M74" s="510"/>
      <c r="N74" s="508">
        <f>N73/144000*(100)</f>
        <v>108.06333333333333</v>
      </c>
      <c r="O74" s="509"/>
      <c r="P74" s="510"/>
      <c r="Q74" s="508">
        <f>Q73/5000*(100)</f>
        <v>756.8</v>
      </c>
      <c r="R74" s="509"/>
      <c r="S74" s="510"/>
    </row>
    <row r="75" spans="1:20" ht="23.25" x14ac:dyDescent="0.25">
      <c r="B75" s="468" t="s">
        <v>99</v>
      </c>
      <c r="C75" s="469"/>
      <c r="D75" s="470"/>
      <c r="E75" s="471" t="s">
        <v>101</v>
      </c>
      <c r="F75" s="472"/>
      <c r="G75" s="473"/>
      <c r="H75" s="456" t="s">
        <v>98</v>
      </c>
      <c r="I75" s="457"/>
      <c r="J75" s="458"/>
      <c r="K75" s="459" t="s">
        <v>109</v>
      </c>
      <c r="L75" s="460"/>
      <c r="M75" s="461"/>
      <c r="N75" s="462" t="s">
        <v>138</v>
      </c>
      <c r="O75" s="463"/>
      <c r="P75" s="464"/>
      <c r="Q75" s="465" t="s">
        <v>148</v>
      </c>
      <c r="R75" s="466"/>
      <c r="S75" s="467"/>
    </row>
    <row r="76" spans="1:20" ht="30.75" customHeight="1" x14ac:dyDescent="0.3">
      <c r="B76" s="444">
        <f>3059448+200000</f>
        <v>3259448</v>
      </c>
      <c r="D76" s="359">
        <f>E76+E77</f>
        <v>1197270</v>
      </c>
      <c r="E76" s="57">
        <f>SUM(D5:D39)</f>
        <v>1114030</v>
      </c>
    </row>
    <row r="77" spans="1:20" x14ac:dyDescent="0.25">
      <c r="E77" s="57">
        <f>C9+C11+C12+C16+11268</f>
        <v>83240</v>
      </c>
    </row>
    <row r="78" spans="1:20" x14ac:dyDescent="0.25">
      <c r="Q78" s="57"/>
    </row>
    <row r="79" spans="1:20" ht="25.5" customHeight="1" x14ac:dyDescent="0.25">
      <c r="A79" s="156" t="s">
        <v>99</v>
      </c>
      <c r="B79" s="148" t="s">
        <v>166</v>
      </c>
      <c r="C79" s="148" t="s">
        <v>167</v>
      </c>
      <c r="D79" s="148" t="s">
        <v>169</v>
      </c>
      <c r="E79" s="149">
        <v>0.2</v>
      </c>
      <c r="F79" s="515" t="s">
        <v>168</v>
      </c>
      <c r="G79" s="515"/>
      <c r="H79" s="57"/>
      <c r="I79" s="57"/>
      <c r="K79" s="57"/>
      <c r="L79" s="57"/>
      <c r="O79" s="57"/>
    </row>
    <row r="80" spans="1:20" ht="27.75" customHeight="1" x14ac:dyDescent="0.25">
      <c r="A80" s="150" t="s">
        <v>191</v>
      </c>
      <c r="B80" s="153">
        <f>SUM(B5:B11)</f>
        <v>61600</v>
      </c>
      <c r="C80" s="153">
        <f>SUM(C5:C11)</f>
        <v>46980</v>
      </c>
      <c r="D80" s="153">
        <f>B80+C80</f>
        <v>108580</v>
      </c>
      <c r="E80" s="151">
        <v>0</v>
      </c>
      <c r="F80" s="516">
        <v>78720</v>
      </c>
      <c r="G80" s="517"/>
      <c r="I80" s="57"/>
    </row>
    <row r="81" spans="1:19" ht="34.5" customHeight="1" x14ac:dyDescent="0.3">
      <c r="A81" s="152" t="s">
        <v>192</v>
      </c>
      <c r="B81" s="153"/>
      <c r="C81" s="153"/>
      <c r="D81" s="153"/>
      <c r="E81" s="154"/>
      <c r="F81" s="518"/>
      <c r="G81" s="517"/>
      <c r="K81" s="185"/>
      <c r="L81" s="186"/>
      <c r="M81" s="185"/>
      <c r="N81" s="187"/>
      <c r="O81" s="186"/>
      <c r="P81" s="188"/>
      <c r="Q81" s="185"/>
    </row>
    <row r="82" spans="1:19" ht="34.5" customHeight="1" x14ac:dyDescent="0.25">
      <c r="A82" s="152" t="s">
        <v>193</v>
      </c>
      <c r="B82" s="153"/>
      <c r="C82" s="153"/>
      <c r="D82" s="153"/>
      <c r="E82" s="154"/>
      <c r="F82" s="518"/>
      <c r="G82" s="517"/>
      <c r="L82" s="57"/>
      <c r="M82" s="181"/>
      <c r="N82" s="57"/>
      <c r="O82" s="57"/>
    </row>
    <row r="83" spans="1:19" ht="34.5" customHeight="1" x14ac:dyDescent="0.3">
      <c r="A83" s="152" t="s">
        <v>194</v>
      </c>
      <c r="B83" s="153"/>
      <c r="C83" s="153"/>
      <c r="D83" s="153"/>
      <c r="E83" s="154">
        <f t="shared" ref="E83:E91" si="14">D83*0.2</f>
        <v>0</v>
      </c>
      <c r="F83" s="518">
        <f t="shared" ref="F83:F91" si="15">D83+E83</f>
        <v>0</v>
      </c>
      <c r="G83" s="517"/>
      <c r="K83" s="147"/>
      <c r="L83" s="147"/>
      <c r="M83" s="147"/>
      <c r="O83" s="57"/>
    </row>
    <row r="84" spans="1:19" ht="34.5" customHeight="1" x14ac:dyDescent="0.25">
      <c r="A84" s="152" t="s">
        <v>195</v>
      </c>
      <c r="B84" s="153"/>
      <c r="C84" s="153"/>
      <c r="D84" s="153"/>
      <c r="E84" s="154">
        <f t="shared" si="14"/>
        <v>0</v>
      </c>
      <c r="F84" s="518">
        <f t="shared" si="15"/>
        <v>0</v>
      </c>
      <c r="G84" s="517"/>
      <c r="L84" s="57"/>
      <c r="M84" s="74"/>
      <c r="O84" s="74"/>
    </row>
    <row r="85" spans="1:19" ht="34.5" customHeight="1" x14ac:dyDescent="0.3">
      <c r="A85" s="152" t="s">
        <v>196</v>
      </c>
      <c r="B85" s="153"/>
      <c r="C85" s="153"/>
      <c r="D85" s="153"/>
      <c r="E85" s="154"/>
      <c r="F85" s="518"/>
      <c r="G85" s="517"/>
      <c r="L85" s="57"/>
      <c r="M85" s="181"/>
      <c r="O85" s="147"/>
    </row>
    <row r="86" spans="1:19" ht="34.5" customHeight="1" x14ac:dyDescent="0.25">
      <c r="A86" s="152" t="s">
        <v>197</v>
      </c>
      <c r="B86" s="153"/>
      <c r="C86" s="153"/>
      <c r="D86" s="153">
        <f t="shared" ref="D86:D91" si="16">B86+C86</f>
        <v>0</v>
      </c>
      <c r="E86" s="154">
        <f t="shared" si="14"/>
        <v>0</v>
      </c>
      <c r="F86" s="518">
        <f t="shared" si="15"/>
        <v>0</v>
      </c>
      <c r="G86" s="517"/>
      <c r="J86" s="57"/>
    </row>
    <row r="87" spans="1:19" ht="34.5" customHeight="1" x14ac:dyDescent="0.25">
      <c r="A87" s="152" t="s">
        <v>198</v>
      </c>
      <c r="B87" s="153"/>
      <c r="C87" s="153"/>
      <c r="D87" s="153">
        <f t="shared" si="16"/>
        <v>0</v>
      </c>
      <c r="E87" s="154">
        <f t="shared" si="14"/>
        <v>0</v>
      </c>
      <c r="F87" s="518">
        <f t="shared" si="15"/>
        <v>0</v>
      </c>
      <c r="G87" s="517"/>
      <c r="I87" s="74"/>
      <c r="J87" t="s">
        <v>252</v>
      </c>
    </row>
    <row r="88" spans="1:19" ht="34.5" customHeight="1" x14ac:dyDescent="0.25">
      <c r="A88" s="152" t="s">
        <v>199</v>
      </c>
      <c r="B88" s="153"/>
      <c r="C88" s="153"/>
      <c r="D88" s="153">
        <f t="shared" si="16"/>
        <v>0</v>
      </c>
      <c r="E88" s="154">
        <f t="shared" si="14"/>
        <v>0</v>
      </c>
      <c r="F88" s="518">
        <f t="shared" si="15"/>
        <v>0</v>
      </c>
      <c r="G88" s="517"/>
    </row>
    <row r="89" spans="1:19" ht="34.5" customHeight="1" x14ac:dyDescent="0.25">
      <c r="A89" s="152" t="s">
        <v>200</v>
      </c>
      <c r="B89" s="153"/>
      <c r="C89" s="153"/>
      <c r="D89" s="153">
        <f t="shared" si="16"/>
        <v>0</v>
      </c>
      <c r="E89" s="154">
        <f t="shared" si="14"/>
        <v>0</v>
      </c>
      <c r="F89" s="518">
        <f t="shared" si="15"/>
        <v>0</v>
      </c>
      <c r="G89" s="517"/>
    </row>
    <row r="90" spans="1:19" ht="34.5" customHeight="1" x14ac:dyDescent="0.25">
      <c r="A90" s="152" t="s">
        <v>201</v>
      </c>
      <c r="B90" s="153"/>
      <c r="C90" s="153"/>
      <c r="D90" s="153">
        <f t="shared" si="16"/>
        <v>0</v>
      </c>
      <c r="E90" s="154">
        <f t="shared" si="14"/>
        <v>0</v>
      </c>
      <c r="F90" s="518">
        <f t="shared" si="15"/>
        <v>0</v>
      </c>
      <c r="G90" s="517"/>
    </row>
    <row r="91" spans="1:19" s="132" customFormat="1" ht="29.25" customHeight="1" thickBot="1" x14ac:dyDescent="0.3">
      <c r="A91" s="152" t="s">
        <v>202</v>
      </c>
      <c r="B91" s="155"/>
      <c r="C91" s="155"/>
      <c r="D91" s="153">
        <f t="shared" si="16"/>
        <v>0</v>
      </c>
      <c r="E91" s="154">
        <f t="shared" si="14"/>
        <v>0</v>
      </c>
      <c r="F91" s="518">
        <f t="shared" si="15"/>
        <v>0</v>
      </c>
      <c r="G91" s="517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</row>
    <row r="92" spans="1:19" ht="24" customHeight="1" thickTop="1" x14ac:dyDescent="0.3">
      <c r="A92" s="146" t="s">
        <v>100</v>
      </c>
      <c r="B92" s="147">
        <f>SUM(B80:B91)</f>
        <v>61600</v>
      </c>
      <c r="C92" s="147">
        <f>SUM(C80:C91)</f>
        <v>46980</v>
      </c>
      <c r="D92" s="147">
        <f>SUM(D80:D91)</f>
        <v>108580</v>
      </c>
      <c r="E92" s="147">
        <f>SUM(E80:E91)</f>
        <v>0</v>
      </c>
      <c r="F92" s="514">
        <f t="shared" ref="F92" si="17">SUM(F80:F91)</f>
        <v>78720</v>
      </c>
      <c r="G92" s="514"/>
      <c r="M92" s="74"/>
    </row>
    <row r="93" spans="1:19" s="137" customFormat="1" ht="44.25" customHeight="1" x14ac:dyDescent="0.4">
      <c r="B93" s="139"/>
      <c r="C93" s="139"/>
      <c r="D93" s="139"/>
      <c r="G93" s="142"/>
      <c r="H93" s="139"/>
      <c r="J93" s="142"/>
      <c r="K93" s="139"/>
      <c r="L93" s="139"/>
      <c r="M93" s="142"/>
    </row>
    <row r="94" spans="1:19" s="137" customFormat="1" ht="34.5" customHeight="1" x14ac:dyDescent="0.4">
      <c r="B94" s="139"/>
      <c r="D94" s="143"/>
      <c r="E94" s="139"/>
      <c r="G94" s="143"/>
      <c r="H94" s="140"/>
      <c r="J94" s="143"/>
      <c r="K94" s="139"/>
      <c r="L94" s="139"/>
      <c r="M94" s="142"/>
    </row>
    <row r="95" spans="1:19" s="141" customFormat="1" ht="57.75" customHeight="1" x14ac:dyDescent="0.4">
      <c r="B95" s="142"/>
      <c r="D95" s="138"/>
      <c r="E95" s="143"/>
      <c r="G95" s="138"/>
      <c r="J95" s="138"/>
      <c r="M95" s="144"/>
    </row>
    <row r="96" spans="1:19" x14ac:dyDescent="0.25">
      <c r="B96" s="57"/>
      <c r="C96" s="57"/>
      <c r="E96" s="57"/>
      <c r="M96" s="57"/>
    </row>
    <row r="97" spans="2:15" x14ac:dyDescent="0.25">
      <c r="B97" s="74"/>
      <c r="C97" s="74"/>
      <c r="M97" s="74"/>
      <c r="O97" s="57"/>
    </row>
    <row r="98" spans="2:15" x14ac:dyDescent="0.25">
      <c r="B98" s="57"/>
      <c r="C98" s="57"/>
      <c r="M98" s="57"/>
    </row>
    <row r="99" spans="2:15" x14ac:dyDescent="0.25">
      <c r="B99" s="74"/>
    </row>
    <row r="100" spans="2:15" x14ac:dyDescent="0.25">
      <c r="I100" s="136"/>
    </row>
    <row r="101" spans="2:15" x14ac:dyDescent="0.25">
      <c r="I101" s="136"/>
    </row>
    <row r="102" spans="2:15" x14ac:dyDescent="0.25">
      <c r="I102" s="136"/>
    </row>
  </sheetData>
  <mergeCells count="46">
    <mergeCell ref="F92:G92"/>
    <mergeCell ref="F79:G79"/>
    <mergeCell ref="F80:G80"/>
    <mergeCell ref="F81:G81"/>
    <mergeCell ref="F91:G9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E73:G73"/>
    <mergeCell ref="Q74:S74"/>
    <mergeCell ref="E74:G74"/>
    <mergeCell ref="H74:J74"/>
    <mergeCell ref="K74:M74"/>
    <mergeCell ref="N74:P74"/>
    <mergeCell ref="H73:J73"/>
    <mergeCell ref="K73:M73"/>
    <mergeCell ref="N73:P73"/>
    <mergeCell ref="A1:S1"/>
    <mergeCell ref="A3:A4"/>
    <mergeCell ref="Q3:S3"/>
    <mergeCell ref="Q73:S73"/>
    <mergeCell ref="Q72:S72"/>
    <mergeCell ref="E72:G72"/>
    <mergeCell ref="A72:D72"/>
    <mergeCell ref="N3:P3"/>
    <mergeCell ref="B3:D3"/>
    <mergeCell ref="E3:G3"/>
    <mergeCell ref="H3:J3"/>
    <mergeCell ref="K3:M3"/>
    <mergeCell ref="A73:C73"/>
    <mergeCell ref="N72:P72"/>
    <mergeCell ref="K72:M72"/>
    <mergeCell ref="H72:J72"/>
    <mergeCell ref="A74:C74"/>
    <mergeCell ref="H75:J75"/>
    <mergeCell ref="K75:M75"/>
    <mergeCell ref="N75:P75"/>
    <mergeCell ref="Q75:S75"/>
    <mergeCell ref="B75:D75"/>
    <mergeCell ref="E75:G75"/>
  </mergeCells>
  <printOptions horizontalCentered="1" verticalCentered="1"/>
  <pageMargins left="0" right="0" top="0.75" bottom="0.75" header="0.3" footer="0.3"/>
  <pageSetup paperSize="5" scale="44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/>
  </sheetPr>
  <dimension ref="A1:F49"/>
  <sheetViews>
    <sheetView view="pageLayout" topLeftCell="A4" zoomScale="136" zoomScaleNormal="100" zoomScalePageLayoutView="136" workbookViewId="0">
      <selection activeCell="F12" sqref="F12"/>
    </sheetView>
  </sheetViews>
  <sheetFormatPr defaultRowHeight="15" x14ac:dyDescent="0.25"/>
  <cols>
    <col min="1" max="1" width="3.140625" customWidth="1"/>
    <col min="2" max="2" width="36.85546875" customWidth="1"/>
    <col min="3" max="3" width="4" customWidth="1"/>
    <col min="4" max="4" width="35.28515625" customWidth="1"/>
    <col min="5" max="5" width="4.140625" customWidth="1"/>
    <col min="6" max="6" width="33.140625" customWidth="1"/>
  </cols>
  <sheetData>
    <row r="1" spans="1:6" ht="30.75" customHeight="1" x14ac:dyDescent="0.25"/>
    <row r="2" spans="1:6" ht="20.25" customHeight="1" x14ac:dyDescent="0.25">
      <c r="A2" s="55"/>
      <c r="B2" s="70" t="s">
        <v>126</v>
      </c>
      <c r="C2" s="56"/>
      <c r="D2" s="70" t="s">
        <v>127</v>
      </c>
      <c r="E2" s="56"/>
      <c r="F2" s="70" t="s">
        <v>128</v>
      </c>
    </row>
    <row r="3" spans="1:6" ht="15.75" x14ac:dyDescent="0.25">
      <c r="A3" s="71">
        <v>1</v>
      </c>
      <c r="B3" s="52" t="s">
        <v>89</v>
      </c>
      <c r="C3" s="71">
        <v>1</v>
      </c>
      <c r="D3" s="52" t="s">
        <v>54</v>
      </c>
      <c r="E3" s="71">
        <v>1</v>
      </c>
      <c r="F3" s="52" t="s">
        <v>66</v>
      </c>
    </row>
    <row r="4" spans="1:6" ht="15.75" x14ac:dyDescent="0.25">
      <c r="A4" s="72">
        <v>2</v>
      </c>
      <c r="B4" s="53" t="s">
        <v>83</v>
      </c>
      <c r="C4" s="72">
        <v>2</v>
      </c>
      <c r="D4" s="53" t="s">
        <v>61</v>
      </c>
      <c r="E4" s="72">
        <v>2</v>
      </c>
      <c r="F4" s="53" t="s">
        <v>41</v>
      </c>
    </row>
    <row r="5" spans="1:6" ht="15.75" x14ac:dyDescent="0.25">
      <c r="A5" s="72">
        <v>3</v>
      </c>
      <c r="B5" s="53" t="s">
        <v>86</v>
      </c>
      <c r="C5" s="72">
        <v>3</v>
      </c>
      <c r="D5" s="53" t="s">
        <v>45</v>
      </c>
      <c r="E5" s="72">
        <v>3</v>
      </c>
      <c r="F5" s="53" t="s">
        <v>49</v>
      </c>
    </row>
    <row r="6" spans="1:6" ht="15.75" x14ac:dyDescent="0.25">
      <c r="A6" s="72">
        <v>4</v>
      </c>
      <c r="B6" s="53" t="s">
        <v>58</v>
      </c>
      <c r="C6" s="72">
        <v>4</v>
      </c>
      <c r="D6" s="53" t="s">
        <v>60</v>
      </c>
      <c r="E6" s="72">
        <v>4</v>
      </c>
      <c r="F6" s="53" t="s">
        <v>46</v>
      </c>
    </row>
    <row r="7" spans="1:6" ht="15.75" x14ac:dyDescent="0.25">
      <c r="A7" s="72">
        <v>5</v>
      </c>
      <c r="B7" s="53" t="s">
        <v>51</v>
      </c>
      <c r="C7" s="72">
        <v>5</v>
      </c>
      <c r="D7" s="53" t="s">
        <v>47</v>
      </c>
      <c r="E7" s="72">
        <v>5</v>
      </c>
      <c r="F7" s="53" t="s">
        <v>71</v>
      </c>
    </row>
    <row r="8" spans="1:6" ht="15.75" x14ac:dyDescent="0.25">
      <c r="A8" s="72">
        <v>6</v>
      </c>
      <c r="B8" s="53" t="s">
        <v>52</v>
      </c>
      <c r="C8" s="72">
        <v>6</v>
      </c>
      <c r="D8" s="53" t="s">
        <v>75</v>
      </c>
      <c r="E8" s="72">
        <v>6</v>
      </c>
      <c r="F8" s="53" t="s">
        <v>44</v>
      </c>
    </row>
    <row r="9" spans="1:6" ht="15.75" x14ac:dyDescent="0.25">
      <c r="A9" s="72">
        <v>7</v>
      </c>
      <c r="B9" s="53" t="s">
        <v>73</v>
      </c>
      <c r="C9" s="72">
        <v>7</v>
      </c>
      <c r="D9" s="53" t="s">
        <v>50</v>
      </c>
      <c r="E9" s="72">
        <v>7</v>
      </c>
      <c r="F9" s="53" t="s">
        <v>92</v>
      </c>
    </row>
    <row r="10" spans="1:6" ht="15.75" x14ac:dyDescent="0.25">
      <c r="A10" s="72">
        <v>8</v>
      </c>
      <c r="B10" s="53" t="s">
        <v>77</v>
      </c>
      <c r="C10" s="72">
        <v>8</v>
      </c>
      <c r="D10" s="53" t="s">
        <v>94</v>
      </c>
      <c r="E10" s="72">
        <v>8</v>
      </c>
      <c r="F10" s="53" t="s">
        <v>88</v>
      </c>
    </row>
    <row r="11" spans="1:6" ht="15.75" x14ac:dyDescent="0.25">
      <c r="A11" s="72">
        <v>9</v>
      </c>
      <c r="B11" s="53" t="s">
        <v>74</v>
      </c>
      <c r="C11" s="72">
        <v>9</v>
      </c>
      <c r="D11" s="53" t="s">
        <v>57</v>
      </c>
      <c r="E11" s="72">
        <v>9</v>
      </c>
      <c r="F11" s="53" t="s">
        <v>85</v>
      </c>
    </row>
    <row r="12" spans="1:6" ht="15.75" x14ac:dyDescent="0.25">
      <c r="A12" s="72">
        <v>10</v>
      </c>
      <c r="B12" s="53" t="s">
        <v>70</v>
      </c>
      <c r="C12" s="72">
        <v>10</v>
      </c>
      <c r="D12" s="53" t="s">
        <v>63</v>
      </c>
      <c r="E12" s="72">
        <v>10</v>
      </c>
      <c r="F12" s="53" t="s">
        <v>79</v>
      </c>
    </row>
    <row r="13" spans="1:6" ht="15.75" x14ac:dyDescent="0.25">
      <c r="A13" s="72">
        <v>11</v>
      </c>
      <c r="B13" s="53" t="s">
        <v>78</v>
      </c>
      <c r="C13" s="72">
        <v>11</v>
      </c>
      <c r="D13" s="53" t="s">
        <v>67</v>
      </c>
      <c r="E13" s="72">
        <v>11</v>
      </c>
      <c r="F13" s="53" t="s">
        <v>80</v>
      </c>
    </row>
    <row r="14" spans="1:6" ht="15.75" x14ac:dyDescent="0.25">
      <c r="A14" s="72">
        <v>12</v>
      </c>
      <c r="B14" s="53" t="s">
        <v>87</v>
      </c>
      <c r="C14" s="72">
        <v>12</v>
      </c>
      <c r="D14" s="53" t="s">
        <v>56</v>
      </c>
      <c r="E14" s="72">
        <v>12</v>
      </c>
      <c r="F14" s="53" t="s">
        <v>81</v>
      </c>
    </row>
    <row r="15" spans="1:6" ht="15.75" x14ac:dyDescent="0.25">
      <c r="A15" s="72">
        <v>13</v>
      </c>
      <c r="B15" s="53" t="s">
        <v>68</v>
      </c>
      <c r="C15" s="72">
        <v>13</v>
      </c>
      <c r="D15" s="53" t="s">
        <v>53</v>
      </c>
      <c r="E15" s="72">
        <v>13</v>
      </c>
      <c r="F15" s="53" t="s">
        <v>82</v>
      </c>
    </row>
    <row r="16" spans="1:6" ht="15.75" x14ac:dyDescent="0.25">
      <c r="A16" s="72">
        <v>14</v>
      </c>
      <c r="B16" s="53" t="s">
        <v>65</v>
      </c>
      <c r="C16" s="72">
        <v>14</v>
      </c>
      <c r="D16" s="53" t="s">
        <v>62</v>
      </c>
      <c r="E16" s="72">
        <v>14</v>
      </c>
      <c r="F16" s="53" t="s">
        <v>55</v>
      </c>
    </row>
    <row r="17" spans="1:6" ht="15.75" x14ac:dyDescent="0.25">
      <c r="A17" s="72">
        <v>15</v>
      </c>
      <c r="B17" s="53" t="s">
        <v>59</v>
      </c>
      <c r="C17" s="72"/>
      <c r="D17" s="53"/>
      <c r="E17" s="72">
        <v>15</v>
      </c>
      <c r="F17" s="53" t="s">
        <v>90</v>
      </c>
    </row>
    <row r="18" spans="1:6" ht="15.75" x14ac:dyDescent="0.25">
      <c r="A18" s="72"/>
      <c r="B18" s="53"/>
      <c r="C18" s="72"/>
      <c r="D18" s="53"/>
      <c r="E18" s="72">
        <v>16</v>
      </c>
      <c r="F18" s="53" t="s">
        <v>72</v>
      </c>
    </row>
    <row r="19" spans="1:6" ht="15.75" x14ac:dyDescent="0.25">
      <c r="A19" s="72"/>
      <c r="B19" s="53"/>
      <c r="C19" s="72"/>
      <c r="D19" s="53"/>
      <c r="E19" s="72">
        <v>17</v>
      </c>
      <c r="F19" s="53" t="s">
        <v>84</v>
      </c>
    </row>
    <row r="20" spans="1:6" ht="15.75" x14ac:dyDescent="0.25">
      <c r="A20" s="72"/>
      <c r="B20" s="53"/>
      <c r="C20" s="72"/>
      <c r="D20" s="53"/>
      <c r="E20" s="72">
        <v>18</v>
      </c>
      <c r="F20" s="53" t="s">
        <v>64</v>
      </c>
    </row>
    <row r="21" spans="1:6" ht="15.75" x14ac:dyDescent="0.25">
      <c r="A21" s="73"/>
      <c r="B21" s="54"/>
      <c r="C21" s="73"/>
      <c r="D21" s="54"/>
      <c r="E21" s="73">
        <v>19</v>
      </c>
      <c r="F21" s="54" t="s">
        <v>69</v>
      </c>
    </row>
    <row r="34" spans="1:2" ht="18.75" x14ac:dyDescent="0.25">
      <c r="A34" s="55"/>
      <c r="B34" s="70" t="s">
        <v>126</v>
      </c>
    </row>
    <row r="35" spans="1:2" ht="15.75" x14ac:dyDescent="0.25">
      <c r="A35" s="71">
        <v>1</v>
      </c>
      <c r="B35" s="52" t="s">
        <v>89</v>
      </c>
    </row>
    <row r="36" spans="1:2" ht="15.75" x14ac:dyDescent="0.25">
      <c r="A36" s="72">
        <v>2</v>
      </c>
      <c r="B36" s="53" t="s">
        <v>83</v>
      </c>
    </row>
    <row r="37" spans="1:2" ht="15.75" x14ac:dyDescent="0.25">
      <c r="A37" s="72">
        <v>3</v>
      </c>
      <c r="B37" s="53" t="s">
        <v>86</v>
      </c>
    </row>
    <row r="38" spans="1:2" ht="15.75" x14ac:dyDescent="0.25">
      <c r="A38" s="72">
        <v>4</v>
      </c>
      <c r="B38" s="53" t="s">
        <v>58</v>
      </c>
    </row>
    <row r="39" spans="1:2" ht="15.75" x14ac:dyDescent="0.25">
      <c r="A39" s="72">
        <v>5</v>
      </c>
      <c r="B39" s="53" t="s">
        <v>51</v>
      </c>
    </row>
    <row r="40" spans="1:2" ht="15.75" x14ac:dyDescent="0.25">
      <c r="A40" s="72">
        <v>6</v>
      </c>
      <c r="B40" s="53" t="s">
        <v>52</v>
      </c>
    </row>
    <row r="41" spans="1:2" ht="15.75" x14ac:dyDescent="0.25">
      <c r="A41" s="72">
        <v>7</v>
      </c>
      <c r="B41" s="53" t="s">
        <v>73</v>
      </c>
    </row>
    <row r="42" spans="1:2" ht="15.75" x14ac:dyDescent="0.25">
      <c r="A42" s="72">
        <v>8</v>
      </c>
      <c r="B42" s="53" t="s">
        <v>77</v>
      </c>
    </row>
    <row r="43" spans="1:2" ht="15.75" x14ac:dyDescent="0.25">
      <c r="A43" s="72">
        <v>9</v>
      </c>
      <c r="B43" s="53" t="s">
        <v>74</v>
      </c>
    </row>
    <row r="44" spans="1:2" ht="15.75" x14ac:dyDescent="0.25">
      <c r="A44" s="72">
        <v>10</v>
      </c>
      <c r="B44" s="53" t="s">
        <v>70</v>
      </c>
    </row>
    <row r="45" spans="1:2" ht="15.75" x14ac:dyDescent="0.25">
      <c r="A45" s="72">
        <v>11</v>
      </c>
      <c r="B45" s="53" t="s">
        <v>78</v>
      </c>
    </row>
    <row r="46" spans="1:2" ht="15.75" x14ac:dyDescent="0.25">
      <c r="A46" s="72">
        <v>12</v>
      </c>
      <c r="B46" s="53" t="s">
        <v>87</v>
      </c>
    </row>
    <row r="47" spans="1:2" ht="15.75" x14ac:dyDescent="0.25">
      <c r="A47" s="72">
        <v>13</v>
      </c>
      <c r="B47" s="53" t="s">
        <v>68</v>
      </c>
    </row>
    <row r="48" spans="1:2" ht="15.75" x14ac:dyDescent="0.25">
      <c r="A48" s="72">
        <v>14</v>
      </c>
      <c r="B48" s="53" t="s">
        <v>65</v>
      </c>
    </row>
    <row r="49" spans="1:2" ht="15.75" x14ac:dyDescent="0.25">
      <c r="A49" s="72">
        <v>15</v>
      </c>
      <c r="B49" s="53" t="s">
        <v>59</v>
      </c>
    </row>
  </sheetData>
  <sortState xmlns:xlrd2="http://schemas.microsoft.com/office/spreadsheetml/2017/richdata2" ref="A2:F21">
    <sortCondition ref="F3"/>
  </sortState>
  <printOptions horizontalCentered="1"/>
  <pageMargins left="0.7" right="0.7" top="0.75" bottom="0.75" header="0.3" footer="0.3"/>
  <pageSetup orientation="landscape" r:id="rId1"/>
  <headerFooter>
    <oddHeader>&amp;C
&amp;"-,Bold"&amp;14PROVINCE OF BOHOL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F6BD-99D9-473A-9C6E-44E88C247D13}">
  <sheetPr>
    <tabColor theme="5"/>
  </sheetPr>
  <dimension ref="A1:O37"/>
  <sheetViews>
    <sheetView view="pageBreakPreview" topLeftCell="A15" zoomScale="96" zoomScaleNormal="100" zoomScaleSheetLayoutView="96" workbookViewId="0">
      <selection activeCell="J19" sqref="J19:L22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6.7109375" customWidth="1"/>
    <col min="9" max="9" width="19" customWidth="1"/>
    <col min="10" max="10" width="12.28515625" customWidth="1"/>
    <col min="11" max="11" width="8.28515625" customWidth="1"/>
    <col min="12" max="12" width="18.5703125" customWidth="1"/>
  </cols>
  <sheetData>
    <row r="1" spans="1:13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</row>
    <row r="2" spans="1:13" ht="18" x14ac:dyDescent="0.25">
      <c r="A2" s="524" t="s">
        <v>2717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</row>
    <row r="3" spans="1:13" x14ac:dyDescent="0.25">
      <c r="A3" s="183"/>
      <c r="B3" s="1"/>
      <c r="C3" s="28"/>
      <c r="D3" s="1"/>
      <c r="E3" s="1"/>
      <c r="G3" s="1"/>
      <c r="H3" s="28"/>
      <c r="I3" s="25"/>
      <c r="J3" s="29"/>
      <c r="K3" s="526" t="s">
        <v>2908</v>
      </c>
      <c r="L3" s="527"/>
    </row>
    <row r="4" spans="1:13" x14ac:dyDescent="0.25">
      <c r="A4" s="183"/>
      <c r="B4" s="1"/>
      <c r="C4" s="28"/>
      <c r="D4" s="1"/>
      <c r="E4" s="1"/>
      <c r="G4" s="1"/>
      <c r="H4" s="28"/>
      <c r="I4" s="25"/>
      <c r="J4" s="29"/>
      <c r="K4" s="452" t="s">
        <v>37</v>
      </c>
      <c r="L4" s="100">
        <v>2</v>
      </c>
    </row>
    <row r="5" spans="1:13" x14ac:dyDescent="0.25">
      <c r="A5" s="183"/>
      <c r="B5" s="1"/>
      <c r="C5" s="28"/>
      <c r="D5" s="1"/>
      <c r="E5" s="1"/>
      <c r="G5" s="1"/>
      <c r="H5" s="28"/>
      <c r="I5" s="25"/>
      <c r="J5" s="29"/>
      <c r="K5" s="452" t="s">
        <v>38</v>
      </c>
      <c r="L5" s="100">
        <v>3</v>
      </c>
    </row>
    <row r="6" spans="1:13" ht="18" x14ac:dyDescent="0.25">
      <c r="A6" s="528" t="s">
        <v>122</v>
      </c>
      <c r="B6" s="528"/>
      <c r="C6" s="32"/>
      <c r="D6" s="1"/>
      <c r="E6" s="4"/>
      <c r="F6" s="2"/>
      <c r="G6" s="1"/>
      <c r="H6" s="28"/>
      <c r="I6" s="25"/>
      <c r="J6" s="29"/>
      <c r="K6" s="80" t="s">
        <v>2461</v>
      </c>
      <c r="L6" s="33"/>
    </row>
    <row r="7" spans="1:13" x14ac:dyDescent="0.25">
      <c r="A7" s="6"/>
      <c r="B7" s="7"/>
      <c r="C7" s="34" t="s">
        <v>24</v>
      </c>
      <c r="D7" s="8"/>
      <c r="E7" s="8"/>
      <c r="F7" s="35" t="s">
        <v>25</v>
      </c>
      <c r="G7" s="34" t="s">
        <v>26</v>
      </c>
      <c r="H7" s="529" t="s">
        <v>27</v>
      </c>
      <c r="I7" s="530"/>
      <c r="J7" s="36"/>
      <c r="K7" s="531" t="s">
        <v>2</v>
      </c>
      <c r="L7" s="532"/>
    </row>
    <row r="8" spans="1:13" x14ac:dyDescent="0.25">
      <c r="A8" s="519" t="s">
        <v>28</v>
      </c>
      <c r="B8" s="520"/>
      <c r="C8" s="35" t="s">
        <v>29</v>
      </c>
      <c r="D8" s="184" t="s">
        <v>5</v>
      </c>
      <c r="E8" s="9" t="s">
        <v>6</v>
      </c>
      <c r="F8" s="35" t="s">
        <v>30</v>
      </c>
      <c r="G8" s="37" t="s">
        <v>31</v>
      </c>
      <c r="H8" s="38"/>
      <c r="I8" s="39" t="s">
        <v>8</v>
      </c>
      <c r="J8" s="12" t="s">
        <v>9</v>
      </c>
      <c r="K8" s="13"/>
      <c r="L8" s="30"/>
    </row>
    <row r="9" spans="1:13" x14ac:dyDescent="0.25">
      <c r="A9" s="87"/>
      <c r="B9" s="14"/>
      <c r="C9" s="35" t="s">
        <v>32</v>
      </c>
      <c r="D9" s="15"/>
      <c r="E9" s="14"/>
      <c r="F9" s="35" t="s">
        <v>33</v>
      </c>
      <c r="G9" s="37" t="s">
        <v>34</v>
      </c>
      <c r="H9" s="40" t="s">
        <v>11</v>
      </c>
      <c r="I9" s="39" t="s">
        <v>12</v>
      </c>
      <c r="J9" s="41"/>
      <c r="K9" s="184" t="s">
        <v>13</v>
      </c>
      <c r="L9" s="184" t="s">
        <v>14</v>
      </c>
    </row>
    <row r="10" spans="1:13" x14ac:dyDescent="0.25">
      <c r="A10" s="18"/>
      <c r="B10" s="19"/>
      <c r="C10" s="42"/>
      <c r="D10" s="20"/>
      <c r="E10" s="20"/>
      <c r="F10" s="43" t="s">
        <v>35</v>
      </c>
      <c r="G10" s="22"/>
      <c r="H10" s="44"/>
      <c r="I10" s="45" t="s">
        <v>36</v>
      </c>
      <c r="J10" s="46"/>
      <c r="K10" s="21"/>
      <c r="L10" s="22" t="s">
        <v>16</v>
      </c>
    </row>
    <row r="11" spans="1:13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3" ht="26.25" customHeight="1" x14ac:dyDescent="0.25">
      <c r="A12" s="336">
        <v>1</v>
      </c>
      <c r="B12" s="416" t="s">
        <v>2437</v>
      </c>
      <c r="C12" s="49"/>
      <c r="D12" s="220"/>
      <c r="E12" s="220" t="s">
        <v>57</v>
      </c>
      <c r="F12" s="223"/>
      <c r="G12" s="220" t="s">
        <v>1535</v>
      </c>
      <c r="H12" s="416" t="s">
        <v>42</v>
      </c>
      <c r="I12" s="221">
        <v>2000</v>
      </c>
      <c r="J12" s="442" t="s">
        <v>255</v>
      </c>
      <c r="K12" s="79"/>
      <c r="L12" s="145" t="s">
        <v>43</v>
      </c>
    </row>
    <row r="13" spans="1:13" ht="31.5" customHeight="1" x14ac:dyDescent="0.25">
      <c r="A13" s="299">
        <v>5</v>
      </c>
      <c r="B13" s="416" t="s">
        <v>2900</v>
      </c>
      <c r="C13" s="49">
        <v>26</v>
      </c>
      <c r="D13" s="220"/>
      <c r="E13" s="220" t="s">
        <v>51</v>
      </c>
      <c r="F13" s="223"/>
      <c r="G13" s="220"/>
      <c r="H13" s="416" t="s">
        <v>2901</v>
      </c>
      <c r="I13" s="221"/>
      <c r="J13" s="442"/>
      <c r="K13" s="79"/>
      <c r="L13" s="145" t="s">
        <v>43</v>
      </c>
    </row>
    <row r="14" spans="1:13" ht="29.25" customHeight="1" x14ac:dyDescent="0.25">
      <c r="A14" s="299">
        <v>7</v>
      </c>
      <c r="B14" s="416" t="s">
        <v>2902</v>
      </c>
      <c r="C14" s="49">
        <v>23</v>
      </c>
      <c r="D14" s="220"/>
      <c r="E14" s="416" t="s">
        <v>2903</v>
      </c>
      <c r="F14" s="223"/>
      <c r="G14" s="220"/>
      <c r="H14" s="416" t="s">
        <v>2901</v>
      </c>
      <c r="I14" s="221"/>
      <c r="J14" s="442"/>
      <c r="K14" s="79"/>
      <c r="L14" s="145" t="s">
        <v>43</v>
      </c>
    </row>
    <row r="15" spans="1:13" ht="21" customHeight="1" x14ac:dyDescent="0.25">
      <c r="A15" s="418">
        <v>7</v>
      </c>
      <c r="B15" s="224" t="s">
        <v>2800</v>
      </c>
      <c r="C15" s="190"/>
      <c r="D15" s="79" t="s">
        <v>663</v>
      </c>
      <c r="E15" s="192" t="s">
        <v>84</v>
      </c>
      <c r="F15" s="240" t="s">
        <v>2801</v>
      </c>
      <c r="G15" s="415" t="s">
        <v>2300</v>
      </c>
      <c r="H15" s="192" t="s">
        <v>42</v>
      </c>
      <c r="I15" s="421">
        <v>50600</v>
      </c>
      <c r="J15" s="194" t="s">
        <v>255</v>
      </c>
      <c r="K15" s="79"/>
      <c r="L15" s="145" t="s">
        <v>43</v>
      </c>
      <c r="M15" s="132"/>
    </row>
    <row r="16" spans="1:13" ht="29.25" customHeight="1" x14ac:dyDescent="0.25">
      <c r="A16" s="336">
        <v>11</v>
      </c>
      <c r="B16" s="416" t="s">
        <v>2802</v>
      </c>
      <c r="C16" s="49"/>
      <c r="D16" s="220" t="s">
        <v>1069</v>
      </c>
      <c r="E16" s="220" t="s">
        <v>60</v>
      </c>
      <c r="F16" s="223" t="s">
        <v>2683</v>
      </c>
      <c r="G16" s="220" t="s">
        <v>2672</v>
      </c>
      <c r="H16" s="416" t="s">
        <v>42</v>
      </c>
      <c r="I16" s="221">
        <v>6000</v>
      </c>
      <c r="J16" s="194" t="s">
        <v>255</v>
      </c>
      <c r="K16" s="79"/>
      <c r="L16" s="145" t="s">
        <v>43</v>
      </c>
      <c r="M16" s="132"/>
    </row>
    <row r="17" spans="1:15" ht="21.75" customHeight="1" x14ac:dyDescent="0.25">
      <c r="A17" s="422">
        <v>13</v>
      </c>
      <c r="B17" s="224" t="s">
        <v>685</v>
      </c>
      <c r="C17" s="190"/>
      <c r="D17" s="145"/>
      <c r="E17" s="145" t="s">
        <v>68</v>
      </c>
      <c r="F17" s="223" t="s">
        <v>2839</v>
      </c>
      <c r="G17" s="192" t="s">
        <v>2838</v>
      </c>
      <c r="H17" s="416" t="s">
        <v>42</v>
      </c>
      <c r="I17" s="242">
        <v>15000</v>
      </c>
      <c r="J17" s="194" t="s">
        <v>255</v>
      </c>
      <c r="K17" s="79"/>
      <c r="L17" s="145" t="s">
        <v>43</v>
      </c>
      <c r="M17" s="132"/>
      <c r="O17" s="57"/>
    </row>
    <row r="18" spans="1:15" ht="21.75" customHeight="1" x14ac:dyDescent="0.25">
      <c r="A18" s="418">
        <v>15</v>
      </c>
      <c r="B18" s="224" t="s">
        <v>2840</v>
      </c>
      <c r="C18" s="190"/>
      <c r="D18" s="192"/>
      <c r="E18" s="192" t="s">
        <v>60</v>
      </c>
      <c r="F18" s="206" t="s">
        <v>2841</v>
      </c>
      <c r="G18" s="192" t="s">
        <v>2907</v>
      </c>
      <c r="H18" s="420" t="s">
        <v>42</v>
      </c>
      <c r="I18" s="242">
        <v>19200</v>
      </c>
      <c r="J18" s="194" t="s">
        <v>255</v>
      </c>
      <c r="K18" s="80"/>
      <c r="L18" s="282" t="s">
        <v>43</v>
      </c>
      <c r="O18" s="57"/>
    </row>
    <row r="19" spans="1:15" ht="23.25" customHeight="1" x14ac:dyDescent="0.25">
      <c r="A19" s="418"/>
      <c r="B19" s="224"/>
      <c r="C19" s="190"/>
      <c r="D19" s="192"/>
      <c r="E19" s="192"/>
      <c r="F19" s="206"/>
      <c r="G19" s="192"/>
      <c r="H19" s="420"/>
      <c r="I19" s="242"/>
      <c r="J19" s="194"/>
      <c r="K19" s="80"/>
      <c r="L19" s="282"/>
      <c r="O19" s="57"/>
    </row>
    <row r="20" spans="1:15" ht="23.25" customHeight="1" x14ac:dyDescent="0.25">
      <c r="A20" s="418"/>
      <c r="B20" s="224"/>
      <c r="C20" s="190"/>
      <c r="D20" s="239"/>
      <c r="E20" s="145"/>
      <c r="F20" s="240"/>
      <c r="G20" s="415"/>
      <c r="H20" s="420"/>
      <c r="I20" s="419"/>
      <c r="J20" s="225"/>
      <c r="K20" s="79"/>
      <c r="L20" s="79"/>
      <c r="O20" s="57"/>
    </row>
    <row r="21" spans="1:15" ht="23.25" customHeight="1" x14ac:dyDescent="0.25">
      <c r="A21" s="418"/>
      <c r="B21" s="224"/>
      <c r="C21" s="192"/>
      <c r="D21" s="192"/>
      <c r="E21" s="192"/>
      <c r="F21" s="223"/>
      <c r="G21" s="192"/>
      <c r="H21" s="420"/>
      <c r="I21" s="419"/>
      <c r="J21" s="225"/>
      <c r="K21" s="79"/>
      <c r="L21" s="79"/>
      <c r="O21" s="57"/>
    </row>
    <row r="22" spans="1:15" ht="29.25" customHeight="1" x14ac:dyDescent="0.25">
      <c r="A22" s="418"/>
      <c r="B22" s="224"/>
      <c r="C22" s="192"/>
      <c r="D22" s="192"/>
      <c r="E22" s="192"/>
      <c r="F22" s="223"/>
      <c r="G22" s="300"/>
      <c r="H22" s="420"/>
      <c r="I22" s="419"/>
      <c r="J22" s="225"/>
      <c r="K22" s="79"/>
      <c r="L22" s="79"/>
      <c r="O22" s="57"/>
    </row>
    <row r="23" spans="1:15" ht="23.25" customHeight="1" x14ac:dyDescent="0.25">
      <c r="A23" s="189"/>
      <c r="B23" s="224"/>
      <c r="C23" s="189"/>
      <c r="D23" s="192"/>
      <c r="E23" s="192"/>
      <c r="F23" s="223"/>
      <c r="G23" s="192"/>
      <c r="H23" s="420"/>
      <c r="I23" s="419"/>
      <c r="J23" s="190"/>
      <c r="K23" s="79"/>
      <c r="L23" s="79"/>
      <c r="O23" s="57"/>
    </row>
    <row r="24" spans="1:15" x14ac:dyDescent="0.25">
      <c r="F24" s="25"/>
      <c r="I24" s="26"/>
      <c r="J24" s="26"/>
    </row>
    <row r="25" spans="1:15" x14ac:dyDescent="0.25">
      <c r="I25" s="51" t="s">
        <v>19</v>
      </c>
      <c r="J25" s="26"/>
      <c r="L25" s="447"/>
    </row>
    <row r="26" spans="1:15" x14ac:dyDescent="0.25">
      <c r="I26" s="26" t="s">
        <v>114</v>
      </c>
      <c r="J26" s="402"/>
      <c r="L26" s="356"/>
    </row>
    <row r="27" spans="1:15" x14ac:dyDescent="0.25">
      <c r="B27" t="s">
        <v>20</v>
      </c>
      <c r="E27" t="s">
        <v>21</v>
      </c>
      <c r="I27" s="26" t="s">
        <v>115</v>
      </c>
      <c r="J27" s="99">
        <v>7</v>
      </c>
      <c r="K27" s="440"/>
      <c r="L27" s="441"/>
    </row>
    <row r="28" spans="1:15" x14ac:dyDescent="0.25">
      <c r="I28" s="26" t="s">
        <v>184</v>
      </c>
      <c r="J28" s="99">
        <v>92800</v>
      </c>
      <c r="K28" s="440"/>
      <c r="L28" s="25"/>
    </row>
    <row r="29" spans="1:15" x14ac:dyDescent="0.25">
      <c r="I29" s="26" t="s">
        <v>589</v>
      </c>
      <c r="J29" s="99"/>
      <c r="K29" s="440"/>
      <c r="L29" s="25"/>
    </row>
    <row r="30" spans="1:15" x14ac:dyDescent="0.25">
      <c r="I30" s="26" t="s">
        <v>116</v>
      </c>
      <c r="J30" s="99"/>
      <c r="K30" s="440"/>
      <c r="L30" s="25"/>
    </row>
    <row r="31" spans="1:15" x14ac:dyDescent="0.25">
      <c r="I31" s="26" t="s">
        <v>118</v>
      </c>
      <c r="J31" s="97"/>
      <c r="K31" s="439"/>
    </row>
    <row r="32" spans="1:15" x14ac:dyDescent="0.25">
      <c r="B32" s="27" t="s">
        <v>538</v>
      </c>
      <c r="E32" s="521" t="s">
        <v>941</v>
      </c>
      <c r="F32" s="521"/>
      <c r="G32" s="521"/>
      <c r="H32" s="521"/>
      <c r="I32" s="26" t="s">
        <v>119</v>
      </c>
      <c r="J32" s="99"/>
      <c r="K32" s="439"/>
      <c r="L32" s="57"/>
    </row>
    <row r="33" spans="2:12" x14ac:dyDescent="0.25">
      <c r="B33" t="s">
        <v>183</v>
      </c>
      <c r="E33" s="522" t="s">
        <v>942</v>
      </c>
      <c r="F33" s="522"/>
      <c r="G33" s="522"/>
      <c r="H33" s="522"/>
      <c r="I33" s="26" t="s">
        <v>120</v>
      </c>
      <c r="J33" s="97"/>
      <c r="K33" s="439"/>
      <c r="L33" s="57"/>
    </row>
    <row r="34" spans="2:12" x14ac:dyDescent="0.25">
      <c r="I34" s="26" t="s">
        <v>23</v>
      </c>
      <c r="J34" s="98"/>
      <c r="K34" s="439"/>
    </row>
    <row r="35" spans="2:12" x14ac:dyDescent="0.25">
      <c r="I35" s="3" t="s">
        <v>121</v>
      </c>
      <c r="J35" s="99"/>
      <c r="K35" s="439"/>
    </row>
    <row r="36" spans="2:12" x14ac:dyDescent="0.25">
      <c r="I36" s="3" t="s">
        <v>91</v>
      </c>
      <c r="J36" s="99"/>
      <c r="K36" s="439"/>
    </row>
    <row r="37" spans="2:12" x14ac:dyDescent="0.25">
      <c r="K37" s="439"/>
    </row>
  </sheetData>
  <mergeCells count="9">
    <mergeCell ref="A8:B8"/>
    <mergeCell ref="E32:H32"/>
    <mergeCell ref="E33:H33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85" orientation="landscape" r:id="rId1"/>
  <rowBreaks count="1" manualBreakCount="1">
    <brk id="32" max="12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94F4C-FC03-48F3-BE78-03D75B3F5153}">
  <sheetPr>
    <tabColor theme="5"/>
  </sheetPr>
  <dimension ref="A1:S342"/>
  <sheetViews>
    <sheetView view="pageBreakPreview" topLeftCell="A150" zoomScale="106" zoomScaleNormal="100" zoomScaleSheetLayoutView="106" workbookViewId="0">
      <selection activeCell="E149" sqref="E149"/>
    </sheetView>
  </sheetViews>
  <sheetFormatPr defaultRowHeight="15" x14ac:dyDescent="0.25"/>
  <cols>
    <col min="1" max="1" width="4.7109375" style="183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91" customWidth="1"/>
    <col min="10" max="10" width="9.5703125" customWidth="1"/>
    <col min="11" max="11" width="17.85546875" customWidth="1"/>
    <col min="15" max="15" width="14.5703125" customWidth="1"/>
    <col min="16" max="16" width="20" customWidth="1"/>
  </cols>
  <sheetData>
    <row r="1" spans="1:19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</row>
    <row r="2" spans="1:19" ht="18" x14ac:dyDescent="0.25">
      <c r="A2" s="524" t="s">
        <v>2717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</row>
    <row r="3" spans="1:19" x14ac:dyDescent="0.25">
      <c r="B3" s="1"/>
      <c r="C3" s="3"/>
      <c r="D3" s="1"/>
      <c r="E3" s="1"/>
      <c r="G3" s="3"/>
      <c r="H3" s="67"/>
      <c r="I3" s="81"/>
      <c r="J3" s="82" t="s">
        <v>2905</v>
      </c>
      <c r="K3" s="83"/>
    </row>
    <row r="4" spans="1:19" x14ac:dyDescent="0.25">
      <c r="B4" s="1"/>
      <c r="C4" s="3"/>
      <c r="D4" s="1"/>
      <c r="E4" s="1"/>
      <c r="G4" s="3"/>
      <c r="H4" s="67"/>
      <c r="I4" s="84"/>
      <c r="J4" s="76" t="s">
        <v>93</v>
      </c>
      <c r="K4" s="96">
        <v>116</v>
      </c>
    </row>
    <row r="5" spans="1:19" x14ac:dyDescent="0.25">
      <c r="B5" s="1"/>
      <c r="C5" s="3"/>
      <c r="D5" s="1"/>
      <c r="E5" s="1"/>
      <c r="G5" s="3"/>
      <c r="H5" s="67"/>
      <c r="I5" s="84"/>
      <c r="J5" s="76" t="s">
        <v>95</v>
      </c>
      <c r="K5" s="96">
        <v>16</v>
      </c>
      <c r="P5" s="448">
        <f>SUM(I12:I45,I51:I60,I62:I78,I87:I95,I97:I106)</f>
        <v>74255</v>
      </c>
    </row>
    <row r="6" spans="1:19" x14ac:dyDescent="0.25">
      <c r="A6" s="534" t="s">
        <v>123</v>
      </c>
      <c r="B6" s="534"/>
      <c r="C6" s="3"/>
      <c r="D6" s="1"/>
      <c r="E6" s="4"/>
      <c r="G6" s="3"/>
      <c r="H6" s="67"/>
      <c r="I6" s="81"/>
      <c r="J6" s="80" t="s">
        <v>2906</v>
      </c>
      <c r="K6" s="85"/>
      <c r="P6" s="135"/>
    </row>
    <row r="7" spans="1:19" x14ac:dyDescent="0.25">
      <c r="A7" s="6"/>
      <c r="B7" s="7"/>
      <c r="C7" s="64"/>
      <c r="D7" s="8"/>
      <c r="E7" s="8"/>
      <c r="F7" s="529" t="s">
        <v>1</v>
      </c>
      <c r="G7" s="535"/>
      <c r="H7" s="530"/>
      <c r="I7" s="86"/>
      <c r="J7" s="531" t="s">
        <v>2</v>
      </c>
      <c r="K7" s="532"/>
      <c r="P7" s="25"/>
    </row>
    <row r="8" spans="1:19" x14ac:dyDescent="0.25">
      <c r="A8" s="519" t="s">
        <v>3</v>
      </c>
      <c r="B8" s="520"/>
      <c r="C8" s="17" t="s">
        <v>4</v>
      </c>
      <c r="D8" s="184" t="s">
        <v>5</v>
      </c>
      <c r="E8" s="9" t="s">
        <v>6</v>
      </c>
      <c r="F8" s="10" t="s">
        <v>7</v>
      </c>
      <c r="G8" s="65"/>
      <c r="H8" s="11" t="s">
        <v>8</v>
      </c>
      <c r="I8" s="60" t="s">
        <v>9</v>
      </c>
      <c r="J8" s="77"/>
      <c r="K8" s="13"/>
    </row>
    <row r="9" spans="1:19" x14ac:dyDescent="0.25">
      <c r="A9" s="87"/>
      <c r="B9" s="14"/>
      <c r="C9" s="65"/>
      <c r="D9" s="15"/>
      <c r="E9" s="14"/>
      <c r="F9" s="16" t="s">
        <v>10</v>
      </c>
      <c r="G9" s="17" t="s">
        <v>11</v>
      </c>
      <c r="H9" s="11" t="s">
        <v>12</v>
      </c>
      <c r="I9" s="88"/>
      <c r="J9" s="184" t="s">
        <v>13</v>
      </c>
      <c r="K9" s="184" t="s">
        <v>14</v>
      </c>
      <c r="Q9" s="232"/>
    </row>
    <row r="10" spans="1:19" x14ac:dyDescent="0.25">
      <c r="A10" s="18"/>
      <c r="B10" s="19"/>
      <c r="C10" s="66"/>
      <c r="D10" s="20"/>
      <c r="E10" s="20"/>
      <c r="F10" s="21"/>
      <c r="G10" s="68"/>
      <c r="H10" s="69" t="s">
        <v>15</v>
      </c>
      <c r="I10" s="89"/>
      <c r="J10" s="21"/>
      <c r="K10" s="22" t="s">
        <v>16</v>
      </c>
      <c r="P10" s="232"/>
      <c r="Q10" s="232"/>
    </row>
    <row r="11" spans="1:19" x14ac:dyDescent="0.25">
      <c r="A11" s="47" t="s">
        <v>17</v>
      </c>
      <c r="B11" s="23"/>
      <c r="C11" s="23"/>
      <c r="D11" s="23"/>
      <c r="E11" s="23"/>
      <c r="F11" s="23"/>
      <c r="G11" s="23"/>
      <c r="H11" s="23"/>
      <c r="I11" s="61"/>
      <c r="J11" s="23"/>
      <c r="K11" s="23"/>
      <c r="O11" s="426" t="s">
        <v>2749</v>
      </c>
      <c r="P11" s="232"/>
      <c r="Q11" s="400" t="s">
        <v>2268</v>
      </c>
      <c r="R11" s="401" t="s">
        <v>48</v>
      </c>
      <c r="S11" s="401" t="s">
        <v>2315</v>
      </c>
    </row>
    <row r="12" spans="1:19" x14ac:dyDescent="0.25">
      <c r="A12" s="203">
        <v>1</v>
      </c>
      <c r="B12" s="205" t="s">
        <v>1727</v>
      </c>
      <c r="C12" s="438" t="s">
        <v>48</v>
      </c>
      <c r="D12" s="205" t="s">
        <v>141</v>
      </c>
      <c r="E12" s="205" t="s">
        <v>45</v>
      </c>
      <c r="F12" s="206"/>
      <c r="G12" s="208" t="s">
        <v>42</v>
      </c>
      <c r="H12" s="207">
        <v>2500</v>
      </c>
      <c r="I12" s="204">
        <v>500</v>
      </c>
      <c r="J12" s="205" t="s">
        <v>179</v>
      </c>
      <c r="K12" s="205" t="s">
        <v>43</v>
      </c>
      <c r="M12">
        <f t="shared" ref="M12:M153" si="0">H12/5</f>
        <v>500</v>
      </c>
      <c r="O12" s="377" t="s">
        <v>42</v>
      </c>
      <c r="P12" s="232">
        <f>SUM(H12:H23,H25:H28,H30:H33,H35:H36,H39:H42,H44,H45)</f>
        <v>90950</v>
      </c>
      <c r="Q12">
        <v>25</v>
      </c>
      <c r="R12">
        <v>3</v>
      </c>
      <c r="S12" t="s">
        <v>2316</v>
      </c>
    </row>
    <row r="13" spans="1:19" x14ac:dyDescent="0.25">
      <c r="A13" s="203">
        <v>1</v>
      </c>
      <c r="B13" s="205" t="s">
        <v>2329</v>
      </c>
      <c r="C13" s="438" t="s">
        <v>48</v>
      </c>
      <c r="D13" s="205" t="s">
        <v>699</v>
      </c>
      <c r="E13" s="205" t="s">
        <v>50</v>
      </c>
      <c r="F13" s="206"/>
      <c r="G13" s="208" t="s">
        <v>42</v>
      </c>
      <c r="H13" s="207">
        <v>1000</v>
      </c>
      <c r="I13" s="204">
        <v>200</v>
      </c>
      <c r="J13" s="205" t="s">
        <v>179</v>
      </c>
      <c r="K13" s="205" t="s">
        <v>43</v>
      </c>
      <c r="M13">
        <f t="shared" si="0"/>
        <v>200</v>
      </c>
      <c r="O13" s="377" t="s">
        <v>163</v>
      </c>
      <c r="P13" s="232">
        <f>SUM(H24,H29,H34,H37:H38,H43)</f>
        <v>20200</v>
      </c>
      <c r="Q13">
        <v>5</v>
      </c>
      <c r="R13">
        <v>1</v>
      </c>
    </row>
    <row r="14" spans="1:19" x14ac:dyDescent="0.25">
      <c r="A14" s="203">
        <v>1</v>
      </c>
      <c r="B14" s="205" t="s">
        <v>2718</v>
      </c>
      <c r="C14" s="205" t="s">
        <v>40</v>
      </c>
      <c r="D14" s="205" t="s">
        <v>2719</v>
      </c>
      <c r="E14" s="205" t="s">
        <v>70</v>
      </c>
      <c r="F14" s="206"/>
      <c r="G14" s="208" t="s">
        <v>42</v>
      </c>
      <c r="H14" s="207">
        <v>1000</v>
      </c>
      <c r="I14" s="204">
        <v>200</v>
      </c>
      <c r="J14" s="205" t="s">
        <v>179</v>
      </c>
      <c r="K14" s="205" t="s">
        <v>43</v>
      </c>
      <c r="M14">
        <f t="shared" si="0"/>
        <v>200</v>
      </c>
      <c r="O14" s="399" t="s">
        <v>2809</v>
      </c>
      <c r="P14" s="232"/>
    </row>
    <row r="15" spans="1:19" x14ac:dyDescent="0.25">
      <c r="A15" s="203">
        <v>1</v>
      </c>
      <c r="B15" s="205" t="s">
        <v>2720</v>
      </c>
      <c r="C15" s="205" t="s">
        <v>40</v>
      </c>
      <c r="D15" s="205" t="s">
        <v>899</v>
      </c>
      <c r="E15" s="205" t="s">
        <v>57</v>
      </c>
      <c r="F15" s="206"/>
      <c r="G15" s="208" t="s">
        <v>42</v>
      </c>
      <c r="H15" s="207">
        <v>1000</v>
      </c>
      <c r="I15" s="204">
        <v>200</v>
      </c>
      <c r="J15" s="205" t="s">
        <v>179</v>
      </c>
      <c r="K15" s="205" t="s">
        <v>43</v>
      </c>
      <c r="M15">
        <f t="shared" si="0"/>
        <v>200</v>
      </c>
      <c r="O15" s="377" t="s">
        <v>42</v>
      </c>
      <c r="P15" s="232">
        <f>SUM(H46:H53,H59,H61:H65,H67:H85,H86)</f>
        <v>64340</v>
      </c>
      <c r="Q15">
        <v>33</v>
      </c>
      <c r="R15">
        <v>1</v>
      </c>
      <c r="S15" t="s">
        <v>2715</v>
      </c>
    </row>
    <row r="16" spans="1:19" x14ac:dyDescent="0.25">
      <c r="A16" s="203">
        <v>1</v>
      </c>
      <c r="B16" s="205" t="s">
        <v>2721</v>
      </c>
      <c r="C16" s="205" t="s">
        <v>40</v>
      </c>
      <c r="D16" s="205" t="s">
        <v>868</v>
      </c>
      <c r="E16" s="205" t="s">
        <v>57</v>
      </c>
      <c r="F16" s="206"/>
      <c r="G16" s="208" t="s">
        <v>42</v>
      </c>
      <c r="H16" s="207">
        <v>1500</v>
      </c>
      <c r="I16" s="204">
        <v>300</v>
      </c>
      <c r="J16" s="205" t="s">
        <v>179</v>
      </c>
      <c r="K16" s="205" t="s">
        <v>43</v>
      </c>
      <c r="M16">
        <f t="shared" si="0"/>
        <v>300</v>
      </c>
      <c r="O16" s="377" t="s">
        <v>163</v>
      </c>
      <c r="P16" s="232">
        <f>SUM(H54:H58,H60,H66)</f>
        <v>8000</v>
      </c>
      <c r="Q16">
        <v>7</v>
      </c>
    </row>
    <row r="17" spans="1:19" x14ac:dyDescent="0.25">
      <c r="A17" s="203">
        <v>1</v>
      </c>
      <c r="B17" s="205" t="s">
        <v>2722</v>
      </c>
      <c r="C17" s="205" t="s">
        <v>40</v>
      </c>
      <c r="D17" s="205" t="s">
        <v>372</v>
      </c>
      <c r="E17" s="205" t="s">
        <v>44</v>
      </c>
      <c r="F17" s="206" t="s">
        <v>2723</v>
      </c>
      <c r="G17" s="208" t="s">
        <v>42</v>
      </c>
      <c r="H17" s="207">
        <v>1000</v>
      </c>
      <c r="I17" s="204">
        <v>200</v>
      </c>
      <c r="J17" s="205" t="s">
        <v>179</v>
      </c>
      <c r="K17" s="205" t="s">
        <v>43</v>
      </c>
      <c r="M17">
        <f t="shared" si="0"/>
        <v>200</v>
      </c>
      <c r="O17" s="399" t="s">
        <v>2837</v>
      </c>
      <c r="P17" s="232"/>
    </row>
    <row r="18" spans="1:19" x14ac:dyDescent="0.25">
      <c r="A18" s="203">
        <v>1</v>
      </c>
      <c r="B18" s="205" t="s">
        <v>2724</v>
      </c>
      <c r="C18" s="205" t="s">
        <v>40</v>
      </c>
      <c r="D18" s="205" t="s">
        <v>2589</v>
      </c>
      <c r="E18" s="205" t="s">
        <v>59</v>
      </c>
      <c r="F18" s="206" t="s">
        <v>2725</v>
      </c>
      <c r="G18" s="208" t="s">
        <v>42</v>
      </c>
      <c r="H18" s="207">
        <v>3500</v>
      </c>
      <c r="I18" s="204">
        <v>700</v>
      </c>
      <c r="J18" s="205" t="s">
        <v>179</v>
      </c>
      <c r="K18" s="205" t="s">
        <v>43</v>
      </c>
      <c r="M18">
        <f t="shared" si="0"/>
        <v>700</v>
      </c>
      <c r="O18" s="377" t="s">
        <v>42</v>
      </c>
      <c r="P18" s="233">
        <f>SUM(H87:H101,H103:H106)</f>
        <v>69650</v>
      </c>
      <c r="Q18" s="25">
        <v>14</v>
      </c>
      <c r="R18">
        <v>4</v>
      </c>
      <c r="S18" t="s">
        <v>2543</v>
      </c>
    </row>
    <row r="19" spans="1:19" x14ac:dyDescent="0.25">
      <c r="A19" s="203">
        <v>1</v>
      </c>
      <c r="B19" s="205" t="s">
        <v>2726</v>
      </c>
      <c r="C19" s="205" t="s">
        <v>40</v>
      </c>
      <c r="D19" s="205" t="s">
        <v>156</v>
      </c>
      <c r="E19" s="205" t="s">
        <v>44</v>
      </c>
      <c r="F19" s="206" t="s">
        <v>2727</v>
      </c>
      <c r="G19" s="208" t="s">
        <v>42</v>
      </c>
      <c r="H19" s="207">
        <v>2000</v>
      </c>
      <c r="I19" s="204">
        <v>400</v>
      </c>
      <c r="J19" s="205" t="s">
        <v>179</v>
      </c>
      <c r="K19" s="205" t="s">
        <v>43</v>
      </c>
      <c r="M19">
        <f t="shared" si="0"/>
        <v>400</v>
      </c>
      <c r="O19" s="377" t="s">
        <v>163</v>
      </c>
      <c r="P19" s="232">
        <v>1500</v>
      </c>
      <c r="Q19">
        <v>1</v>
      </c>
    </row>
    <row r="20" spans="1:19" x14ac:dyDescent="0.25">
      <c r="A20" s="203">
        <v>1</v>
      </c>
      <c r="B20" s="205" t="s">
        <v>2728</v>
      </c>
      <c r="C20" s="205" t="s">
        <v>40</v>
      </c>
      <c r="D20" s="205" t="s">
        <v>952</v>
      </c>
      <c r="E20" s="205" t="s">
        <v>67</v>
      </c>
      <c r="F20" s="206"/>
      <c r="G20" s="208" t="s">
        <v>42</v>
      </c>
      <c r="H20" s="207">
        <v>4000</v>
      </c>
      <c r="I20" s="204">
        <v>800</v>
      </c>
      <c r="J20" s="205" t="s">
        <v>179</v>
      </c>
      <c r="K20" s="205" t="s">
        <v>43</v>
      </c>
      <c r="M20">
        <f t="shared" si="0"/>
        <v>800</v>
      </c>
      <c r="O20" s="399" t="s">
        <v>2899</v>
      </c>
      <c r="P20" s="232"/>
    </row>
    <row r="21" spans="1:19" x14ac:dyDescent="0.25">
      <c r="A21" s="203">
        <v>1</v>
      </c>
      <c r="B21" s="205" t="s">
        <v>2729</v>
      </c>
      <c r="C21" s="205" t="s">
        <v>40</v>
      </c>
      <c r="D21" s="205" t="s">
        <v>2319</v>
      </c>
      <c r="E21" s="205" t="s">
        <v>47</v>
      </c>
      <c r="F21" s="206"/>
      <c r="G21" s="208" t="s">
        <v>42</v>
      </c>
      <c r="H21" s="207">
        <v>3500</v>
      </c>
      <c r="I21" s="204">
        <v>700</v>
      </c>
      <c r="J21" s="205" t="s">
        <v>179</v>
      </c>
      <c r="K21" s="205" t="s">
        <v>43</v>
      </c>
      <c r="M21">
        <f t="shared" si="0"/>
        <v>700</v>
      </c>
      <c r="O21" s="376" t="s">
        <v>42</v>
      </c>
      <c r="P21" s="232">
        <f>SUM(H107:H151)</f>
        <v>161150</v>
      </c>
      <c r="Q21">
        <v>36</v>
      </c>
      <c r="R21">
        <v>7</v>
      </c>
      <c r="S21" t="s">
        <v>2316</v>
      </c>
    </row>
    <row r="22" spans="1:19" x14ac:dyDescent="0.25">
      <c r="A22" s="203">
        <v>1</v>
      </c>
      <c r="B22" s="205" t="s">
        <v>2730</v>
      </c>
      <c r="C22" s="438" t="s">
        <v>48</v>
      </c>
      <c r="D22" s="205" t="s">
        <v>2731</v>
      </c>
      <c r="E22" s="205" t="s">
        <v>66</v>
      </c>
      <c r="F22" s="206"/>
      <c r="G22" s="208" t="s">
        <v>42</v>
      </c>
      <c r="H22" s="207">
        <v>1500</v>
      </c>
      <c r="I22" s="204">
        <v>300</v>
      </c>
      <c r="J22" s="205" t="s">
        <v>179</v>
      </c>
      <c r="K22" s="205" t="s">
        <v>43</v>
      </c>
      <c r="M22">
        <f t="shared" si="0"/>
        <v>300</v>
      </c>
      <c r="O22" s="377"/>
      <c r="P22" s="232"/>
    </row>
    <row r="23" spans="1:19" x14ac:dyDescent="0.25">
      <c r="A23" s="203">
        <v>1</v>
      </c>
      <c r="B23" s="205" t="s">
        <v>2732</v>
      </c>
      <c r="C23" s="205" t="s">
        <v>40</v>
      </c>
      <c r="D23" s="205" t="s">
        <v>1041</v>
      </c>
      <c r="E23" s="205" t="s">
        <v>46</v>
      </c>
      <c r="F23" s="206" t="s">
        <v>2733</v>
      </c>
      <c r="G23" s="208" t="s">
        <v>42</v>
      </c>
      <c r="H23" s="207">
        <v>12000</v>
      </c>
      <c r="I23" s="204">
        <v>2400</v>
      </c>
      <c r="J23" s="205" t="s">
        <v>179</v>
      </c>
      <c r="K23" s="205" t="s">
        <v>43</v>
      </c>
      <c r="M23">
        <f t="shared" si="0"/>
        <v>2400</v>
      </c>
      <c r="O23" s="376"/>
      <c r="P23" s="233"/>
    </row>
    <row r="24" spans="1:19" x14ac:dyDescent="0.25">
      <c r="A24" s="203">
        <v>1</v>
      </c>
      <c r="B24" s="205" t="s">
        <v>2732</v>
      </c>
      <c r="C24" s="205" t="s">
        <v>40</v>
      </c>
      <c r="D24" s="205" t="s">
        <v>1041</v>
      </c>
      <c r="E24" s="205" t="s">
        <v>46</v>
      </c>
      <c r="F24" s="206" t="s">
        <v>2733</v>
      </c>
      <c r="G24" s="393" t="s">
        <v>163</v>
      </c>
      <c r="H24" s="207">
        <v>200</v>
      </c>
      <c r="I24" s="204">
        <v>200</v>
      </c>
      <c r="J24" s="205" t="s">
        <v>179</v>
      </c>
      <c r="K24" s="205" t="s">
        <v>43</v>
      </c>
      <c r="M24">
        <f t="shared" si="0"/>
        <v>40</v>
      </c>
      <c r="O24" s="377"/>
      <c r="P24" s="233"/>
    </row>
    <row r="25" spans="1:19" x14ac:dyDescent="0.25">
      <c r="A25" s="203">
        <v>1</v>
      </c>
      <c r="B25" s="205" t="s">
        <v>2734</v>
      </c>
      <c r="C25" s="205" t="s">
        <v>40</v>
      </c>
      <c r="D25" s="205" t="s">
        <v>931</v>
      </c>
      <c r="E25" s="205" t="s">
        <v>44</v>
      </c>
      <c r="F25" s="206"/>
      <c r="G25" s="208" t="s">
        <v>42</v>
      </c>
      <c r="H25" s="207">
        <v>2000</v>
      </c>
      <c r="I25" s="204">
        <v>400</v>
      </c>
      <c r="J25" s="205" t="s">
        <v>179</v>
      </c>
      <c r="K25" s="205" t="s">
        <v>43</v>
      </c>
      <c r="M25">
        <f t="shared" si="0"/>
        <v>400</v>
      </c>
      <c r="O25" s="377"/>
      <c r="P25" s="25"/>
      <c r="Q25" s="25"/>
    </row>
    <row r="26" spans="1:19" x14ac:dyDescent="0.25">
      <c r="A26" s="203">
        <v>1</v>
      </c>
      <c r="B26" s="205" t="s">
        <v>724</v>
      </c>
      <c r="C26" s="205" t="s">
        <v>40</v>
      </c>
      <c r="D26" s="205" t="s">
        <v>725</v>
      </c>
      <c r="E26" s="205" t="s">
        <v>45</v>
      </c>
      <c r="F26" s="206"/>
      <c r="G26" s="208" t="s">
        <v>42</v>
      </c>
      <c r="H26" s="207">
        <v>2500</v>
      </c>
      <c r="I26" s="204">
        <v>500</v>
      </c>
      <c r="J26" s="205" t="s">
        <v>179</v>
      </c>
      <c r="K26" s="205" t="s">
        <v>43</v>
      </c>
      <c r="M26">
        <f t="shared" si="0"/>
        <v>500</v>
      </c>
      <c r="O26" s="376"/>
      <c r="P26" s="25"/>
      <c r="Q26" s="25"/>
    </row>
    <row r="27" spans="1:19" x14ac:dyDescent="0.25">
      <c r="A27" s="203">
        <v>1</v>
      </c>
      <c r="B27" s="205" t="s">
        <v>475</v>
      </c>
      <c r="C27" s="205" t="s">
        <v>40</v>
      </c>
      <c r="D27" s="205" t="s">
        <v>2303</v>
      </c>
      <c r="E27" s="205" t="s">
        <v>88</v>
      </c>
      <c r="F27" s="206"/>
      <c r="G27" s="208" t="s">
        <v>42</v>
      </c>
      <c r="H27" s="207">
        <v>5000</v>
      </c>
      <c r="I27" s="204">
        <v>1000</v>
      </c>
      <c r="J27" s="205" t="s">
        <v>179</v>
      </c>
      <c r="K27" s="205" t="s">
        <v>43</v>
      </c>
      <c r="M27">
        <f t="shared" si="0"/>
        <v>1000</v>
      </c>
      <c r="O27" s="380"/>
      <c r="P27" s="25"/>
    </row>
    <row r="28" spans="1:19" x14ac:dyDescent="0.25">
      <c r="A28" s="203">
        <v>1</v>
      </c>
      <c r="B28" s="205" t="s">
        <v>2735</v>
      </c>
      <c r="C28" s="205" t="s">
        <v>40</v>
      </c>
      <c r="D28" s="205" t="s">
        <v>156</v>
      </c>
      <c r="E28" s="205" t="s">
        <v>44</v>
      </c>
      <c r="F28" s="206"/>
      <c r="G28" s="208" t="s">
        <v>42</v>
      </c>
      <c r="H28" s="207">
        <v>4000</v>
      </c>
      <c r="I28" s="204">
        <v>800</v>
      </c>
      <c r="J28" s="205" t="s">
        <v>179</v>
      </c>
      <c r="K28" s="205" t="s">
        <v>43</v>
      </c>
      <c r="M28">
        <f t="shared" si="0"/>
        <v>800</v>
      </c>
      <c r="O28" s="376"/>
      <c r="P28" s="25"/>
    </row>
    <row r="29" spans="1:19" x14ac:dyDescent="0.25">
      <c r="A29" s="203">
        <v>1</v>
      </c>
      <c r="B29" s="205" t="s">
        <v>2735</v>
      </c>
      <c r="C29" s="205" t="s">
        <v>40</v>
      </c>
      <c r="D29" s="205" t="s">
        <v>156</v>
      </c>
      <c r="E29" s="205" t="s">
        <v>44</v>
      </c>
      <c r="F29" s="206"/>
      <c r="G29" s="393" t="s">
        <v>163</v>
      </c>
      <c r="H29" s="207">
        <v>5000</v>
      </c>
      <c r="I29" s="204">
        <v>5000</v>
      </c>
      <c r="J29" s="205" t="s">
        <v>179</v>
      </c>
      <c r="K29" s="205" t="s">
        <v>43</v>
      </c>
      <c r="M29">
        <f t="shared" si="0"/>
        <v>1000</v>
      </c>
      <c r="O29" s="377"/>
      <c r="P29" s="57"/>
    </row>
    <row r="30" spans="1:19" x14ac:dyDescent="0.25">
      <c r="A30" s="203">
        <v>1</v>
      </c>
      <c r="B30" s="205" t="s">
        <v>2652</v>
      </c>
      <c r="C30" s="205" t="s">
        <v>40</v>
      </c>
      <c r="D30" s="205" t="s">
        <v>1719</v>
      </c>
      <c r="E30" s="205" t="s">
        <v>52</v>
      </c>
      <c r="F30" s="206"/>
      <c r="G30" s="208" t="s">
        <v>42</v>
      </c>
      <c r="H30" s="207">
        <v>1000</v>
      </c>
      <c r="I30" s="204">
        <v>200</v>
      </c>
      <c r="J30" s="205" t="s">
        <v>179</v>
      </c>
      <c r="K30" s="205" t="s">
        <v>43</v>
      </c>
      <c r="M30">
        <f t="shared" si="0"/>
        <v>200</v>
      </c>
      <c r="O30" s="376"/>
      <c r="P30" s="57"/>
    </row>
    <row r="31" spans="1:19" x14ac:dyDescent="0.25">
      <c r="A31" s="203">
        <v>4</v>
      </c>
      <c r="B31" s="205" t="s">
        <v>2736</v>
      </c>
      <c r="C31" s="205" t="s">
        <v>40</v>
      </c>
      <c r="D31" s="205" t="s">
        <v>488</v>
      </c>
      <c r="E31" s="205" t="s">
        <v>44</v>
      </c>
      <c r="F31" s="206" t="s">
        <v>2737</v>
      </c>
      <c r="G31" s="208" t="s">
        <v>42</v>
      </c>
      <c r="H31" s="207">
        <v>700</v>
      </c>
      <c r="I31" s="204">
        <v>140</v>
      </c>
      <c r="J31" s="205" t="s">
        <v>179</v>
      </c>
      <c r="K31" s="205" t="s">
        <v>43</v>
      </c>
      <c r="M31">
        <f t="shared" si="0"/>
        <v>140</v>
      </c>
      <c r="O31" s="376"/>
      <c r="P31" s="57"/>
    </row>
    <row r="32" spans="1:19" x14ac:dyDescent="0.25">
      <c r="A32" s="203">
        <v>4</v>
      </c>
      <c r="B32" s="205" t="s">
        <v>2738</v>
      </c>
      <c r="C32" s="205" t="s">
        <v>40</v>
      </c>
      <c r="D32" s="205" t="s">
        <v>2739</v>
      </c>
      <c r="E32" s="205" t="s">
        <v>70</v>
      </c>
      <c r="F32" s="206" t="s">
        <v>2740</v>
      </c>
      <c r="G32" s="208" t="s">
        <v>42</v>
      </c>
      <c r="H32" s="207">
        <v>250</v>
      </c>
      <c r="I32" s="204">
        <v>50</v>
      </c>
      <c r="J32" s="205" t="s">
        <v>179</v>
      </c>
      <c r="K32" s="205" t="s">
        <v>43</v>
      </c>
      <c r="M32">
        <f t="shared" si="0"/>
        <v>50</v>
      </c>
      <c r="O32" s="380"/>
      <c r="P32" s="25"/>
    </row>
    <row r="33" spans="1:16" ht="16.5" customHeight="1" x14ac:dyDescent="0.25">
      <c r="A33" s="203">
        <v>4</v>
      </c>
      <c r="B33" s="205" t="s">
        <v>2318</v>
      </c>
      <c r="C33" s="205" t="s">
        <v>40</v>
      </c>
      <c r="D33" s="205" t="s">
        <v>2319</v>
      </c>
      <c r="E33" s="205" t="s">
        <v>47</v>
      </c>
      <c r="F33" s="206" t="s">
        <v>2393</v>
      </c>
      <c r="G33" s="208" t="s">
        <v>42</v>
      </c>
      <c r="H33" s="207">
        <v>12000</v>
      </c>
      <c r="I33" s="204">
        <v>2400</v>
      </c>
      <c r="J33" s="205" t="s">
        <v>179</v>
      </c>
      <c r="K33" s="205" t="s">
        <v>43</v>
      </c>
      <c r="M33">
        <f t="shared" si="0"/>
        <v>2400</v>
      </c>
      <c r="O33" s="377"/>
      <c r="P33" s="57"/>
    </row>
    <row r="34" spans="1:16" x14ac:dyDescent="0.25">
      <c r="A34" s="203">
        <v>4</v>
      </c>
      <c r="B34" s="205" t="s">
        <v>2318</v>
      </c>
      <c r="C34" s="205" t="s">
        <v>40</v>
      </c>
      <c r="D34" s="205" t="s">
        <v>2319</v>
      </c>
      <c r="E34" s="205" t="s">
        <v>47</v>
      </c>
      <c r="F34" s="206" t="s">
        <v>2393</v>
      </c>
      <c r="G34" s="393" t="s">
        <v>163</v>
      </c>
      <c r="H34" s="207">
        <v>10000</v>
      </c>
      <c r="I34" s="204">
        <v>10000</v>
      </c>
      <c r="J34" s="205" t="s">
        <v>179</v>
      </c>
      <c r="K34" s="205" t="s">
        <v>43</v>
      </c>
      <c r="M34">
        <f t="shared" si="0"/>
        <v>2000</v>
      </c>
      <c r="O34" s="380"/>
      <c r="P34" s="57"/>
    </row>
    <row r="35" spans="1:16" x14ac:dyDescent="0.25">
      <c r="A35" s="203">
        <v>4</v>
      </c>
      <c r="B35" s="205" t="s">
        <v>2741</v>
      </c>
      <c r="C35" s="205" t="s">
        <v>40</v>
      </c>
      <c r="D35" s="205" t="s">
        <v>2742</v>
      </c>
      <c r="E35" s="205" t="s">
        <v>44</v>
      </c>
      <c r="F35" s="206"/>
      <c r="G35" s="208" t="s">
        <v>42</v>
      </c>
      <c r="H35" s="207">
        <v>2500</v>
      </c>
      <c r="I35" s="204">
        <v>500</v>
      </c>
      <c r="J35" s="205" t="s">
        <v>179</v>
      </c>
      <c r="K35" s="205" t="s">
        <v>43</v>
      </c>
      <c r="M35">
        <f t="shared" si="0"/>
        <v>500</v>
      </c>
      <c r="O35" s="187"/>
      <c r="P35" s="57"/>
    </row>
    <row r="36" spans="1:16" x14ac:dyDescent="0.25">
      <c r="A36" s="203">
        <v>4</v>
      </c>
      <c r="B36" s="205" t="s">
        <v>2743</v>
      </c>
      <c r="C36" s="205" t="s">
        <v>40</v>
      </c>
      <c r="D36" s="205" t="s">
        <v>288</v>
      </c>
      <c r="E36" s="205" t="s">
        <v>56</v>
      </c>
      <c r="F36" s="206"/>
      <c r="G36" s="208" t="s">
        <v>42</v>
      </c>
      <c r="H36" s="207">
        <v>1000</v>
      </c>
      <c r="I36" s="204">
        <v>200</v>
      </c>
      <c r="J36" s="205" t="s">
        <v>179</v>
      </c>
      <c r="K36" s="205" t="s">
        <v>43</v>
      </c>
      <c r="M36">
        <f t="shared" si="0"/>
        <v>200</v>
      </c>
      <c r="O36" s="187"/>
      <c r="P36" s="57"/>
    </row>
    <row r="37" spans="1:16" x14ac:dyDescent="0.25">
      <c r="A37" s="203">
        <v>4</v>
      </c>
      <c r="B37" s="205" t="s">
        <v>246</v>
      </c>
      <c r="C37" s="205" t="s">
        <v>40</v>
      </c>
      <c r="D37" s="205" t="s">
        <v>67</v>
      </c>
      <c r="E37" s="205" t="s">
        <v>60</v>
      </c>
      <c r="F37" s="206" t="s">
        <v>247</v>
      </c>
      <c r="G37" s="393" t="s">
        <v>163</v>
      </c>
      <c r="H37" s="207">
        <v>500</v>
      </c>
      <c r="I37" s="204">
        <v>500</v>
      </c>
      <c r="J37" s="205" t="s">
        <v>179</v>
      </c>
      <c r="K37" s="205" t="s">
        <v>43</v>
      </c>
      <c r="M37">
        <f t="shared" si="0"/>
        <v>100</v>
      </c>
      <c r="O37" s="377"/>
      <c r="P37" s="57"/>
    </row>
    <row r="38" spans="1:16" x14ac:dyDescent="0.25">
      <c r="A38" s="203">
        <v>4</v>
      </c>
      <c r="B38" s="205" t="s">
        <v>2744</v>
      </c>
      <c r="C38" s="205" t="s">
        <v>40</v>
      </c>
      <c r="D38" s="205" t="s">
        <v>1231</v>
      </c>
      <c r="E38" s="205" t="s">
        <v>52</v>
      </c>
      <c r="F38" s="206" t="s">
        <v>2746</v>
      </c>
      <c r="G38" s="393" t="s">
        <v>163</v>
      </c>
      <c r="H38" s="211">
        <v>1500</v>
      </c>
      <c r="I38" s="234">
        <v>1500</v>
      </c>
      <c r="J38" s="205" t="s">
        <v>179</v>
      </c>
      <c r="K38" s="205" t="s">
        <v>43</v>
      </c>
      <c r="M38">
        <f t="shared" si="0"/>
        <v>300</v>
      </c>
      <c r="P38" s="57"/>
    </row>
    <row r="39" spans="1:16" x14ac:dyDescent="0.25">
      <c r="A39" s="203">
        <v>4</v>
      </c>
      <c r="B39" s="205" t="s">
        <v>2745</v>
      </c>
      <c r="C39" s="205" t="s">
        <v>40</v>
      </c>
      <c r="D39" s="205" t="s">
        <v>562</v>
      </c>
      <c r="E39" s="205" t="s">
        <v>56</v>
      </c>
      <c r="F39" s="206"/>
      <c r="G39" s="205" t="s">
        <v>42</v>
      </c>
      <c r="H39" s="211">
        <v>8500</v>
      </c>
      <c r="I39" s="234">
        <v>2550</v>
      </c>
      <c r="J39" s="205" t="s">
        <v>179</v>
      </c>
      <c r="K39" s="205" t="s">
        <v>43</v>
      </c>
      <c r="M39">
        <f t="shared" si="0"/>
        <v>1700</v>
      </c>
      <c r="P39" s="57"/>
    </row>
    <row r="40" spans="1:16" x14ac:dyDescent="0.25">
      <c r="A40" s="203">
        <v>4</v>
      </c>
      <c r="B40" s="205" t="s">
        <v>2651</v>
      </c>
      <c r="C40" s="205" t="s">
        <v>40</v>
      </c>
      <c r="D40" s="205" t="s">
        <v>1478</v>
      </c>
      <c r="E40" s="205" t="s">
        <v>45</v>
      </c>
      <c r="F40" s="206"/>
      <c r="G40" s="205" t="s">
        <v>42</v>
      </c>
      <c r="H40" s="211">
        <v>1000</v>
      </c>
      <c r="I40" s="234">
        <v>200</v>
      </c>
      <c r="J40" s="205" t="s">
        <v>179</v>
      </c>
      <c r="K40" s="205" t="s">
        <v>43</v>
      </c>
      <c r="M40">
        <f t="shared" si="0"/>
        <v>200</v>
      </c>
      <c r="P40" s="57"/>
    </row>
    <row r="41" spans="1:16" x14ac:dyDescent="0.25">
      <c r="A41" s="203">
        <v>4</v>
      </c>
      <c r="B41" s="205" t="s">
        <v>2747</v>
      </c>
      <c r="C41" s="205" t="s">
        <v>40</v>
      </c>
      <c r="D41" s="205" t="s">
        <v>2748</v>
      </c>
      <c r="E41" s="205" t="s">
        <v>63</v>
      </c>
      <c r="F41" s="206"/>
      <c r="G41" s="208" t="s">
        <v>42</v>
      </c>
      <c r="H41" s="211">
        <v>2000</v>
      </c>
      <c r="I41" s="234">
        <v>400</v>
      </c>
      <c r="J41" s="205" t="s">
        <v>179</v>
      </c>
      <c r="K41" s="205" t="s">
        <v>43</v>
      </c>
      <c r="M41">
        <f t="shared" si="0"/>
        <v>400</v>
      </c>
      <c r="O41" s="340"/>
      <c r="P41" s="57"/>
    </row>
    <row r="42" spans="1:16" x14ac:dyDescent="0.25">
      <c r="A42" s="203">
        <v>4</v>
      </c>
      <c r="B42" s="205" t="s">
        <v>1705</v>
      </c>
      <c r="C42" s="205" t="s">
        <v>40</v>
      </c>
      <c r="D42" s="205" t="s">
        <v>1610</v>
      </c>
      <c r="E42" s="205" t="s">
        <v>60</v>
      </c>
      <c r="F42" s="206"/>
      <c r="G42" s="208" t="s">
        <v>42</v>
      </c>
      <c r="H42" s="211">
        <v>8000</v>
      </c>
      <c r="I42" s="234">
        <v>1600</v>
      </c>
      <c r="J42" s="205" t="s">
        <v>179</v>
      </c>
      <c r="K42" s="205" t="s">
        <v>43</v>
      </c>
      <c r="M42">
        <f t="shared" si="0"/>
        <v>1600</v>
      </c>
      <c r="P42" s="57"/>
    </row>
    <row r="43" spans="1:16" x14ac:dyDescent="0.25">
      <c r="A43" s="203">
        <v>4</v>
      </c>
      <c r="B43" s="205" t="s">
        <v>2165</v>
      </c>
      <c r="C43" s="393" t="s">
        <v>48</v>
      </c>
      <c r="D43" s="205" t="s">
        <v>2166</v>
      </c>
      <c r="E43" s="205" t="s">
        <v>58</v>
      </c>
      <c r="F43" s="206" t="s">
        <v>2167</v>
      </c>
      <c r="G43" s="393" t="s">
        <v>163</v>
      </c>
      <c r="H43" s="211">
        <v>3000</v>
      </c>
      <c r="I43" s="234">
        <v>3000</v>
      </c>
      <c r="J43" s="205" t="s">
        <v>179</v>
      </c>
      <c r="K43" s="205" t="s">
        <v>43</v>
      </c>
      <c r="M43">
        <f t="shared" si="0"/>
        <v>600</v>
      </c>
    </row>
    <row r="44" spans="1:16" x14ac:dyDescent="0.25">
      <c r="A44" s="203">
        <v>4</v>
      </c>
      <c r="B44" s="205" t="s">
        <v>2750</v>
      </c>
      <c r="C44" s="205" t="s">
        <v>40</v>
      </c>
      <c r="D44" s="205" t="s">
        <v>899</v>
      </c>
      <c r="E44" s="205" t="s">
        <v>57</v>
      </c>
      <c r="F44" s="206"/>
      <c r="G44" s="208" t="s">
        <v>42</v>
      </c>
      <c r="H44" s="211">
        <v>1000</v>
      </c>
      <c r="I44" s="234">
        <v>200</v>
      </c>
      <c r="J44" s="205" t="s">
        <v>179</v>
      </c>
      <c r="K44" s="205" t="s">
        <v>43</v>
      </c>
      <c r="M44">
        <f t="shared" si="0"/>
        <v>200</v>
      </c>
      <c r="O44" s="340"/>
    </row>
    <row r="45" spans="1:16" x14ac:dyDescent="0.25">
      <c r="A45" s="321">
        <v>4</v>
      </c>
      <c r="B45" s="205" t="s">
        <v>2753</v>
      </c>
      <c r="C45" s="205" t="s">
        <v>40</v>
      </c>
      <c r="D45" s="205" t="s">
        <v>2754</v>
      </c>
      <c r="E45" s="205" t="s">
        <v>78</v>
      </c>
      <c r="F45" s="206"/>
      <c r="G45" s="205" t="s">
        <v>42</v>
      </c>
      <c r="H45" s="211">
        <v>5000</v>
      </c>
      <c r="I45" s="234">
        <v>1000</v>
      </c>
      <c r="J45" s="205" t="s">
        <v>179</v>
      </c>
      <c r="K45" s="205" t="s">
        <v>43</v>
      </c>
      <c r="M45">
        <f t="shared" si="0"/>
        <v>1000</v>
      </c>
      <c r="P45" s="342"/>
    </row>
    <row r="46" spans="1:16" x14ac:dyDescent="0.25">
      <c r="A46" s="203">
        <v>5</v>
      </c>
      <c r="B46" s="205" t="s">
        <v>2755</v>
      </c>
      <c r="C46" s="438" t="s">
        <v>48</v>
      </c>
      <c r="D46" s="205" t="s">
        <v>2758</v>
      </c>
      <c r="E46" s="205" t="s">
        <v>51</v>
      </c>
      <c r="F46" s="206" t="s">
        <v>2756</v>
      </c>
      <c r="G46" s="208" t="s">
        <v>42</v>
      </c>
      <c r="H46" s="211">
        <v>135</v>
      </c>
      <c r="I46" s="234" t="s">
        <v>255</v>
      </c>
      <c r="J46" s="205" t="s">
        <v>179</v>
      </c>
      <c r="K46" s="205" t="s">
        <v>43</v>
      </c>
      <c r="M46">
        <f t="shared" si="0"/>
        <v>27</v>
      </c>
    </row>
    <row r="47" spans="1:16" x14ac:dyDescent="0.25">
      <c r="A47" s="203">
        <v>5</v>
      </c>
      <c r="B47" s="205" t="s">
        <v>2757</v>
      </c>
      <c r="C47" s="205" t="s">
        <v>40</v>
      </c>
      <c r="D47" s="205" t="s">
        <v>2758</v>
      </c>
      <c r="E47" s="205" t="s">
        <v>51</v>
      </c>
      <c r="F47" s="206"/>
      <c r="G47" s="205" t="s">
        <v>42</v>
      </c>
      <c r="H47" s="211">
        <v>100</v>
      </c>
      <c r="I47" s="234" t="s">
        <v>255</v>
      </c>
      <c r="J47" s="205" t="s">
        <v>179</v>
      </c>
      <c r="K47" s="205" t="s">
        <v>43</v>
      </c>
      <c r="M47">
        <f t="shared" si="0"/>
        <v>20</v>
      </c>
      <c r="O47" s="340"/>
    </row>
    <row r="48" spans="1:16" x14ac:dyDescent="0.25">
      <c r="A48" s="203">
        <v>5</v>
      </c>
      <c r="B48" s="205" t="s">
        <v>2759</v>
      </c>
      <c r="C48" s="205" t="s">
        <v>40</v>
      </c>
      <c r="D48" s="205" t="s">
        <v>2758</v>
      </c>
      <c r="E48" s="205" t="s">
        <v>51</v>
      </c>
      <c r="F48" s="206"/>
      <c r="G48" s="208" t="s">
        <v>42</v>
      </c>
      <c r="H48" s="211">
        <v>180</v>
      </c>
      <c r="I48" s="234" t="s">
        <v>255</v>
      </c>
      <c r="J48" s="205" t="s">
        <v>179</v>
      </c>
      <c r="K48" s="205" t="s">
        <v>43</v>
      </c>
      <c r="M48">
        <f t="shared" si="0"/>
        <v>36</v>
      </c>
      <c r="P48" s="342"/>
    </row>
    <row r="49" spans="1:16" x14ac:dyDescent="0.25">
      <c r="A49" s="203">
        <v>5</v>
      </c>
      <c r="B49" s="205" t="s">
        <v>2760</v>
      </c>
      <c r="C49" s="205" t="s">
        <v>40</v>
      </c>
      <c r="D49" s="205" t="s">
        <v>2758</v>
      </c>
      <c r="E49" s="205" t="s">
        <v>51</v>
      </c>
      <c r="F49" s="206"/>
      <c r="G49" s="208" t="s">
        <v>42</v>
      </c>
      <c r="H49" s="211">
        <v>50</v>
      </c>
      <c r="I49" s="234" t="s">
        <v>255</v>
      </c>
      <c r="J49" s="205" t="s">
        <v>179</v>
      </c>
      <c r="K49" s="205" t="s">
        <v>43</v>
      </c>
      <c r="M49">
        <f t="shared" si="0"/>
        <v>10</v>
      </c>
      <c r="P49" s="25"/>
    </row>
    <row r="50" spans="1:16" x14ac:dyDescent="0.25">
      <c r="A50" s="203">
        <v>5</v>
      </c>
      <c r="B50" s="205" t="s">
        <v>2761</v>
      </c>
      <c r="C50" s="205" t="s">
        <v>40</v>
      </c>
      <c r="D50" s="205" t="s">
        <v>2758</v>
      </c>
      <c r="E50" s="205" t="s">
        <v>51</v>
      </c>
      <c r="F50" s="206"/>
      <c r="G50" s="205" t="s">
        <v>42</v>
      </c>
      <c r="H50" s="211">
        <v>75</v>
      </c>
      <c r="I50" s="234" t="s">
        <v>255</v>
      </c>
      <c r="J50" s="205" t="s">
        <v>179</v>
      </c>
      <c r="K50" s="205" t="s">
        <v>43</v>
      </c>
      <c r="M50">
        <f t="shared" si="0"/>
        <v>15</v>
      </c>
      <c r="O50" s="340"/>
      <c r="P50" s="25"/>
    </row>
    <row r="51" spans="1:16" x14ac:dyDescent="0.25">
      <c r="A51" s="203">
        <v>11</v>
      </c>
      <c r="B51" s="205" t="s">
        <v>2762</v>
      </c>
      <c r="C51" s="205" t="s">
        <v>40</v>
      </c>
      <c r="D51" s="205" t="s">
        <v>2319</v>
      </c>
      <c r="E51" s="205" t="s">
        <v>47</v>
      </c>
      <c r="F51" s="206"/>
      <c r="G51" s="205" t="s">
        <v>42</v>
      </c>
      <c r="H51" s="211">
        <v>2500</v>
      </c>
      <c r="I51" s="234">
        <v>500</v>
      </c>
      <c r="J51" s="205" t="s">
        <v>179</v>
      </c>
      <c r="K51" s="205" t="s">
        <v>43</v>
      </c>
      <c r="M51">
        <f t="shared" si="0"/>
        <v>500</v>
      </c>
      <c r="P51" s="57"/>
    </row>
    <row r="52" spans="1:16" x14ac:dyDescent="0.25">
      <c r="A52" s="203">
        <v>11</v>
      </c>
      <c r="B52" s="205" t="s">
        <v>298</v>
      </c>
      <c r="C52" s="205" t="s">
        <v>40</v>
      </c>
      <c r="D52" s="205" t="s">
        <v>299</v>
      </c>
      <c r="E52" s="205" t="s">
        <v>45</v>
      </c>
      <c r="F52" s="206" t="s">
        <v>2763</v>
      </c>
      <c r="G52" s="205" t="s">
        <v>42</v>
      </c>
      <c r="H52" s="211">
        <v>500</v>
      </c>
      <c r="I52" s="234">
        <v>100</v>
      </c>
      <c r="J52" s="205" t="s">
        <v>179</v>
      </c>
      <c r="K52" s="205" t="s">
        <v>43</v>
      </c>
      <c r="M52">
        <f t="shared" si="0"/>
        <v>100</v>
      </c>
      <c r="P52" s="25"/>
    </row>
    <row r="53" spans="1:16" x14ac:dyDescent="0.25">
      <c r="A53" s="203">
        <v>11</v>
      </c>
      <c r="B53" s="205" t="s">
        <v>2764</v>
      </c>
      <c r="C53" s="205" t="s">
        <v>40</v>
      </c>
      <c r="D53" s="205" t="s">
        <v>178</v>
      </c>
      <c r="E53" s="205" t="s">
        <v>62</v>
      </c>
      <c r="F53" s="206" t="s">
        <v>164</v>
      </c>
      <c r="G53" s="205" t="s">
        <v>42</v>
      </c>
      <c r="H53" s="211">
        <v>4000</v>
      </c>
      <c r="I53" s="234">
        <v>800</v>
      </c>
      <c r="J53" s="205" t="s">
        <v>179</v>
      </c>
      <c r="K53" s="205" t="s">
        <v>43</v>
      </c>
      <c r="M53">
        <f t="shared" si="0"/>
        <v>800</v>
      </c>
    </row>
    <row r="54" spans="1:16" x14ac:dyDescent="0.25">
      <c r="A54" s="203">
        <v>11</v>
      </c>
      <c r="B54" s="205" t="s">
        <v>2765</v>
      </c>
      <c r="C54" s="205" t="s">
        <v>40</v>
      </c>
      <c r="D54" s="205" t="s">
        <v>144</v>
      </c>
      <c r="E54" s="205" t="s">
        <v>60</v>
      </c>
      <c r="F54" s="206" t="s">
        <v>2766</v>
      </c>
      <c r="G54" s="393" t="s">
        <v>163</v>
      </c>
      <c r="H54" s="211">
        <v>700</v>
      </c>
      <c r="I54" s="234">
        <v>700</v>
      </c>
      <c r="J54" s="205" t="s">
        <v>179</v>
      </c>
      <c r="K54" s="205" t="s">
        <v>43</v>
      </c>
      <c r="M54">
        <f t="shared" si="0"/>
        <v>140</v>
      </c>
      <c r="P54" s="25"/>
    </row>
    <row r="55" spans="1:16" x14ac:dyDescent="0.25">
      <c r="A55" s="203">
        <v>11</v>
      </c>
      <c r="B55" s="205" t="s">
        <v>2767</v>
      </c>
      <c r="C55" s="205" t="s">
        <v>40</v>
      </c>
      <c r="D55" s="205" t="s">
        <v>2768</v>
      </c>
      <c r="E55" s="205" t="s">
        <v>62</v>
      </c>
      <c r="F55" s="206" t="s">
        <v>2769</v>
      </c>
      <c r="G55" s="393" t="s">
        <v>163</v>
      </c>
      <c r="H55" s="211">
        <v>2500</v>
      </c>
      <c r="I55" s="234">
        <v>2500</v>
      </c>
      <c r="J55" s="205" t="s">
        <v>179</v>
      </c>
      <c r="K55" s="205" t="s">
        <v>43</v>
      </c>
      <c r="M55">
        <f t="shared" si="0"/>
        <v>500</v>
      </c>
    </row>
    <row r="56" spans="1:16" x14ac:dyDescent="0.25">
      <c r="A56" s="203">
        <v>11</v>
      </c>
      <c r="B56" s="205" t="s">
        <v>2770</v>
      </c>
      <c r="C56" s="205" t="s">
        <v>40</v>
      </c>
      <c r="D56" s="205" t="s">
        <v>380</v>
      </c>
      <c r="E56" s="205" t="s">
        <v>45</v>
      </c>
      <c r="F56" s="206"/>
      <c r="G56" s="393" t="s">
        <v>163</v>
      </c>
      <c r="H56" s="211">
        <v>500</v>
      </c>
      <c r="I56" s="234">
        <v>500</v>
      </c>
      <c r="J56" s="205" t="s">
        <v>179</v>
      </c>
      <c r="K56" s="205" t="s">
        <v>43</v>
      </c>
      <c r="M56">
        <f t="shared" si="0"/>
        <v>100</v>
      </c>
    </row>
    <row r="57" spans="1:16" x14ac:dyDescent="0.25">
      <c r="A57" s="203">
        <v>11</v>
      </c>
      <c r="B57" s="205" t="s">
        <v>1999</v>
      </c>
      <c r="C57" s="205" t="s">
        <v>40</v>
      </c>
      <c r="D57" s="205" t="s">
        <v>1524</v>
      </c>
      <c r="E57" s="205" t="s">
        <v>70</v>
      </c>
      <c r="F57" s="206"/>
      <c r="G57" s="393" t="s">
        <v>163</v>
      </c>
      <c r="H57" s="211">
        <v>800</v>
      </c>
      <c r="I57" s="234">
        <v>800</v>
      </c>
      <c r="J57" s="205" t="s">
        <v>179</v>
      </c>
      <c r="K57" s="205" t="s">
        <v>43</v>
      </c>
      <c r="M57">
        <f t="shared" si="0"/>
        <v>160</v>
      </c>
    </row>
    <row r="58" spans="1:16" x14ac:dyDescent="0.25">
      <c r="A58" s="203">
        <v>11</v>
      </c>
      <c r="B58" s="205" t="s">
        <v>2771</v>
      </c>
      <c r="C58" s="205" t="s">
        <v>40</v>
      </c>
      <c r="D58" s="205" t="s">
        <v>451</v>
      </c>
      <c r="E58" s="205" t="s">
        <v>60</v>
      </c>
      <c r="F58" s="206"/>
      <c r="G58" s="393" t="s">
        <v>163</v>
      </c>
      <c r="H58" s="211">
        <v>1000</v>
      </c>
      <c r="I58" s="234">
        <v>1000</v>
      </c>
      <c r="J58" s="205" t="s">
        <v>179</v>
      </c>
      <c r="K58" s="205" t="s">
        <v>43</v>
      </c>
      <c r="M58">
        <f t="shared" si="0"/>
        <v>200</v>
      </c>
    </row>
    <row r="59" spans="1:16" x14ac:dyDescent="0.25">
      <c r="A59" s="203">
        <v>11</v>
      </c>
      <c r="B59" s="205" t="s">
        <v>2772</v>
      </c>
      <c r="C59" s="205" t="s">
        <v>40</v>
      </c>
      <c r="D59" s="205" t="s">
        <v>366</v>
      </c>
      <c r="E59" s="205" t="s">
        <v>57</v>
      </c>
      <c r="F59" s="206" t="s">
        <v>2773</v>
      </c>
      <c r="G59" s="205" t="s">
        <v>42</v>
      </c>
      <c r="H59" s="211">
        <v>1000</v>
      </c>
      <c r="I59" s="234">
        <v>200</v>
      </c>
      <c r="J59" s="205" t="s">
        <v>179</v>
      </c>
      <c r="K59" s="205" t="s">
        <v>43</v>
      </c>
      <c r="M59">
        <f t="shared" si="0"/>
        <v>200</v>
      </c>
    </row>
    <row r="60" spans="1:16" x14ac:dyDescent="0.25">
      <c r="A60" s="203">
        <v>11</v>
      </c>
      <c r="B60" s="205" t="s">
        <v>1096</v>
      </c>
      <c r="C60" s="205" t="s">
        <v>40</v>
      </c>
      <c r="D60" s="205" t="s">
        <v>2774</v>
      </c>
      <c r="E60" s="205" t="s">
        <v>50</v>
      </c>
      <c r="F60" s="206"/>
      <c r="G60" s="393" t="s">
        <v>163</v>
      </c>
      <c r="H60" s="211">
        <v>2000</v>
      </c>
      <c r="I60" s="234">
        <v>2000</v>
      </c>
      <c r="J60" s="205" t="s">
        <v>179</v>
      </c>
      <c r="K60" s="205" t="s">
        <v>43</v>
      </c>
      <c r="M60">
        <f t="shared" si="0"/>
        <v>400</v>
      </c>
    </row>
    <row r="61" spans="1:16" x14ac:dyDescent="0.25">
      <c r="A61" s="203">
        <v>11</v>
      </c>
      <c r="B61" s="205" t="s">
        <v>2775</v>
      </c>
      <c r="C61" s="205" t="s">
        <v>40</v>
      </c>
      <c r="D61" s="205" t="s">
        <v>2776</v>
      </c>
      <c r="E61" s="205" t="s">
        <v>59</v>
      </c>
      <c r="F61" s="206" t="s">
        <v>2777</v>
      </c>
      <c r="G61" s="205" t="s">
        <v>42</v>
      </c>
      <c r="H61" s="211">
        <v>50</v>
      </c>
      <c r="I61" s="234" t="s">
        <v>255</v>
      </c>
      <c r="J61" s="205" t="s">
        <v>179</v>
      </c>
      <c r="K61" s="205" t="s">
        <v>43</v>
      </c>
      <c r="M61">
        <f t="shared" si="0"/>
        <v>10</v>
      </c>
    </row>
    <row r="62" spans="1:16" x14ac:dyDescent="0.25">
      <c r="A62" s="203">
        <v>11</v>
      </c>
      <c r="B62" s="205" t="s">
        <v>2778</v>
      </c>
      <c r="C62" s="205" t="s">
        <v>40</v>
      </c>
      <c r="D62" s="205" t="s">
        <v>402</v>
      </c>
      <c r="E62" s="205" t="s">
        <v>57</v>
      </c>
      <c r="F62" s="206"/>
      <c r="G62" s="205" t="s">
        <v>42</v>
      </c>
      <c r="H62" s="211">
        <v>3000</v>
      </c>
      <c r="I62" s="234">
        <v>600</v>
      </c>
      <c r="J62" s="205" t="s">
        <v>179</v>
      </c>
      <c r="K62" s="205" t="s">
        <v>43</v>
      </c>
      <c r="M62">
        <f t="shared" si="0"/>
        <v>600</v>
      </c>
    </row>
    <row r="63" spans="1:16" x14ac:dyDescent="0.25">
      <c r="A63" s="203">
        <v>11</v>
      </c>
      <c r="B63" s="205" t="s">
        <v>2779</v>
      </c>
      <c r="C63" s="205" t="s">
        <v>40</v>
      </c>
      <c r="D63" s="205" t="s">
        <v>141</v>
      </c>
      <c r="E63" s="205" t="s">
        <v>45</v>
      </c>
      <c r="F63" s="206"/>
      <c r="G63" s="205" t="s">
        <v>42</v>
      </c>
      <c r="H63" s="211">
        <v>5000</v>
      </c>
      <c r="I63" s="234">
        <v>1000</v>
      </c>
      <c r="J63" s="205" t="s">
        <v>179</v>
      </c>
      <c r="K63" s="205" t="s">
        <v>43</v>
      </c>
      <c r="M63">
        <f t="shared" si="0"/>
        <v>1000</v>
      </c>
    </row>
    <row r="64" spans="1:16" x14ac:dyDescent="0.25">
      <c r="A64" s="203">
        <v>11</v>
      </c>
      <c r="B64" s="205" t="s">
        <v>2780</v>
      </c>
      <c r="C64" s="205" t="s">
        <v>40</v>
      </c>
      <c r="D64" s="205" t="s">
        <v>793</v>
      </c>
      <c r="E64" s="205" t="s">
        <v>58</v>
      </c>
      <c r="F64" s="206" t="s">
        <v>1533</v>
      </c>
      <c r="G64" s="205" t="s">
        <v>42</v>
      </c>
      <c r="H64" s="211">
        <v>5200</v>
      </c>
      <c r="I64" s="234">
        <v>1040</v>
      </c>
      <c r="J64" s="205" t="s">
        <v>179</v>
      </c>
      <c r="K64" s="205" t="s">
        <v>43</v>
      </c>
      <c r="M64">
        <f t="shared" si="0"/>
        <v>1040</v>
      </c>
    </row>
    <row r="65" spans="1:16" x14ac:dyDescent="0.25">
      <c r="A65" s="203">
        <v>11</v>
      </c>
      <c r="B65" s="205" t="s">
        <v>2781</v>
      </c>
      <c r="C65" s="205" t="s">
        <v>40</v>
      </c>
      <c r="D65" s="205" t="s">
        <v>2319</v>
      </c>
      <c r="E65" s="205" t="s">
        <v>47</v>
      </c>
      <c r="F65" s="206"/>
      <c r="G65" s="208" t="s">
        <v>42</v>
      </c>
      <c r="H65" s="211">
        <v>5000</v>
      </c>
      <c r="I65" s="234">
        <v>1000</v>
      </c>
      <c r="J65" s="205" t="s">
        <v>179</v>
      </c>
      <c r="K65" s="205" t="s">
        <v>43</v>
      </c>
      <c r="M65">
        <f t="shared" si="0"/>
        <v>1000</v>
      </c>
    </row>
    <row r="66" spans="1:16" x14ac:dyDescent="0.25">
      <c r="A66" s="203">
        <v>11</v>
      </c>
      <c r="B66" s="205" t="s">
        <v>2781</v>
      </c>
      <c r="C66" s="205" t="s">
        <v>40</v>
      </c>
      <c r="D66" s="205" t="s">
        <v>2319</v>
      </c>
      <c r="E66" s="205" t="s">
        <v>47</v>
      </c>
      <c r="F66" s="206"/>
      <c r="G66" s="393" t="s">
        <v>163</v>
      </c>
      <c r="H66" s="211">
        <v>500</v>
      </c>
      <c r="I66" s="234">
        <v>500</v>
      </c>
      <c r="J66" s="205" t="s">
        <v>179</v>
      </c>
      <c r="K66" s="205" t="s">
        <v>43</v>
      </c>
      <c r="M66">
        <f t="shared" si="0"/>
        <v>100</v>
      </c>
    </row>
    <row r="67" spans="1:16" x14ac:dyDescent="0.25">
      <c r="A67" s="203">
        <v>11</v>
      </c>
      <c r="B67" s="205" t="s">
        <v>2782</v>
      </c>
      <c r="C67" s="205" t="s">
        <v>40</v>
      </c>
      <c r="D67" s="205" t="s">
        <v>873</v>
      </c>
      <c r="E67" s="205" t="s">
        <v>57</v>
      </c>
      <c r="F67" s="206"/>
      <c r="G67" s="208" t="s">
        <v>42</v>
      </c>
      <c r="H67" s="211">
        <v>500</v>
      </c>
      <c r="I67" s="234">
        <v>100</v>
      </c>
      <c r="J67" s="205" t="s">
        <v>179</v>
      </c>
      <c r="K67" s="205" t="s">
        <v>43</v>
      </c>
      <c r="M67">
        <f t="shared" si="0"/>
        <v>100</v>
      </c>
    </row>
    <row r="68" spans="1:16" x14ac:dyDescent="0.25">
      <c r="A68" s="203">
        <v>11</v>
      </c>
      <c r="B68" s="205" t="s">
        <v>2783</v>
      </c>
      <c r="C68" s="205" t="s">
        <v>40</v>
      </c>
      <c r="D68" s="205"/>
      <c r="E68" s="205" t="s">
        <v>56</v>
      </c>
      <c r="F68" s="206"/>
      <c r="G68" s="208" t="s">
        <v>42</v>
      </c>
      <c r="H68" s="211">
        <v>6000</v>
      </c>
      <c r="I68" s="234">
        <v>1200</v>
      </c>
      <c r="J68" s="205" t="s">
        <v>179</v>
      </c>
      <c r="K68" s="205" t="s">
        <v>43</v>
      </c>
      <c r="M68">
        <f t="shared" si="0"/>
        <v>1200</v>
      </c>
    </row>
    <row r="69" spans="1:16" x14ac:dyDescent="0.25">
      <c r="A69" s="203">
        <v>11</v>
      </c>
      <c r="B69" s="205" t="s">
        <v>2784</v>
      </c>
      <c r="C69" s="205" t="s">
        <v>40</v>
      </c>
      <c r="D69" s="205" t="s">
        <v>517</v>
      </c>
      <c r="E69" s="205" t="s">
        <v>51</v>
      </c>
      <c r="F69" s="206" t="s">
        <v>2785</v>
      </c>
      <c r="G69" s="208" t="s">
        <v>42</v>
      </c>
      <c r="H69" s="211">
        <v>2000</v>
      </c>
      <c r="I69" s="234">
        <v>400</v>
      </c>
      <c r="J69" s="205" t="s">
        <v>179</v>
      </c>
      <c r="K69" s="205" t="s">
        <v>43</v>
      </c>
      <c r="M69">
        <f t="shared" si="0"/>
        <v>400</v>
      </c>
    </row>
    <row r="70" spans="1:16" x14ac:dyDescent="0.25">
      <c r="A70" s="203">
        <v>11</v>
      </c>
      <c r="B70" s="205" t="s">
        <v>2786</v>
      </c>
      <c r="C70" s="205" t="s">
        <v>40</v>
      </c>
      <c r="D70" s="205" t="s">
        <v>1392</v>
      </c>
      <c r="E70" s="205" t="s">
        <v>59</v>
      </c>
      <c r="F70" s="206" t="s">
        <v>2787</v>
      </c>
      <c r="G70" s="205" t="s">
        <v>42</v>
      </c>
      <c r="H70" s="211">
        <v>1200</v>
      </c>
      <c r="I70" s="234">
        <v>240</v>
      </c>
      <c r="J70" s="205" t="s">
        <v>179</v>
      </c>
      <c r="K70" s="205" t="s">
        <v>43</v>
      </c>
      <c r="M70">
        <f t="shared" si="0"/>
        <v>240</v>
      </c>
    </row>
    <row r="71" spans="1:16" x14ac:dyDescent="0.25">
      <c r="A71" s="203">
        <v>11</v>
      </c>
      <c r="B71" s="205" t="s">
        <v>2788</v>
      </c>
      <c r="C71" s="205" t="s">
        <v>40</v>
      </c>
      <c r="D71" s="205" t="s">
        <v>158</v>
      </c>
      <c r="E71" s="205" t="s">
        <v>57</v>
      </c>
      <c r="F71" s="206"/>
      <c r="G71" s="208" t="s">
        <v>42</v>
      </c>
      <c r="H71" s="211">
        <v>2000</v>
      </c>
      <c r="I71" s="234">
        <v>400</v>
      </c>
      <c r="J71" s="205" t="s">
        <v>179</v>
      </c>
      <c r="K71" s="205" t="s">
        <v>43</v>
      </c>
      <c r="M71">
        <f t="shared" si="0"/>
        <v>400</v>
      </c>
    </row>
    <row r="72" spans="1:16" x14ac:dyDescent="0.25">
      <c r="A72" s="203">
        <v>11</v>
      </c>
      <c r="B72" s="205" t="s">
        <v>2789</v>
      </c>
      <c r="C72" s="205" t="s">
        <v>40</v>
      </c>
      <c r="D72" s="205" t="s">
        <v>2790</v>
      </c>
      <c r="E72" s="205" t="s">
        <v>79</v>
      </c>
      <c r="F72" s="206"/>
      <c r="G72" s="205" t="s">
        <v>42</v>
      </c>
      <c r="H72" s="211">
        <v>8000</v>
      </c>
      <c r="I72" s="234">
        <v>1600</v>
      </c>
      <c r="J72" s="205" t="s">
        <v>179</v>
      </c>
      <c r="K72" s="205" t="s">
        <v>43</v>
      </c>
      <c r="M72">
        <f t="shared" si="0"/>
        <v>1600</v>
      </c>
    </row>
    <row r="73" spans="1:16" x14ac:dyDescent="0.25">
      <c r="A73" s="203">
        <v>11</v>
      </c>
      <c r="B73" s="205" t="s">
        <v>1861</v>
      </c>
      <c r="C73" s="205" t="s">
        <v>40</v>
      </c>
      <c r="D73" s="205" t="s">
        <v>1776</v>
      </c>
      <c r="E73" s="205" t="s">
        <v>45</v>
      </c>
      <c r="F73" s="206"/>
      <c r="G73" s="205" t="s">
        <v>42</v>
      </c>
      <c r="H73" s="211">
        <v>2500</v>
      </c>
      <c r="I73" s="234">
        <v>500</v>
      </c>
      <c r="J73" s="205" t="s">
        <v>179</v>
      </c>
      <c r="K73" s="205" t="s">
        <v>43</v>
      </c>
      <c r="M73">
        <f t="shared" si="0"/>
        <v>500</v>
      </c>
    </row>
    <row r="74" spans="1:16" x14ac:dyDescent="0.25">
      <c r="A74" s="203">
        <v>11</v>
      </c>
      <c r="B74" s="205" t="s">
        <v>2791</v>
      </c>
      <c r="C74" s="205" t="s">
        <v>40</v>
      </c>
      <c r="D74" s="205" t="s">
        <v>380</v>
      </c>
      <c r="E74" s="205" t="s">
        <v>45</v>
      </c>
      <c r="F74" s="206"/>
      <c r="G74" s="205" t="s">
        <v>42</v>
      </c>
      <c r="H74" s="211">
        <v>4000</v>
      </c>
      <c r="I74" s="234">
        <v>800</v>
      </c>
      <c r="J74" s="205" t="s">
        <v>179</v>
      </c>
      <c r="K74" s="205" t="s">
        <v>43</v>
      </c>
      <c r="M74">
        <f t="shared" si="0"/>
        <v>800</v>
      </c>
    </row>
    <row r="75" spans="1:16" x14ac:dyDescent="0.25">
      <c r="A75" s="203">
        <v>11</v>
      </c>
      <c r="B75" s="205" t="s">
        <v>717</v>
      </c>
      <c r="C75" s="205" t="s">
        <v>40</v>
      </c>
      <c r="D75" s="205" t="s">
        <v>2047</v>
      </c>
      <c r="E75" s="205" t="s">
        <v>59</v>
      </c>
      <c r="F75" s="206"/>
      <c r="G75" s="205" t="s">
        <v>42</v>
      </c>
      <c r="H75" s="211">
        <v>700</v>
      </c>
      <c r="I75" s="234">
        <v>140</v>
      </c>
      <c r="J75" s="205" t="s">
        <v>179</v>
      </c>
      <c r="K75" s="205" t="s">
        <v>43</v>
      </c>
      <c r="M75">
        <f t="shared" si="0"/>
        <v>140</v>
      </c>
    </row>
    <row r="76" spans="1:16" x14ac:dyDescent="0.25">
      <c r="A76" s="203">
        <v>11</v>
      </c>
      <c r="B76" s="205" t="s">
        <v>2792</v>
      </c>
      <c r="C76" s="205" t="s">
        <v>40</v>
      </c>
      <c r="D76" s="205" t="s">
        <v>156</v>
      </c>
      <c r="E76" s="205" t="s">
        <v>44</v>
      </c>
      <c r="F76" s="206"/>
      <c r="G76" s="205" t="s">
        <v>42</v>
      </c>
      <c r="H76" s="211">
        <v>2500</v>
      </c>
      <c r="I76" s="234">
        <v>500</v>
      </c>
      <c r="J76" s="205" t="s">
        <v>179</v>
      </c>
      <c r="K76" s="205" t="s">
        <v>43</v>
      </c>
      <c r="M76">
        <f t="shared" si="0"/>
        <v>500</v>
      </c>
    </row>
    <row r="77" spans="1:16" x14ac:dyDescent="0.25">
      <c r="A77" s="203">
        <v>11</v>
      </c>
      <c r="B77" s="205" t="s">
        <v>2793</v>
      </c>
      <c r="C77" s="205" t="s">
        <v>40</v>
      </c>
      <c r="D77" s="205" t="s">
        <v>2794</v>
      </c>
      <c r="E77" s="205" t="s">
        <v>62</v>
      </c>
      <c r="F77" s="206" t="s">
        <v>2795</v>
      </c>
      <c r="G77" s="205" t="s">
        <v>42</v>
      </c>
      <c r="H77" s="211">
        <v>1000</v>
      </c>
      <c r="I77" s="234">
        <v>200</v>
      </c>
      <c r="J77" s="205" t="s">
        <v>179</v>
      </c>
      <c r="K77" s="205" t="s">
        <v>43</v>
      </c>
      <c r="M77">
        <f t="shared" si="0"/>
        <v>200</v>
      </c>
    </row>
    <row r="78" spans="1:16" x14ac:dyDescent="0.25">
      <c r="A78" s="203">
        <v>11</v>
      </c>
      <c r="B78" s="205" t="s">
        <v>2796</v>
      </c>
      <c r="C78" s="205" t="s">
        <v>40</v>
      </c>
      <c r="D78" s="205" t="s">
        <v>1392</v>
      </c>
      <c r="E78" s="205" t="s">
        <v>59</v>
      </c>
      <c r="F78" s="206"/>
      <c r="G78" s="205" t="s">
        <v>42</v>
      </c>
      <c r="H78" s="211">
        <v>1750</v>
      </c>
      <c r="I78" s="234">
        <v>350</v>
      </c>
      <c r="J78" s="205" t="s">
        <v>179</v>
      </c>
      <c r="K78" s="205" t="s">
        <v>43</v>
      </c>
      <c r="M78">
        <f t="shared" si="0"/>
        <v>350</v>
      </c>
    </row>
    <row r="79" spans="1:16" x14ac:dyDescent="0.25">
      <c r="A79" s="203">
        <v>11</v>
      </c>
      <c r="B79" s="205" t="s">
        <v>2797</v>
      </c>
      <c r="C79" s="205" t="s">
        <v>40</v>
      </c>
      <c r="D79" s="205" t="s">
        <v>2798</v>
      </c>
      <c r="E79" s="205" t="s">
        <v>62</v>
      </c>
      <c r="F79" s="206" t="s">
        <v>2799</v>
      </c>
      <c r="G79" s="208" t="s">
        <v>42</v>
      </c>
      <c r="H79" s="211">
        <v>700</v>
      </c>
      <c r="I79" s="234" t="s">
        <v>255</v>
      </c>
      <c r="J79" s="205" t="s">
        <v>179</v>
      </c>
      <c r="K79" s="205" t="s">
        <v>43</v>
      </c>
      <c r="M79">
        <f t="shared" si="0"/>
        <v>140</v>
      </c>
      <c r="P79" s="57"/>
    </row>
    <row r="80" spans="1:16" x14ac:dyDescent="0.25">
      <c r="A80" s="203">
        <v>11</v>
      </c>
      <c r="B80" s="205" t="s">
        <v>1344</v>
      </c>
      <c r="C80" s="205" t="s">
        <v>40</v>
      </c>
      <c r="D80" s="205" t="s">
        <v>873</v>
      </c>
      <c r="E80" s="205" t="s">
        <v>57</v>
      </c>
      <c r="F80" s="206" t="s">
        <v>1345</v>
      </c>
      <c r="G80" s="205" t="s">
        <v>42</v>
      </c>
      <c r="H80" s="211">
        <v>100</v>
      </c>
      <c r="I80" s="234" t="s">
        <v>255</v>
      </c>
      <c r="J80" s="205" t="s">
        <v>179</v>
      </c>
      <c r="K80" s="205" t="s">
        <v>43</v>
      </c>
      <c r="M80">
        <f t="shared" si="0"/>
        <v>20</v>
      </c>
    </row>
    <row r="81" spans="1:16" s="187" customFormat="1" x14ac:dyDescent="0.25">
      <c r="A81" s="203">
        <v>11</v>
      </c>
      <c r="B81" s="205" t="s">
        <v>2803</v>
      </c>
      <c r="C81" s="205" t="s">
        <v>40</v>
      </c>
      <c r="D81" s="205" t="s">
        <v>2804</v>
      </c>
      <c r="E81" s="205" t="s">
        <v>61</v>
      </c>
      <c r="F81" s="206"/>
      <c r="G81" s="208" t="s">
        <v>42</v>
      </c>
      <c r="H81" s="211">
        <v>50</v>
      </c>
      <c r="I81" s="234" t="s">
        <v>255</v>
      </c>
      <c r="J81" s="205" t="s">
        <v>179</v>
      </c>
      <c r="K81" s="205" t="s">
        <v>43</v>
      </c>
      <c r="M81" s="187">
        <f t="shared" si="0"/>
        <v>10</v>
      </c>
    </row>
    <row r="82" spans="1:16" x14ac:dyDescent="0.25">
      <c r="A82" s="203">
        <v>11</v>
      </c>
      <c r="B82" s="205" t="s">
        <v>1206</v>
      </c>
      <c r="C82" s="205" t="s">
        <v>40</v>
      </c>
      <c r="D82" s="205" t="s">
        <v>2804</v>
      </c>
      <c r="E82" s="205" t="s">
        <v>61</v>
      </c>
      <c r="F82" s="206"/>
      <c r="G82" s="205" t="s">
        <v>42</v>
      </c>
      <c r="H82" s="211">
        <v>500</v>
      </c>
      <c r="I82" s="234" t="s">
        <v>255</v>
      </c>
      <c r="J82" s="205" t="s">
        <v>179</v>
      </c>
      <c r="K82" s="205" t="s">
        <v>43</v>
      </c>
      <c r="M82">
        <f t="shared" si="0"/>
        <v>100</v>
      </c>
    </row>
    <row r="83" spans="1:16" x14ac:dyDescent="0.25">
      <c r="A83" s="203">
        <v>11</v>
      </c>
      <c r="B83" s="205" t="s">
        <v>2805</v>
      </c>
      <c r="C83" s="205" t="s">
        <v>40</v>
      </c>
      <c r="D83" s="205" t="s">
        <v>2806</v>
      </c>
      <c r="E83" s="206" t="s">
        <v>61</v>
      </c>
      <c r="F83" s="206"/>
      <c r="G83" s="205" t="s">
        <v>42</v>
      </c>
      <c r="H83" s="211">
        <v>3000</v>
      </c>
      <c r="I83" s="234" t="s">
        <v>255</v>
      </c>
      <c r="J83" s="205" t="s">
        <v>179</v>
      </c>
      <c r="K83" s="205" t="s">
        <v>43</v>
      </c>
      <c r="M83">
        <f t="shared" si="0"/>
        <v>600</v>
      </c>
    </row>
    <row r="84" spans="1:16" x14ac:dyDescent="0.25">
      <c r="A84" s="203">
        <v>11</v>
      </c>
      <c r="B84" s="205" t="s">
        <v>2807</v>
      </c>
      <c r="C84" s="205" t="s">
        <v>40</v>
      </c>
      <c r="D84" s="205" t="s">
        <v>2808</v>
      </c>
      <c r="E84" s="205" t="s">
        <v>61</v>
      </c>
      <c r="F84" s="206"/>
      <c r="G84" s="205" t="s">
        <v>42</v>
      </c>
      <c r="H84" s="211">
        <v>500</v>
      </c>
      <c r="I84" s="234" t="s">
        <v>255</v>
      </c>
      <c r="J84" s="205" t="s">
        <v>179</v>
      </c>
      <c r="K84" s="205" t="s">
        <v>43</v>
      </c>
      <c r="M84">
        <f t="shared" si="0"/>
        <v>100</v>
      </c>
    </row>
    <row r="85" spans="1:16" x14ac:dyDescent="0.25">
      <c r="A85" s="203">
        <v>11</v>
      </c>
      <c r="B85" s="205" t="s">
        <v>2177</v>
      </c>
      <c r="C85" s="205" t="s">
        <v>40</v>
      </c>
      <c r="D85" s="205" t="s">
        <v>2178</v>
      </c>
      <c r="E85" s="205" t="s">
        <v>61</v>
      </c>
      <c r="F85" s="206" t="s">
        <v>2179</v>
      </c>
      <c r="G85" s="205" t="s">
        <v>42</v>
      </c>
      <c r="H85" s="211">
        <v>500</v>
      </c>
      <c r="I85" s="234" t="s">
        <v>255</v>
      </c>
      <c r="J85" s="205" t="s">
        <v>179</v>
      </c>
      <c r="K85" s="205" t="s">
        <v>43</v>
      </c>
      <c r="M85">
        <f t="shared" si="0"/>
        <v>100</v>
      </c>
    </row>
    <row r="86" spans="1:16" x14ac:dyDescent="0.25">
      <c r="A86" s="321">
        <v>11</v>
      </c>
      <c r="B86" s="205" t="s">
        <v>2810</v>
      </c>
      <c r="C86" s="205" t="s">
        <v>40</v>
      </c>
      <c r="D86" s="205"/>
      <c r="E86" s="205" t="s">
        <v>65</v>
      </c>
      <c r="F86" s="206" t="s">
        <v>2811</v>
      </c>
      <c r="G86" s="208" t="s">
        <v>42</v>
      </c>
      <c r="H86" s="211">
        <v>50</v>
      </c>
      <c r="I86" s="234" t="s">
        <v>255</v>
      </c>
      <c r="J86" s="205" t="s">
        <v>179</v>
      </c>
      <c r="K86" s="205" t="s">
        <v>43</v>
      </c>
      <c r="M86">
        <f t="shared" si="0"/>
        <v>10</v>
      </c>
    </row>
    <row r="87" spans="1:16" x14ac:dyDescent="0.25">
      <c r="A87" s="203">
        <v>12</v>
      </c>
      <c r="B87" s="205" t="s">
        <v>2812</v>
      </c>
      <c r="C87" s="205" t="s">
        <v>40</v>
      </c>
      <c r="D87" s="205" t="s">
        <v>2813</v>
      </c>
      <c r="E87" s="205" t="s">
        <v>70</v>
      </c>
      <c r="F87" s="206"/>
      <c r="G87" s="205" t="s">
        <v>42</v>
      </c>
      <c r="H87" s="211">
        <v>1000</v>
      </c>
      <c r="I87" s="234">
        <v>200</v>
      </c>
      <c r="J87" s="205" t="s">
        <v>179</v>
      </c>
      <c r="K87" s="205" t="s">
        <v>43</v>
      </c>
      <c r="M87">
        <f t="shared" si="0"/>
        <v>200</v>
      </c>
    </row>
    <row r="88" spans="1:16" x14ac:dyDescent="0.25">
      <c r="A88" s="203">
        <v>12</v>
      </c>
      <c r="B88" s="205" t="s">
        <v>2814</v>
      </c>
      <c r="C88" s="205" t="s">
        <v>40</v>
      </c>
      <c r="D88" s="205" t="s">
        <v>263</v>
      </c>
      <c r="E88" s="205" t="s">
        <v>53</v>
      </c>
      <c r="F88" s="206"/>
      <c r="G88" s="205" t="s">
        <v>42</v>
      </c>
      <c r="H88" s="211">
        <v>3000</v>
      </c>
      <c r="I88" s="234">
        <v>600</v>
      </c>
      <c r="J88" s="205" t="s">
        <v>179</v>
      </c>
      <c r="K88" s="205" t="s">
        <v>43</v>
      </c>
      <c r="M88">
        <f t="shared" si="0"/>
        <v>600</v>
      </c>
      <c r="P88" s="57"/>
    </row>
    <row r="89" spans="1:16" x14ac:dyDescent="0.25">
      <c r="A89" s="203">
        <v>12</v>
      </c>
      <c r="B89" s="205" t="s">
        <v>2815</v>
      </c>
      <c r="C89" s="205" t="s">
        <v>40</v>
      </c>
      <c r="D89" s="205" t="s">
        <v>263</v>
      </c>
      <c r="E89" s="205" t="s">
        <v>53</v>
      </c>
      <c r="F89" s="206"/>
      <c r="G89" s="205" t="s">
        <v>42</v>
      </c>
      <c r="H89" s="211">
        <v>2000</v>
      </c>
      <c r="I89" s="234">
        <v>400</v>
      </c>
      <c r="J89" s="205" t="s">
        <v>179</v>
      </c>
      <c r="K89" s="205" t="s">
        <v>43</v>
      </c>
      <c r="M89">
        <f t="shared" si="0"/>
        <v>400</v>
      </c>
    </row>
    <row r="90" spans="1:16" x14ac:dyDescent="0.25">
      <c r="A90" s="203">
        <v>12</v>
      </c>
      <c r="B90" s="205" t="s">
        <v>2816</v>
      </c>
      <c r="C90" s="438" t="s">
        <v>48</v>
      </c>
      <c r="D90" s="205" t="s">
        <v>1435</v>
      </c>
      <c r="E90" s="205" t="s">
        <v>63</v>
      </c>
      <c r="F90" s="206" t="s">
        <v>2817</v>
      </c>
      <c r="G90" s="205" t="s">
        <v>42</v>
      </c>
      <c r="H90" s="211">
        <v>1000</v>
      </c>
      <c r="I90" s="234">
        <v>200</v>
      </c>
      <c r="J90" s="205" t="s">
        <v>179</v>
      </c>
      <c r="K90" s="205" t="s">
        <v>43</v>
      </c>
      <c r="M90">
        <f t="shared" si="0"/>
        <v>200</v>
      </c>
    </row>
    <row r="91" spans="1:16" x14ac:dyDescent="0.25">
      <c r="A91" s="203">
        <v>12</v>
      </c>
      <c r="B91" s="205" t="s">
        <v>2818</v>
      </c>
      <c r="C91" s="205" t="s">
        <v>40</v>
      </c>
      <c r="D91" s="205" t="s">
        <v>2625</v>
      </c>
      <c r="E91" s="205" t="s">
        <v>63</v>
      </c>
      <c r="F91" s="206" t="s">
        <v>2819</v>
      </c>
      <c r="G91" s="205" t="s">
        <v>42</v>
      </c>
      <c r="H91" s="211">
        <v>3000</v>
      </c>
      <c r="I91" s="234">
        <v>600</v>
      </c>
      <c r="J91" s="205" t="s">
        <v>179</v>
      </c>
      <c r="K91" s="205" t="s">
        <v>43</v>
      </c>
      <c r="M91">
        <f t="shared" si="0"/>
        <v>600</v>
      </c>
    </row>
    <row r="92" spans="1:16" x14ac:dyDescent="0.25">
      <c r="A92" s="203">
        <v>12</v>
      </c>
      <c r="B92" s="205" t="s">
        <v>2820</v>
      </c>
      <c r="C92" s="205" t="s">
        <v>40</v>
      </c>
      <c r="D92" s="205" t="s">
        <v>76</v>
      </c>
      <c r="E92" s="205" t="s">
        <v>44</v>
      </c>
      <c r="F92" s="206" t="s">
        <v>2821</v>
      </c>
      <c r="G92" s="208" t="s">
        <v>42</v>
      </c>
      <c r="H92" s="211">
        <v>150</v>
      </c>
      <c r="I92" s="234">
        <v>45</v>
      </c>
      <c r="J92" s="205" t="s">
        <v>179</v>
      </c>
      <c r="K92" s="205" t="s">
        <v>43</v>
      </c>
      <c r="M92">
        <f t="shared" si="0"/>
        <v>30</v>
      </c>
    </row>
    <row r="93" spans="1:16" x14ac:dyDescent="0.25">
      <c r="A93" s="203">
        <v>12</v>
      </c>
      <c r="B93" s="205" t="s">
        <v>2822</v>
      </c>
      <c r="C93" s="205" t="s">
        <v>40</v>
      </c>
      <c r="D93" s="205" t="s">
        <v>2823</v>
      </c>
      <c r="E93" s="205" t="s">
        <v>50</v>
      </c>
      <c r="F93" s="206"/>
      <c r="G93" s="205" t="s">
        <v>42</v>
      </c>
      <c r="H93" s="211">
        <v>1000</v>
      </c>
      <c r="I93" s="234">
        <v>200</v>
      </c>
      <c r="J93" s="205" t="s">
        <v>179</v>
      </c>
      <c r="K93" s="205" t="s">
        <v>43</v>
      </c>
      <c r="M93">
        <f t="shared" si="0"/>
        <v>200</v>
      </c>
    </row>
    <row r="94" spans="1:16" x14ac:dyDescent="0.25">
      <c r="A94" s="203">
        <v>12</v>
      </c>
      <c r="B94" s="205" t="s">
        <v>2824</v>
      </c>
      <c r="C94" s="205" t="s">
        <v>40</v>
      </c>
      <c r="D94" s="205" t="s">
        <v>1184</v>
      </c>
      <c r="E94" s="205" t="s">
        <v>90</v>
      </c>
      <c r="F94" s="206" t="s">
        <v>2825</v>
      </c>
      <c r="G94" s="208" t="s">
        <v>42</v>
      </c>
      <c r="H94" s="211">
        <v>10000</v>
      </c>
      <c r="I94" s="234">
        <v>2000</v>
      </c>
      <c r="J94" s="205" t="s">
        <v>179</v>
      </c>
      <c r="K94" s="205" t="s">
        <v>43</v>
      </c>
      <c r="M94">
        <f t="shared" si="0"/>
        <v>2000</v>
      </c>
    </row>
    <row r="95" spans="1:16" x14ac:dyDescent="0.25">
      <c r="A95" s="203">
        <v>12</v>
      </c>
      <c r="B95" s="205" t="s">
        <v>2826</v>
      </c>
      <c r="C95" s="205" t="s">
        <v>40</v>
      </c>
      <c r="D95" s="205" t="s">
        <v>645</v>
      </c>
      <c r="E95" s="205" t="s">
        <v>47</v>
      </c>
      <c r="F95" s="206" t="s">
        <v>2827</v>
      </c>
      <c r="G95" s="205" t="s">
        <v>42</v>
      </c>
      <c r="H95" s="211">
        <v>2000</v>
      </c>
      <c r="I95" s="234">
        <v>400</v>
      </c>
      <c r="J95" s="205" t="s">
        <v>179</v>
      </c>
      <c r="K95" s="205" t="s">
        <v>43</v>
      </c>
      <c r="M95">
        <f t="shared" si="0"/>
        <v>400</v>
      </c>
    </row>
    <row r="96" spans="1:16" x14ac:dyDescent="0.25">
      <c r="A96" s="203">
        <v>12</v>
      </c>
      <c r="B96" s="205" t="s">
        <v>2828</v>
      </c>
      <c r="C96" s="438" t="s">
        <v>48</v>
      </c>
      <c r="D96" s="205" t="s">
        <v>2303</v>
      </c>
      <c r="E96" s="205" t="s">
        <v>64</v>
      </c>
      <c r="F96" s="206"/>
      <c r="G96" s="205" t="s">
        <v>42</v>
      </c>
      <c r="H96" s="211">
        <v>500</v>
      </c>
      <c r="I96" s="234" t="s">
        <v>255</v>
      </c>
      <c r="J96" s="205" t="s">
        <v>179</v>
      </c>
      <c r="K96" s="205" t="s">
        <v>43</v>
      </c>
      <c r="M96">
        <f t="shared" si="0"/>
        <v>100</v>
      </c>
    </row>
    <row r="97" spans="1:16" x14ac:dyDescent="0.25">
      <c r="A97" s="203">
        <v>12</v>
      </c>
      <c r="B97" s="205" t="s">
        <v>2828</v>
      </c>
      <c r="C97" s="438" t="s">
        <v>48</v>
      </c>
      <c r="D97" s="205" t="s">
        <v>2303</v>
      </c>
      <c r="E97" s="205" t="s">
        <v>64</v>
      </c>
      <c r="F97" s="206"/>
      <c r="G97" s="205" t="s">
        <v>42</v>
      </c>
      <c r="H97" s="211">
        <v>500</v>
      </c>
      <c r="I97" s="234">
        <v>100</v>
      </c>
      <c r="J97" s="205" t="s">
        <v>179</v>
      </c>
      <c r="K97" s="205" t="s">
        <v>43</v>
      </c>
      <c r="M97">
        <f t="shared" si="0"/>
        <v>100</v>
      </c>
    </row>
    <row r="98" spans="1:16" x14ac:dyDescent="0.25">
      <c r="A98" s="203">
        <v>12</v>
      </c>
      <c r="B98" s="205" t="s">
        <v>2829</v>
      </c>
      <c r="C98" s="205" t="s">
        <v>40</v>
      </c>
      <c r="D98" s="205" t="s">
        <v>425</v>
      </c>
      <c r="E98" s="205" t="s">
        <v>57</v>
      </c>
      <c r="F98" s="206"/>
      <c r="G98" s="205" t="s">
        <v>42</v>
      </c>
      <c r="H98" s="211">
        <v>1000</v>
      </c>
      <c r="I98" s="234">
        <v>200</v>
      </c>
      <c r="J98" s="205" t="s">
        <v>179</v>
      </c>
      <c r="K98" s="205" t="s">
        <v>43</v>
      </c>
      <c r="M98">
        <f t="shared" si="0"/>
        <v>200</v>
      </c>
      <c r="P98" s="57"/>
    </row>
    <row r="99" spans="1:16" x14ac:dyDescent="0.25">
      <c r="A99" s="203">
        <v>12</v>
      </c>
      <c r="B99" s="205" t="s">
        <v>2169</v>
      </c>
      <c r="C99" s="438" t="s">
        <v>48</v>
      </c>
      <c r="D99" s="205" t="s">
        <v>297</v>
      </c>
      <c r="E99" s="205" t="s">
        <v>46</v>
      </c>
      <c r="F99" s="206" t="s">
        <v>2830</v>
      </c>
      <c r="G99" s="208" t="s">
        <v>42</v>
      </c>
      <c r="H99" s="211">
        <v>27000</v>
      </c>
      <c r="I99" s="234">
        <v>5400</v>
      </c>
      <c r="J99" s="205" t="s">
        <v>179</v>
      </c>
      <c r="K99" s="205" t="s">
        <v>43</v>
      </c>
      <c r="M99">
        <f t="shared" si="0"/>
        <v>5400</v>
      </c>
      <c r="P99" s="57"/>
    </row>
    <row r="100" spans="1:16" x14ac:dyDescent="0.25">
      <c r="A100" s="203">
        <v>12</v>
      </c>
      <c r="B100" s="205" t="s">
        <v>1542</v>
      </c>
      <c r="C100" s="205" t="s">
        <v>40</v>
      </c>
      <c r="D100" s="205" t="s">
        <v>1054</v>
      </c>
      <c r="E100" s="205" t="s">
        <v>44</v>
      </c>
      <c r="F100" s="206" t="s">
        <v>1470</v>
      </c>
      <c r="G100" s="208" t="s">
        <v>42</v>
      </c>
      <c r="H100" s="211">
        <v>7000</v>
      </c>
      <c r="I100" s="234">
        <v>1400</v>
      </c>
      <c r="J100" s="205" t="s">
        <v>179</v>
      </c>
      <c r="K100" s="205" t="s">
        <v>43</v>
      </c>
      <c r="M100">
        <f t="shared" si="0"/>
        <v>1400</v>
      </c>
    </row>
    <row r="101" spans="1:16" x14ac:dyDescent="0.25">
      <c r="A101" s="203">
        <v>12</v>
      </c>
      <c r="B101" s="205" t="s">
        <v>2824</v>
      </c>
      <c r="C101" s="205" t="s">
        <v>40</v>
      </c>
      <c r="D101" s="205" t="s">
        <v>1184</v>
      </c>
      <c r="E101" s="205" t="s">
        <v>90</v>
      </c>
      <c r="F101" s="206" t="s">
        <v>2825</v>
      </c>
      <c r="G101" s="208" t="s">
        <v>42</v>
      </c>
      <c r="H101" s="211">
        <v>1000</v>
      </c>
      <c r="I101" s="234">
        <v>200</v>
      </c>
      <c r="J101" s="205" t="s">
        <v>179</v>
      </c>
      <c r="K101" s="205" t="s">
        <v>43</v>
      </c>
      <c r="M101">
        <f t="shared" si="0"/>
        <v>200</v>
      </c>
    </row>
    <row r="102" spans="1:16" x14ac:dyDescent="0.25">
      <c r="A102" s="203">
        <v>13</v>
      </c>
      <c r="B102" s="205" t="s">
        <v>2824</v>
      </c>
      <c r="C102" s="205" t="s">
        <v>40</v>
      </c>
      <c r="D102" s="205" t="s">
        <v>1184</v>
      </c>
      <c r="E102" s="205" t="s">
        <v>90</v>
      </c>
      <c r="F102" s="206" t="s">
        <v>2825</v>
      </c>
      <c r="G102" s="393" t="s">
        <v>163</v>
      </c>
      <c r="H102" s="211">
        <v>1500</v>
      </c>
      <c r="I102" s="234">
        <v>1500</v>
      </c>
      <c r="J102" s="205" t="s">
        <v>179</v>
      </c>
      <c r="K102" s="205" t="s">
        <v>43</v>
      </c>
      <c r="M102">
        <f t="shared" si="0"/>
        <v>300</v>
      </c>
    </row>
    <row r="103" spans="1:16" x14ac:dyDescent="0.25">
      <c r="A103" s="203">
        <v>13</v>
      </c>
      <c r="B103" s="205" t="s">
        <v>2831</v>
      </c>
      <c r="C103" s="205" t="s">
        <v>40</v>
      </c>
      <c r="D103" s="205" t="s">
        <v>315</v>
      </c>
      <c r="E103" s="205" t="s">
        <v>45</v>
      </c>
      <c r="F103" s="206"/>
      <c r="G103" s="205" t="s">
        <v>42</v>
      </c>
      <c r="H103" s="211">
        <v>1000</v>
      </c>
      <c r="I103" s="234">
        <v>200</v>
      </c>
      <c r="J103" s="205" t="s">
        <v>179</v>
      </c>
      <c r="K103" s="205" t="s">
        <v>43</v>
      </c>
      <c r="M103">
        <f t="shared" si="0"/>
        <v>200</v>
      </c>
    </row>
    <row r="104" spans="1:16" x14ac:dyDescent="0.25">
      <c r="A104" s="203">
        <v>13</v>
      </c>
      <c r="B104" s="205" t="s">
        <v>2832</v>
      </c>
      <c r="C104" s="205" t="s">
        <v>40</v>
      </c>
      <c r="D104" s="205" t="s">
        <v>141</v>
      </c>
      <c r="E104" s="205" t="s">
        <v>45</v>
      </c>
      <c r="F104" s="206"/>
      <c r="G104" s="205" t="s">
        <v>42</v>
      </c>
      <c r="H104" s="211">
        <v>3000</v>
      </c>
      <c r="I104" s="234">
        <v>600</v>
      </c>
      <c r="J104" s="205" t="s">
        <v>179</v>
      </c>
      <c r="K104" s="205" t="s">
        <v>43</v>
      </c>
      <c r="M104">
        <f t="shared" si="0"/>
        <v>600</v>
      </c>
    </row>
    <row r="105" spans="1:16" x14ac:dyDescent="0.25">
      <c r="A105" s="203">
        <v>13</v>
      </c>
      <c r="B105" s="369" t="s">
        <v>2833</v>
      </c>
      <c r="C105" s="438" t="s">
        <v>48</v>
      </c>
      <c r="D105" s="205" t="s">
        <v>2586</v>
      </c>
      <c r="E105" s="205" t="s">
        <v>62</v>
      </c>
      <c r="F105" s="206" t="s">
        <v>2834</v>
      </c>
      <c r="G105" s="205" t="s">
        <v>42</v>
      </c>
      <c r="H105" s="211">
        <v>3000</v>
      </c>
      <c r="I105" s="234">
        <v>600</v>
      </c>
      <c r="J105" s="205" t="s">
        <v>179</v>
      </c>
      <c r="K105" s="205" t="s">
        <v>43</v>
      </c>
      <c r="M105">
        <f t="shared" si="0"/>
        <v>600</v>
      </c>
      <c r="P105" s="25"/>
    </row>
    <row r="106" spans="1:16" x14ac:dyDescent="0.25">
      <c r="A106" s="321">
        <v>13</v>
      </c>
      <c r="B106" s="205" t="s">
        <v>2835</v>
      </c>
      <c r="C106" s="205" t="s">
        <v>40</v>
      </c>
      <c r="D106" s="205" t="s">
        <v>2836</v>
      </c>
      <c r="E106" s="205" t="s">
        <v>72</v>
      </c>
      <c r="F106" s="206"/>
      <c r="G106" s="208" t="s">
        <v>42</v>
      </c>
      <c r="H106" s="211">
        <v>2500</v>
      </c>
      <c r="I106" s="234">
        <v>500</v>
      </c>
      <c r="J106" s="205" t="s">
        <v>179</v>
      </c>
      <c r="K106" s="205" t="s">
        <v>43</v>
      </c>
      <c r="M106">
        <f t="shared" si="0"/>
        <v>500</v>
      </c>
      <c r="P106" s="57"/>
    </row>
    <row r="107" spans="1:16" x14ac:dyDescent="0.25">
      <c r="A107" s="203">
        <v>15</v>
      </c>
      <c r="B107" s="205" t="s">
        <v>1909</v>
      </c>
      <c r="C107" s="205" t="s">
        <v>40</v>
      </c>
      <c r="D107" s="205" t="s">
        <v>1982</v>
      </c>
      <c r="E107" s="205" t="s">
        <v>50</v>
      </c>
      <c r="F107" s="206"/>
      <c r="G107" s="205" t="s">
        <v>42</v>
      </c>
      <c r="H107" s="211">
        <v>100</v>
      </c>
      <c r="I107" s="234" t="s">
        <v>255</v>
      </c>
      <c r="J107" s="205" t="s">
        <v>179</v>
      </c>
      <c r="K107" s="205" t="s">
        <v>43</v>
      </c>
      <c r="M107">
        <f t="shared" si="0"/>
        <v>20</v>
      </c>
      <c r="P107" s="57"/>
    </row>
    <row r="108" spans="1:16" x14ac:dyDescent="0.25">
      <c r="A108" s="203">
        <v>19</v>
      </c>
      <c r="B108" s="205" t="s">
        <v>2842</v>
      </c>
      <c r="C108" s="438" t="s">
        <v>48</v>
      </c>
      <c r="D108" s="205" t="s">
        <v>1932</v>
      </c>
      <c r="E108" s="205" t="s">
        <v>61</v>
      </c>
      <c r="F108" s="206" t="s">
        <v>2843</v>
      </c>
      <c r="G108" s="205" t="s">
        <v>42</v>
      </c>
      <c r="H108" s="211">
        <v>1000</v>
      </c>
      <c r="I108" s="234">
        <v>200</v>
      </c>
      <c r="J108" s="205" t="s">
        <v>179</v>
      </c>
      <c r="K108" s="205" t="s">
        <v>43</v>
      </c>
      <c r="M108">
        <f t="shared" si="0"/>
        <v>200</v>
      </c>
      <c r="P108" s="57"/>
    </row>
    <row r="109" spans="1:16" x14ac:dyDescent="0.25">
      <c r="A109" s="203">
        <v>19</v>
      </c>
      <c r="B109" s="205" t="s">
        <v>2130</v>
      </c>
      <c r="C109" s="205" t="s">
        <v>40</v>
      </c>
      <c r="D109" s="205" t="s">
        <v>2131</v>
      </c>
      <c r="E109" s="205" t="s">
        <v>59</v>
      </c>
      <c r="F109" s="206" t="s">
        <v>2132</v>
      </c>
      <c r="G109" s="205" t="s">
        <v>42</v>
      </c>
      <c r="H109" s="211">
        <v>300</v>
      </c>
      <c r="I109" s="234">
        <v>60</v>
      </c>
      <c r="J109" s="205" t="s">
        <v>179</v>
      </c>
      <c r="K109" s="205" t="s">
        <v>43</v>
      </c>
      <c r="M109">
        <f t="shared" si="0"/>
        <v>60</v>
      </c>
      <c r="P109" s="57"/>
    </row>
    <row r="110" spans="1:16" x14ac:dyDescent="0.25">
      <c r="A110" s="203">
        <v>19</v>
      </c>
      <c r="B110" s="205" t="s">
        <v>2844</v>
      </c>
      <c r="C110" s="205" t="s">
        <v>40</v>
      </c>
      <c r="D110" s="205" t="s">
        <v>1478</v>
      </c>
      <c r="E110" s="205" t="s">
        <v>45</v>
      </c>
      <c r="F110" s="206"/>
      <c r="G110" s="208" t="s">
        <v>42</v>
      </c>
      <c r="H110" s="211">
        <v>1000</v>
      </c>
      <c r="I110" s="234">
        <v>200</v>
      </c>
      <c r="J110" s="205" t="s">
        <v>179</v>
      </c>
      <c r="K110" s="205" t="s">
        <v>43</v>
      </c>
      <c r="M110">
        <f t="shared" si="0"/>
        <v>200</v>
      </c>
      <c r="P110" s="57"/>
    </row>
    <row r="111" spans="1:16" x14ac:dyDescent="0.25">
      <c r="A111" s="203">
        <v>19</v>
      </c>
      <c r="B111" s="205" t="s">
        <v>2845</v>
      </c>
      <c r="C111" s="205" t="s">
        <v>40</v>
      </c>
      <c r="D111" s="205" t="s">
        <v>145</v>
      </c>
      <c r="E111" s="205" t="s">
        <v>47</v>
      </c>
      <c r="F111" s="206"/>
      <c r="G111" s="205" t="s">
        <v>42</v>
      </c>
      <c r="H111" s="211">
        <v>3000</v>
      </c>
      <c r="I111" s="234">
        <v>600</v>
      </c>
      <c r="J111" s="205" t="s">
        <v>179</v>
      </c>
      <c r="K111" s="205" t="s">
        <v>43</v>
      </c>
      <c r="M111">
        <f t="shared" si="0"/>
        <v>600</v>
      </c>
      <c r="P111" s="57"/>
    </row>
    <row r="112" spans="1:16" x14ac:dyDescent="0.25">
      <c r="A112" s="203">
        <v>19</v>
      </c>
      <c r="B112" s="205" t="s">
        <v>2180</v>
      </c>
      <c r="C112" s="205" t="s">
        <v>40</v>
      </c>
      <c r="D112" s="205" t="s">
        <v>2181</v>
      </c>
      <c r="E112" s="205" t="s">
        <v>46</v>
      </c>
      <c r="F112" s="206" t="s">
        <v>2846</v>
      </c>
      <c r="G112" s="205" t="s">
        <v>42</v>
      </c>
      <c r="H112" s="211">
        <v>3000</v>
      </c>
      <c r="I112" s="234">
        <v>600</v>
      </c>
      <c r="J112" s="205" t="s">
        <v>179</v>
      </c>
      <c r="K112" s="205" t="s">
        <v>43</v>
      </c>
      <c r="M112">
        <f t="shared" si="0"/>
        <v>600</v>
      </c>
      <c r="P112" s="57"/>
    </row>
    <row r="113" spans="1:16" x14ac:dyDescent="0.25">
      <c r="A113" s="203">
        <v>19</v>
      </c>
      <c r="B113" s="205" t="s">
        <v>2169</v>
      </c>
      <c r="C113" s="438" t="s">
        <v>48</v>
      </c>
      <c r="D113" s="205" t="s">
        <v>297</v>
      </c>
      <c r="E113" s="205" t="s">
        <v>46</v>
      </c>
      <c r="F113" s="206" t="s">
        <v>2847</v>
      </c>
      <c r="G113" s="208" t="s">
        <v>42</v>
      </c>
      <c r="H113" s="211">
        <v>18000</v>
      </c>
      <c r="I113" s="234">
        <v>3600</v>
      </c>
      <c r="J113" s="205" t="s">
        <v>179</v>
      </c>
      <c r="K113" s="205" t="s">
        <v>43</v>
      </c>
      <c r="M113">
        <f t="shared" si="0"/>
        <v>3600</v>
      </c>
      <c r="P113" s="57"/>
    </row>
    <row r="114" spans="1:16" x14ac:dyDescent="0.25">
      <c r="A114" s="203">
        <v>19</v>
      </c>
      <c r="B114" s="205" t="s">
        <v>2848</v>
      </c>
      <c r="C114" s="205" t="s">
        <v>40</v>
      </c>
      <c r="D114" s="205" t="s">
        <v>1776</v>
      </c>
      <c r="E114" s="205" t="s">
        <v>45</v>
      </c>
      <c r="F114" s="206" t="s">
        <v>2849</v>
      </c>
      <c r="G114" s="208" t="s">
        <v>42</v>
      </c>
      <c r="H114" s="211">
        <v>700</v>
      </c>
      <c r="I114" s="234">
        <v>140</v>
      </c>
      <c r="J114" s="205" t="s">
        <v>179</v>
      </c>
      <c r="K114" s="205" t="s">
        <v>43</v>
      </c>
      <c r="M114">
        <f t="shared" si="0"/>
        <v>140</v>
      </c>
      <c r="P114" s="57"/>
    </row>
    <row r="115" spans="1:16" x14ac:dyDescent="0.25">
      <c r="A115" s="203">
        <v>19</v>
      </c>
      <c r="B115" s="205" t="s">
        <v>2850</v>
      </c>
      <c r="C115" s="438" t="s">
        <v>48</v>
      </c>
      <c r="D115" s="205" t="s">
        <v>732</v>
      </c>
      <c r="E115" s="205" t="s">
        <v>45</v>
      </c>
      <c r="F115" s="206" t="s">
        <v>2849</v>
      </c>
      <c r="G115" s="208" t="s">
        <v>42</v>
      </c>
      <c r="H115" s="211">
        <v>2500</v>
      </c>
      <c r="I115" s="234">
        <v>500</v>
      </c>
      <c r="J115" s="205" t="s">
        <v>179</v>
      </c>
      <c r="K115" s="205" t="s">
        <v>43</v>
      </c>
      <c r="M115">
        <f t="shared" si="0"/>
        <v>500</v>
      </c>
      <c r="P115" s="57"/>
    </row>
    <row r="116" spans="1:16" x14ac:dyDescent="0.25">
      <c r="A116" s="203">
        <v>19</v>
      </c>
      <c r="B116" s="205" t="s">
        <v>2851</v>
      </c>
      <c r="C116" s="205" t="s">
        <v>40</v>
      </c>
      <c r="D116" s="205" t="s">
        <v>159</v>
      </c>
      <c r="E116" s="205" t="s">
        <v>52</v>
      </c>
      <c r="F116" s="206" t="s">
        <v>2852</v>
      </c>
      <c r="G116" s="205" t="s">
        <v>42</v>
      </c>
      <c r="H116" s="211">
        <v>700</v>
      </c>
      <c r="I116" s="234">
        <v>140</v>
      </c>
      <c r="J116" s="205" t="s">
        <v>179</v>
      </c>
      <c r="K116" s="205" t="s">
        <v>43</v>
      </c>
      <c r="M116">
        <f t="shared" si="0"/>
        <v>140</v>
      </c>
      <c r="P116" s="57"/>
    </row>
    <row r="117" spans="1:16" x14ac:dyDescent="0.25">
      <c r="A117" s="203">
        <v>19</v>
      </c>
      <c r="B117" s="205" t="s">
        <v>2853</v>
      </c>
      <c r="C117" s="205" t="s">
        <v>40</v>
      </c>
      <c r="D117" s="205" t="s">
        <v>725</v>
      </c>
      <c r="E117" s="205" t="s">
        <v>45</v>
      </c>
      <c r="F117" s="206"/>
      <c r="G117" s="205" t="s">
        <v>42</v>
      </c>
      <c r="H117" s="211">
        <v>250</v>
      </c>
      <c r="I117" s="234">
        <v>50</v>
      </c>
      <c r="J117" s="205" t="s">
        <v>179</v>
      </c>
      <c r="K117" s="205" t="s">
        <v>43</v>
      </c>
      <c r="M117">
        <f t="shared" si="0"/>
        <v>50</v>
      </c>
      <c r="P117" s="57"/>
    </row>
    <row r="118" spans="1:16" x14ac:dyDescent="0.25">
      <c r="A118" s="203">
        <v>19</v>
      </c>
      <c r="B118" s="205" t="s">
        <v>2854</v>
      </c>
      <c r="C118" s="205" t="s">
        <v>40</v>
      </c>
      <c r="D118" s="205" t="s">
        <v>498</v>
      </c>
      <c r="E118" s="205" t="s">
        <v>59</v>
      </c>
      <c r="F118" s="206"/>
      <c r="G118" s="205" t="s">
        <v>42</v>
      </c>
      <c r="H118" s="211">
        <v>1500</v>
      </c>
      <c r="I118" s="234">
        <v>300</v>
      </c>
      <c r="J118" s="205" t="s">
        <v>179</v>
      </c>
      <c r="K118" s="205" t="s">
        <v>43</v>
      </c>
      <c r="M118">
        <f t="shared" si="0"/>
        <v>300</v>
      </c>
      <c r="P118" s="57"/>
    </row>
    <row r="119" spans="1:16" x14ac:dyDescent="0.25">
      <c r="A119" s="203">
        <v>19</v>
      </c>
      <c r="B119" s="205" t="s">
        <v>2855</v>
      </c>
      <c r="C119" s="205" t="s">
        <v>40</v>
      </c>
      <c r="D119" s="205" t="s">
        <v>677</v>
      </c>
      <c r="E119" s="205" t="s">
        <v>59</v>
      </c>
      <c r="F119" s="206"/>
      <c r="G119" s="205" t="s">
        <v>42</v>
      </c>
      <c r="H119" s="211">
        <v>250</v>
      </c>
      <c r="I119" s="234">
        <v>50</v>
      </c>
      <c r="J119" s="205" t="s">
        <v>179</v>
      </c>
      <c r="K119" s="205" t="s">
        <v>43</v>
      </c>
      <c r="M119">
        <f t="shared" si="0"/>
        <v>50</v>
      </c>
      <c r="P119" s="57"/>
    </row>
    <row r="120" spans="1:16" x14ac:dyDescent="0.25">
      <c r="A120" s="203">
        <v>19</v>
      </c>
      <c r="B120" s="205" t="s">
        <v>1315</v>
      </c>
      <c r="C120" s="205" t="s">
        <v>40</v>
      </c>
      <c r="D120" s="205" t="s">
        <v>1316</v>
      </c>
      <c r="E120" s="205" t="s">
        <v>52</v>
      </c>
      <c r="F120" s="206"/>
      <c r="G120" s="205" t="s">
        <v>42</v>
      </c>
      <c r="H120" s="211">
        <v>1000</v>
      </c>
      <c r="I120" s="234">
        <v>200</v>
      </c>
      <c r="J120" s="205" t="s">
        <v>179</v>
      </c>
      <c r="K120" s="205" t="s">
        <v>43</v>
      </c>
      <c r="M120">
        <f t="shared" si="0"/>
        <v>200</v>
      </c>
      <c r="P120" s="57"/>
    </row>
    <row r="121" spans="1:16" x14ac:dyDescent="0.25">
      <c r="A121" s="203">
        <v>19</v>
      </c>
      <c r="B121" s="205" t="s">
        <v>2770</v>
      </c>
      <c r="C121" s="205" t="s">
        <v>40</v>
      </c>
      <c r="D121" s="205" t="s">
        <v>380</v>
      </c>
      <c r="E121" s="205" t="s">
        <v>45</v>
      </c>
      <c r="F121" s="206"/>
      <c r="G121" s="205" t="s">
        <v>42</v>
      </c>
      <c r="H121" s="211">
        <v>3000</v>
      </c>
      <c r="I121" s="234">
        <v>600</v>
      </c>
      <c r="J121" s="205" t="s">
        <v>179</v>
      </c>
      <c r="K121" s="205" t="s">
        <v>43</v>
      </c>
      <c r="M121">
        <f t="shared" si="0"/>
        <v>600</v>
      </c>
      <c r="P121" s="57"/>
    </row>
    <row r="122" spans="1:16" x14ac:dyDescent="0.25">
      <c r="A122" s="203">
        <v>19</v>
      </c>
      <c r="B122" s="205" t="s">
        <v>2856</v>
      </c>
      <c r="C122" s="205" t="s">
        <v>40</v>
      </c>
      <c r="D122" s="205" t="s">
        <v>2857</v>
      </c>
      <c r="E122" s="205" t="s">
        <v>61</v>
      </c>
      <c r="F122" s="206"/>
      <c r="G122" s="205" t="s">
        <v>42</v>
      </c>
      <c r="H122" s="211">
        <v>1500</v>
      </c>
      <c r="I122" s="234">
        <v>300</v>
      </c>
      <c r="J122" s="205" t="s">
        <v>179</v>
      </c>
      <c r="K122" s="205" t="s">
        <v>43</v>
      </c>
      <c r="M122">
        <f t="shared" si="0"/>
        <v>300</v>
      </c>
      <c r="P122" s="57"/>
    </row>
    <row r="123" spans="1:16" x14ac:dyDescent="0.25">
      <c r="A123" s="203">
        <v>20</v>
      </c>
      <c r="B123" s="205" t="s">
        <v>2858</v>
      </c>
      <c r="C123" s="205" t="s">
        <v>40</v>
      </c>
      <c r="D123" s="205" t="s">
        <v>2859</v>
      </c>
      <c r="E123" s="205" t="s">
        <v>59</v>
      </c>
      <c r="F123" s="206"/>
      <c r="G123" s="205" t="s">
        <v>42</v>
      </c>
      <c r="H123" s="211">
        <v>300</v>
      </c>
      <c r="I123" s="234">
        <v>60</v>
      </c>
      <c r="J123" s="205" t="s">
        <v>179</v>
      </c>
      <c r="K123" s="205" t="s">
        <v>43</v>
      </c>
      <c r="M123">
        <f t="shared" si="0"/>
        <v>60</v>
      </c>
      <c r="P123" s="57"/>
    </row>
    <row r="124" spans="1:16" x14ac:dyDescent="0.25">
      <c r="A124" s="203">
        <v>20</v>
      </c>
      <c r="B124" s="205" t="s">
        <v>2860</v>
      </c>
      <c r="C124" s="205" t="s">
        <v>40</v>
      </c>
      <c r="D124" s="205" t="s">
        <v>297</v>
      </c>
      <c r="E124" s="205" t="s">
        <v>46</v>
      </c>
      <c r="F124" s="206" t="s">
        <v>2861</v>
      </c>
      <c r="G124" s="205" t="s">
        <v>42</v>
      </c>
      <c r="H124" s="211">
        <v>6000</v>
      </c>
      <c r="I124" s="234">
        <v>1200</v>
      </c>
      <c r="J124" s="205" t="s">
        <v>179</v>
      </c>
      <c r="K124" s="205" t="s">
        <v>43</v>
      </c>
      <c r="M124">
        <f t="shared" si="0"/>
        <v>1200</v>
      </c>
      <c r="P124" s="57"/>
    </row>
    <row r="125" spans="1:16" x14ac:dyDescent="0.25">
      <c r="A125" s="203">
        <v>20</v>
      </c>
      <c r="B125" s="205" t="s">
        <v>2862</v>
      </c>
      <c r="C125" s="205" t="s">
        <v>40</v>
      </c>
      <c r="D125" s="205" t="s">
        <v>178</v>
      </c>
      <c r="E125" s="205" t="s">
        <v>44</v>
      </c>
      <c r="F125" s="206" t="s">
        <v>2863</v>
      </c>
      <c r="G125" s="205" t="s">
        <v>42</v>
      </c>
      <c r="H125" s="211">
        <v>5000</v>
      </c>
      <c r="I125" s="234">
        <v>1000</v>
      </c>
      <c r="J125" s="205" t="s">
        <v>179</v>
      </c>
      <c r="K125" s="205" t="s">
        <v>43</v>
      </c>
      <c r="M125">
        <f t="shared" si="0"/>
        <v>1000</v>
      </c>
      <c r="P125" s="57"/>
    </row>
    <row r="126" spans="1:16" x14ac:dyDescent="0.25">
      <c r="A126" s="203">
        <v>20</v>
      </c>
      <c r="B126" s="205" t="s">
        <v>2864</v>
      </c>
      <c r="C126" s="205" t="s">
        <v>40</v>
      </c>
      <c r="D126" s="205" t="s">
        <v>1263</v>
      </c>
      <c r="E126" s="205" t="s">
        <v>51</v>
      </c>
      <c r="F126" s="206" t="s">
        <v>2865</v>
      </c>
      <c r="G126" s="205" t="s">
        <v>42</v>
      </c>
      <c r="H126" s="211">
        <v>1000</v>
      </c>
      <c r="I126" s="234">
        <v>200</v>
      </c>
      <c r="J126" s="205" t="s">
        <v>179</v>
      </c>
      <c r="K126" s="205" t="s">
        <v>43</v>
      </c>
      <c r="M126">
        <f t="shared" si="0"/>
        <v>200</v>
      </c>
      <c r="P126" s="57"/>
    </row>
    <row r="127" spans="1:16" x14ac:dyDescent="0.25">
      <c r="A127" s="203">
        <v>20</v>
      </c>
      <c r="B127" s="205" t="s">
        <v>2866</v>
      </c>
      <c r="C127" s="205" t="s">
        <v>40</v>
      </c>
      <c r="D127" s="205" t="s">
        <v>141</v>
      </c>
      <c r="E127" s="205" t="s">
        <v>45</v>
      </c>
      <c r="F127" s="206"/>
      <c r="G127" s="205" t="s">
        <v>42</v>
      </c>
      <c r="H127" s="211">
        <v>200</v>
      </c>
      <c r="I127" s="234">
        <v>40</v>
      </c>
      <c r="J127" s="205" t="s">
        <v>179</v>
      </c>
      <c r="K127" s="205" t="s">
        <v>43</v>
      </c>
      <c r="M127">
        <f t="shared" si="0"/>
        <v>40</v>
      </c>
      <c r="P127" s="57"/>
    </row>
    <row r="128" spans="1:16" x14ac:dyDescent="0.25">
      <c r="A128" s="203">
        <v>20</v>
      </c>
      <c r="B128" s="205" t="s">
        <v>2867</v>
      </c>
      <c r="C128" s="205" t="s">
        <v>40</v>
      </c>
      <c r="D128" s="205"/>
      <c r="E128" s="205" t="s">
        <v>63</v>
      </c>
      <c r="F128" s="206" t="s">
        <v>2868</v>
      </c>
      <c r="G128" s="205" t="s">
        <v>42</v>
      </c>
      <c r="H128" s="211">
        <v>2000</v>
      </c>
      <c r="I128" s="234">
        <v>400</v>
      </c>
      <c r="J128" s="205" t="s">
        <v>179</v>
      </c>
      <c r="K128" s="205" t="s">
        <v>43</v>
      </c>
      <c r="M128">
        <f t="shared" si="0"/>
        <v>400</v>
      </c>
      <c r="P128" s="57"/>
    </row>
    <row r="129" spans="1:17" x14ac:dyDescent="0.25">
      <c r="A129" s="203">
        <v>20</v>
      </c>
      <c r="B129" s="205" t="s">
        <v>2869</v>
      </c>
      <c r="C129" s="205" t="s">
        <v>40</v>
      </c>
      <c r="D129" s="205" t="s">
        <v>1610</v>
      </c>
      <c r="E129" s="205" t="s">
        <v>60</v>
      </c>
      <c r="F129" s="206" t="s">
        <v>2870</v>
      </c>
      <c r="G129" s="205" t="s">
        <v>42</v>
      </c>
      <c r="H129" s="211">
        <v>800</v>
      </c>
      <c r="I129" s="234">
        <v>160</v>
      </c>
      <c r="J129" s="205" t="s">
        <v>179</v>
      </c>
      <c r="K129" s="205" t="s">
        <v>43</v>
      </c>
      <c r="M129">
        <f t="shared" si="0"/>
        <v>160</v>
      </c>
      <c r="P129" s="57"/>
    </row>
    <row r="130" spans="1:17" x14ac:dyDescent="0.25">
      <c r="A130" s="203">
        <v>20</v>
      </c>
      <c r="B130" s="205" t="s">
        <v>2869</v>
      </c>
      <c r="C130" s="205" t="s">
        <v>40</v>
      </c>
      <c r="D130" s="205" t="s">
        <v>1610</v>
      </c>
      <c r="E130" s="205" t="s">
        <v>60</v>
      </c>
      <c r="F130" s="206" t="s">
        <v>2870</v>
      </c>
      <c r="G130" s="205" t="s">
        <v>42</v>
      </c>
      <c r="H130" s="211">
        <v>1200</v>
      </c>
      <c r="I130" s="234" t="s">
        <v>255</v>
      </c>
      <c r="J130" s="205" t="s">
        <v>179</v>
      </c>
      <c r="K130" s="205" t="s">
        <v>43</v>
      </c>
      <c r="M130">
        <f t="shared" si="0"/>
        <v>240</v>
      </c>
      <c r="P130" s="57"/>
    </row>
    <row r="131" spans="1:17" x14ac:dyDescent="0.25">
      <c r="A131" s="203">
        <v>20</v>
      </c>
      <c r="B131" s="205" t="s">
        <v>2871</v>
      </c>
      <c r="C131" s="205" t="s">
        <v>40</v>
      </c>
      <c r="D131" s="205" t="s">
        <v>2872</v>
      </c>
      <c r="E131" s="205" t="s">
        <v>60</v>
      </c>
      <c r="F131" s="206"/>
      <c r="G131" s="205" t="s">
        <v>42</v>
      </c>
      <c r="H131" s="211">
        <v>900</v>
      </c>
      <c r="I131" s="234" t="s">
        <v>255</v>
      </c>
      <c r="J131" s="205" t="s">
        <v>179</v>
      </c>
      <c r="K131" s="205" t="s">
        <v>43</v>
      </c>
      <c r="M131">
        <f t="shared" si="0"/>
        <v>180</v>
      </c>
      <c r="P131" s="57"/>
    </row>
    <row r="132" spans="1:17" x14ac:dyDescent="0.25">
      <c r="A132" s="203">
        <v>21</v>
      </c>
      <c r="B132" s="205" t="s">
        <v>2873</v>
      </c>
      <c r="C132" s="205" t="s">
        <v>40</v>
      </c>
      <c r="D132" s="205" t="s">
        <v>725</v>
      </c>
      <c r="E132" s="205" t="s">
        <v>45</v>
      </c>
      <c r="F132" s="206"/>
      <c r="G132" s="205" t="s">
        <v>42</v>
      </c>
      <c r="H132" s="211">
        <v>1000</v>
      </c>
      <c r="I132" s="234">
        <v>200</v>
      </c>
      <c r="J132" s="205" t="s">
        <v>179</v>
      </c>
      <c r="K132" s="205" t="s">
        <v>43</v>
      </c>
      <c r="M132">
        <f t="shared" si="0"/>
        <v>200</v>
      </c>
      <c r="P132" s="57"/>
    </row>
    <row r="133" spans="1:17" x14ac:dyDescent="0.25">
      <c r="A133" s="203">
        <v>21</v>
      </c>
      <c r="B133" s="205" t="s">
        <v>2874</v>
      </c>
      <c r="C133" s="205" t="s">
        <v>40</v>
      </c>
      <c r="D133" s="205" t="s">
        <v>156</v>
      </c>
      <c r="E133" s="205" t="s">
        <v>44</v>
      </c>
      <c r="F133" s="206" t="s">
        <v>2875</v>
      </c>
      <c r="G133" s="205" t="s">
        <v>42</v>
      </c>
      <c r="H133" s="211">
        <v>24000</v>
      </c>
      <c r="I133" s="234">
        <v>4800</v>
      </c>
      <c r="J133" s="205" t="s">
        <v>179</v>
      </c>
      <c r="K133" s="205" t="s">
        <v>43</v>
      </c>
      <c r="M133">
        <f t="shared" si="0"/>
        <v>4800</v>
      </c>
      <c r="P133" s="57"/>
      <c r="Q133">
        <v>42</v>
      </c>
    </row>
    <row r="134" spans="1:17" x14ac:dyDescent="0.25">
      <c r="A134" s="203">
        <v>21</v>
      </c>
      <c r="B134" s="205" t="s">
        <v>2320</v>
      </c>
      <c r="C134" s="205" t="s">
        <v>40</v>
      </c>
      <c r="D134" s="205" t="s">
        <v>488</v>
      </c>
      <c r="E134" s="205" t="s">
        <v>44</v>
      </c>
      <c r="F134" s="206" t="s">
        <v>2321</v>
      </c>
      <c r="G134" s="205" t="s">
        <v>42</v>
      </c>
      <c r="H134" s="211">
        <v>5000</v>
      </c>
      <c r="I134" s="234">
        <v>1000</v>
      </c>
      <c r="J134" s="205" t="s">
        <v>179</v>
      </c>
      <c r="K134" s="205" t="s">
        <v>43</v>
      </c>
      <c r="M134">
        <f t="shared" si="0"/>
        <v>1000</v>
      </c>
      <c r="P134" s="57"/>
    </row>
    <row r="135" spans="1:17" x14ac:dyDescent="0.25">
      <c r="A135" s="203">
        <v>21</v>
      </c>
      <c r="B135" s="205" t="s">
        <v>2876</v>
      </c>
      <c r="C135" s="438" t="s">
        <v>48</v>
      </c>
      <c r="D135" s="205" t="s">
        <v>2877</v>
      </c>
      <c r="E135" s="205" t="s">
        <v>74</v>
      </c>
      <c r="F135" s="206" t="s">
        <v>2878</v>
      </c>
      <c r="G135" s="205" t="s">
        <v>42</v>
      </c>
      <c r="H135" s="211">
        <v>2000</v>
      </c>
      <c r="I135" s="234">
        <v>400</v>
      </c>
      <c r="J135" s="205" t="s">
        <v>179</v>
      </c>
      <c r="K135" s="205" t="s">
        <v>43</v>
      </c>
      <c r="M135">
        <f t="shared" si="0"/>
        <v>400</v>
      </c>
      <c r="P135" s="57"/>
    </row>
    <row r="136" spans="1:17" x14ac:dyDescent="0.25">
      <c r="A136" s="203">
        <v>21</v>
      </c>
      <c r="B136" s="205" t="s">
        <v>2904</v>
      </c>
      <c r="C136" s="205" t="s">
        <v>40</v>
      </c>
      <c r="D136" s="205" t="s">
        <v>372</v>
      </c>
      <c r="E136" s="205" t="s">
        <v>44</v>
      </c>
      <c r="F136" s="206"/>
      <c r="G136" s="205" t="s">
        <v>42</v>
      </c>
      <c r="H136" s="211">
        <v>3000</v>
      </c>
      <c r="I136" s="234">
        <v>600</v>
      </c>
      <c r="J136" s="205" t="s">
        <v>179</v>
      </c>
      <c r="K136" s="205" t="s">
        <v>43</v>
      </c>
      <c r="M136">
        <f t="shared" si="0"/>
        <v>600</v>
      </c>
      <c r="P136" s="57"/>
    </row>
    <row r="137" spans="1:17" x14ac:dyDescent="0.25">
      <c r="A137" s="203">
        <v>21</v>
      </c>
      <c r="B137" s="205" t="s">
        <v>2879</v>
      </c>
      <c r="C137" s="438" t="s">
        <v>48</v>
      </c>
      <c r="D137" s="205" t="s">
        <v>146</v>
      </c>
      <c r="E137" s="205" t="s">
        <v>57</v>
      </c>
      <c r="F137" s="206" t="s">
        <v>2880</v>
      </c>
      <c r="G137" s="205" t="s">
        <v>42</v>
      </c>
      <c r="H137" s="211">
        <v>100</v>
      </c>
      <c r="I137" s="234">
        <v>20</v>
      </c>
      <c r="J137" s="205" t="s">
        <v>179</v>
      </c>
      <c r="K137" s="205" t="s">
        <v>43</v>
      </c>
      <c r="M137">
        <f t="shared" si="0"/>
        <v>20</v>
      </c>
      <c r="P137" s="57"/>
    </row>
    <row r="138" spans="1:17" x14ac:dyDescent="0.25">
      <c r="A138" s="203">
        <v>22</v>
      </c>
      <c r="B138" s="205" t="s">
        <v>2881</v>
      </c>
      <c r="C138" s="205" t="s">
        <v>40</v>
      </c>
      <c r="D138" s="205" t="s">
        <v>873</v>
      </c>
      <c r="E138" s="205" t="s">
        <v>57</v>
      </c>
      <c r="F138" s="206" t="s">
        <v>2882</v>
      </c>
      <c r="G138" s="205" t="s">
        <v>42</v>
      </c>
      <c r="H138" s="211">
        <v>3000</v>
      </c>
      <c r="I138" s="234">
        <v>600</v>
      </c>
      <c r="J138" s="205" t="s">
        <v>179</v>
      </c>
      <c r="K138" s="205" t="s">
        <v>43</v>
      </c>
      <c r="M138">
        <f t="shared" si="0"/>
        <v>600</v>
      </c>
      <c r="P138" s="57"/>
    </row>
    <row r="139" spans="1:17" x14ac:dyDescent="0.25">
      <c r="A139" s="203">
        <v>27</v>
      </c>
      <c r="B139" s="205" t="s">
        <v>2883</v>
      </c>
      <c r="C139" s="205" t="s">
        <v>40</v>
      </c>
      <c r="D139" s="205" t="s">
        <v>144</v>
      </c>
      <c r="E139" s="205" t="s">
        <v>57</v>
      </c>
      <c r="F139" s="206"/>
      <c r="G139" s="205" t="s">
        <v>42</v>
      </c>
      <c r="H139" s="211">
        <v>7500</v>
      </c>
      <c r="I139" s="234">
        <v>1500</v>
      </c>
      <c r="J139" s="205" t="s">
        <v>179</v>
      </c>
      <c r="K139" s="205" t="s">
        <v>43</v>
      </c>
      <c r="M139">
        <f t="shared" si="0"/>
        <v>1500</v>
      </c>
      <c r="P139" s="57"/>
    </row>
    <row r="140" spans="1:17" x14ac:dyDescent="0.25">
      <c r="A140" s="203">
        <v>27</v>
      </c>
      <c r="B140" s="205" t="s">
        <v>2884</v>
      </c>
      <c r="C140" s="205" t="s">
        <v>40</v>
      </c>
      <c r="D140" s="205" t="s">
        <v>2885</v>
      </c>
      <c r="E140" s="205" t="s">
        <v>57</v>
      </c>
      <c r="F140" s="206" t="s">
        <v>2886</v>
      </c>
      <c r="G140" s="205" t="s">
        <v>42</v>
      </c>
      <c r="H140" s="211">
        <v>5000</v>
      </c>
      <c r="I140" s="234">
        <v>1000</v>
      </c>
      <c r="J140" s="205" t="s">
        <v>179</v>
      </c>
      <c r="K140" s="205" t="s">
        <v>43</v>
      </c>
      <c r="M140">
        <f t="shared" si="0"/>
        <v>1000</v>
      </c>
      <c r="P140" s="57"/>
    </row>
    <row r="141" spans="1:17" x14ac:dyDescent="0.25">
      <c r="A141" s="203">
        <v>27</v>
      </c>
      <c r="B141" s="205" t="s">
        <v>2887</v>
      </c>
      <c r="C141" s="205" t="s">
        <v>40</v>
      </c>
      <c r="D141" s="205" t="s">
        <v>2441</v>
      </c>
      <c r="E141" s="205" t="s">
        <v>64</v>
      </c>
      <c r="F141" s="206"/>
      <c r="G141" s="205" t="s">
        <v>42</v>
      </c>
      <c r="H141" s="211">
        <v>5000</v>
      </c>
      <c r="I141" s="234">
        <v>1000</v>
      </c>
      <c r="J141" s="205" t="s">
        <v>179</v>
      </c>
      <c r="K141" s="205" t="s">
        <v>43</v>
      </c>
      <c r="M141">
        <f t="shared" si="0"/>
        <v>1000</v>
      </c>
      <c r="P141" s="57"/>
    </row>
    <row r="142" spans="1:17" x14ac:dyDescent="0.25">
      <c r="A142" s="203">
        <v>27</v>
      </c>
      <c r="B142" s="205" t="s">
        <v>2888</v>
      </c>
      <c r="C142" s="205" t="s">
        <v>40</v>
      </c>
      <c r="D142" s="205" t="s">
        <v>451</v>
      </c>
      <c r="E142" s="205" t="s">
        <v>57</v>
      </c>
      <c r="F142" s="206"/>
      <c r="G142" s="205" t="s">
        <v>42</v>
      </c>
      <c r="H142" s="211">
        <v>850</v>
      </c>
      <c r="I142" s="234">
        <v>170</v>
      </c>
      <c r="J142" s="205" t="s">
        <v>179</v>
      </c>
      <c r="K142" s="205" t="s">
        <v>43</v>
      </c>
      <c r="M142">
        <f t="shared" si="0"/>
        <v>170</v>
      </c>
      <c r="P142" s="57"/>
    </row>
    <row r="143" spans="1:17" x14ac:dyDescent="0.25">
      <c r="A143" s="203">
        <v>27</v>
      </c>
      <c r="B143" s="205" t="s">
        <v>2889</v>
      </c>
      <c r="C143" s="205" t="s">
        <v>40</v>
      </c>
      <c r="D143" s="205" t="s">
        <v>1036</v>
      </c>
      <c r="E143" s="205" t="s">
        <v>60</v>
      </c>
      <c r="F143" s="206"/>
      <c r="G143" s="205" t="s">
        <v>42</v>
      </c>
      <c r="H143" s="211">
        <v>2000</v>
      </c>
      <c r="I143" s="234">
        <v>400</v>
      </c>
      <c r="J143" s="205" t="s">
        <v>179</v>
      </c>
      <c r="K143" s="205" t="s">
        <v>43</v>
      </c>
      <c r="M143">
        <f t="shared" si="0"/>
        <v>400</v>
      </c>
      <c r="P143" s="57"/>
    </row>
    <row r="144" spans="1:17" x14ac:dyDescent="0.25">
      <c r="A144" s="203">
        <v>27</v>
      </c>
      <c r="B144" s="205" t="s">
        <v>2879</v>
      </c>
      <c r="C144" s="438" t="s">
        <v>48</v>
      </c>
      <c r="D144" s="205" t="s">
        <v>146</v>
      </c>
      <c r="E144" s="205" t="s">
        <v>57</v>
      </c>
      <c r="F144" s="206" t="s">
        <v>2880</v>
      </c>
      <c r="G144" s="205" t="s">
        <v>42</v>
      </c>
      <c r="H144" s="211">
        <v>500</v>
      </c>
      <c r="I144" s="234">
        <v>100</v>
      </c>
      <c r="J144" s="205" t="s">
        <v>179</v>
      </c>
      <c r="K144" s="205" t="s">
        <v>43</v>
      </c>
      <c r="M144">
        <f t="shared" si="0"/>
        <v>100</v>
      </c>
      <c r="P144" s="57"/>
    </row>
    <row r="145" spans="1:16" x14ac:dyDescent="0.25">
      <c r="A145" s="203">
        <v>27</v>
      </c>
      <c r="B145" s="205" t="s">
        <v>1863</v>
      </c>
      <c r="C145" s="205" t="s">
        <v>40</v>
      </c>
      <c r="D145" s="205" t="s">
        <v>141</v>
      </c>
      <c r="E145" s="205" t="s">
        <v>45</v>
      </c>
      <c r="F145" s="206"/>
      <c r="G145" s="208" t="s">
        <v>42</v>
      </c>
      <c r="H145" s="211">
        <v>3000</v>
      </c>
      <c r="I145" s="234">
        <v>600</v>
      </c>
      <c r="J145" s="205" t="s">
        <v>179</v>
      </c>
      <c r="K145" s="205" t="s">
        <v>43</v>
      </c>
      <c r="M145">
        <f t="shared" si="0"/>
        <v>600</v>
      </c>
      <c r="P145" s="57"/>
    </row>
    <row r="146" spans="1:16" x14ac:dyDescent="0.25">
      <c r="A146" s="203">
        <v>27</v>
      </c>
      <c r="B146" s="205" t="s">
        <v>2890</v>
      </c>
      <c r="C146" s="438" t="s">
        <v>48</v>
      </c>
      <c r="D146" s="205" t="s">
        <v>1036</v>
      </c>
      <c r="E146" s="205" t="s">
        <v>60</v>
      </c>
      <c r="F146" s="206" t="s">
        <v>2891</v>
      </c>
      <c r="G146" s="205" t="s">
        <v>42</v>
      </c>
      <c r="H146" s="211">
        <v>5000</v>
      </c>
      <c r="I146" s="234">
        <v>1000</v>
      </c>
      <c r="J146" s="205" t="s">
        <v>179</v>
      </c>
      <c r="K146" s="205" t="s">
        <v>43</v>
      </c>
      <c r="M146">
        <f t="shared" si="0"/>
        <v>1000</v>
      </c>
      <c r="P146" s="57"/>
    </row>
    <row r="147" spans="1:16" x14ac:dyDescent="0.25">
      <c r="A147" s="203">
        <v>27</v>
      </c>
      <c r="B147" s="205" t="s">
        <v>324</v>
      </c>
      <c r="C147" s="205" t="s">
        <v>40</v>
      </c>
      <c r="D147" s="205" t="s">
        <v>145</v>
      </c>
      <c r="E147" s="205" t="s">
        <v>56</v>
      </c>
      <c r="F147" s="206" t="s">
        <v>2892</v>
      </c>
      <c r="G147" s="205" t="s">
        <v>42</v>
      </c>
      <c r="H147" s="211">
        <v>10000</v>
      </c>
      <c r="I147" s="234">
        <v>2000</v>
      </c>
      <c r="J147" s="205" t="s">
        <v>179</v>
      </c>
      <c r="K147" s="205" t="s">
        <v>43</v>
      </c>
      <c r="M147">
        <f t="shared" si="0"/>
        <v>2000</v>
      </c>
      <c r="P147" s="57"/>
    </row>
    <row r="148" spans="1:16" x14ac:dyDescent="0.25">
      <c r="A148" s="203">
        <v>27</v>
      </c>
      <c r="B148" s="205" t="s">
        <v>2893</v>
      </c>
      <c r="C148" s="205" t="s">
        <v>40</v>
      </c>
      <c r="D148" s="205" t="s">
        <v>402</v>
      </c>
      <c r="E148" s="205" t="s">
        <v>64</v>
      </c>
      <c r="F148" s="206" t="s">
        <v>2894</v>
      </c>
      <c r="G148" s="205" t="s">
        <v>42</v>
      </c>
      <c r="H148" s="211">
        <v>1500</v>
      </c>
      <c r="I148" s="234">
        <v>300</v>
      </c>
      <c r="J148" s="205" t="s">
        <v>179</v>
      </c>
      <c r="K148" s="205" t="s">
        <v>43</v>
      </c>
      <c r="M148">
        <f t="shared" si="0"/>
        <v>300</v>
      </c>
      <c r="P148" s="57"/>
    </row>
    <row r="149" spans="1:16" x14ac:dyDescent="0.25">
      <c r="A149" s="203">
        <v>27</v>
      </c>
      <c r="B149" s="205" t="s">
        <v>2893</v>
      </c>
      <c r="C149" s="205" t="s">
        <v>40</v>
      </c>
      <c r="D149" s="205" t="s">
        <v>402</v>
      </c>
      <c r="E149" s="205" t="s">
        <v>64</v>
      </c>
      <c r="F149" s="206" t="s">
        <v>2894</v>
      </c>
      <c r="G149" s="205" t="s">
        <v>42</v>
      </c>
      <c r="H149" s="211">
        <v>500</v>
      </c>
      <c r="I149" s="234" t="s">
        <v>255</v>
      </c>
      <c r="J149" s="205" t="s">
        <v>179</v>
      </c>
      <c r="K149" s="205" t="s">
        <v>43</v>
      </c>
      <c r="M149">
        <f t="shared" si="0"/>
        <v>100</v>
      </c>
      <c r="P149" s="57"/>
    </row>
    <row r="150" spans="1:16" x14ac:dyDescent="0.25">
      <c r="A150" s="203">
        <v>27</v>
      </c>
      <c r="B150" s="205" t="s">
        <v>2895</v>
      </c>
      <c r="C150" s="205" t="s">
        <v>40</v>
      </c>
      <c r="D150" s="205" t="s">
        <v>380</v>
      </c>
      <c r="E150" s="205" t="s">
        <v>45</v>
      </c>
      <c r="F150" s="206"/>
      <c r="G150" s="205" t="s">
        <v>42</v>
      </c>
      <c r="H150" s="211">
        <v>20000</v>
      </c>
      <c r="I150" s="234">
        <v>4000</v>
      </c>
      <c r="J150" s="205" t="s">
        <v>179</v>
      </c>
      <c r="K150" s="205" t="s">
        <v>43</v>
      </c>
      <c r="M150">
        <f t="shared" si="0"/>
        <v>4000</v>
      </c>
      <c r="P150" s="57"/>
    </row>
    <row r="151" spans="1:16" x14ac:dyDescent="0.25">
      <c r="A151" s="321">
        <v>27</v>
      </c>
      <c r="B151" s="205" t="s">
        <v>2896</v>
      </c>
      <c r="C151" s="205" t="s">
        <v>40</v>
      </c>
      <c r="D151" s="205" t="s">
        <v>2897</v>
      </c>
      <c r="E151" s="205" t="s">
        <v>79</v>
      </c>
      <c r="F151" s="206" t="s">
        <v>2898</v>
      </c>
      <c r="G151" s="205" t="s">
        <v>42</v>
      </c>
      <c r="H151" s="211">
        <v>7000</v>
      </c>
      <c r="I151" s="234">
        <v>1400</v>
      </c>
      <c r="J151" s="205" t="s">
        <v>179</v>
      </c>
      <c r="K151" s="205" t="s">
        <v>43</v>
      </c>
      <c r="M151">
        <f t="shared" si="0"/>
        <v>1400</v>
      </c>
      <c r="P151" s="57"/>
    </row>
    <row r="152" spans="1:16" x14ac:dyDescent="0.25">
      <c r="A152" s="203"/>
      <c r="B152" s="205"/>
      <c r="C152" s="205"/>
      <c r="D152" s="205"/>
      <c r="E152" s="205"/>
      <c r="F152" s="206"/>
      <c r="G152" s="205"/>
      <c r="H152" s="211"/>
      <c r="I152" s="234"/>
      <c r="J152" s="205"/>
      <c r="K152" s="205"/>
      <c r="M152">
        <f t="shared" si="0"/>
        <v>0</v>
      </c>
      <c r="P152" s="57"/>
    </row>
    <row r="153" spans="1:16" x14ac:dyDescent="0.25">
      <c r="A153" s="203"/>
      <c r="B153" s="205"/>
      <c r="C153" s="205"/>
      <c r="D153" s="205"/>
      <c r="E153" s="205"/>
      <c r="F153" s="206"/>
      <c r="G153" s="205"/>
      <c r="H153" s="211"/>
      <c r="I153" s="234"/>
      <c r="J153" s="205"/>
      <c r="K153" s="205"/>
      <c r="M153">
        <f t="shared" si="0"/>
        <v>0</v>
      </c>
      <c r="P153" s="57"/>
    </row>
    <row r="154" spans="1:16" x14ac:dyDescent="0.25">
      <c r="A154" s="445"/>
      <c r="B154" s="205"/>
      <c r="C154" s="205"/>
      <c r="D154" s="205"/>
      <c r="E154" s="205"/>
      <c r="F154" s="206"/>
      <c r="G154" s="205"/>
      <c r="H154" s="211"/>
      <c r="I154" s="234"/>
      <c r="J154" s="205"/>
      <c r="K154" s="205"/>
      <c r="P154" s="57"/>
    </row>
    <row r="155" spans="1:16" x14ac:dyDescent="0.25">
      <c r="A155" s="324"/>
      <c r="M155">
        <f>SUM(M12:M153)</f>
        <v>83158</v>
      </c>
    </row>
    <row r="157" spans="1:16" x14ac:dyDescent="0.25">
      <c r="I157" s="92" t="s">
        <v>19</v>
      </c>
      <c r="J157" s="26"/>
    </row>
    <row r="158" spans="1:16" ht="16.5" customHeight="1" x14ac:dyDescent="0.25">
      <c r="B158" t="s">
        <v>20</v>
      </c>
      <c r="E158" t="s">
        <v>21</v>
      </c>
      <c r="I158" s="81" t="s">
        <v>114</v>
      </c>
      <c r="J158" s="97">
        <v>132</v>
      </c>
      <c r="P158" s="25"/>
    </row>
    <row r="159" spans="1:16" x14ac:dyDescent="0.25">
      <c r="I159" s="81" t="s">
        <v>115</v>
      </c>
      <c r="J159" s="97"/>
      <c r="K159" s="57"/>
      <c r="P159" s="57"/>
    </row>
    <row r="160" spans="1:16" x14ac:dyDescent="0.25">
      <c r="I160" s="81" t="s">
        <v>165</v>
      </c>
      <c r="J160" s="99">
        <v>386090</v>
      </c>
      <c r="K160" s="57"/>
      <c r="N160" s="25"/>
      <c r="P160" s="25"/>
    </row>
    <row r="161" spans="2:16" x14ac:dyDescent="0.25">
      <c r="I161" s="81" t="s">
        <v>567</v>
      </c>
      <c r="J161" s="99"/>
      <c r="P161" s="57"/>
    </row>
    <row r="162" spans="2:16" x14ac:dyDescent="0.25">
      <c r="B162" s="93" t="s">
        <v>538</v>
      </c>
      <c r="E162" s="533" t="s">
        <v>941</v>
      </c>
      <c r="F162" s="533"/>
      <c r="G162" s="533"/>
      <c r="H162" s="533"/>
      <c r="I162" s="81" t="s">
        <v>116</v>
      </c>
      <c r="J162" s="99"/>
      <c r="P162" s="57"/>
    </row>
    <row r="163" spans="2:16" x14ac:dyDescent="0.25">
      <c r="B163" t="s">
        <v>183</v>
      </c>
      <c r="E163" s="522" t="s">
        <v>942</v>
      </c>
      <c r="F163" s="522"/>
      <c r="G163" s="522"/>
      <c r="H163" s="522"/>
      <c r="I163" s="81" t="s">
        <v>117</v>
      </c>
      <c r="J163" s="99"/>
      <c r="P163" s="57"/>
    </row>
    <row r="164" spans="2:16" x14ac:dyDescent="0.25">
      <c r="I164" s="81" t="s">
        <v>119</v>
      </c>
      <c r="J164" s="99">
        <v>29700</v>
      </c>
      <c r="P164" s="25"/>
    </row>
    <row r="165" spans="2:16" x14ac:dyDescent="0.25">
      <c r="I165" s="94" t="s">
        <v>113</v>
      </c>
      <c r="J165" s="97"/>
    </row>
    <row r="166" spans="2:16" x14ac:dyDescent="0.25">
      <c r="I166" s="81" t="s">
        <v>23</v>
      </c>
      <c r="J166" s="443">
        <v>83158</v>
      </c>
    </row>
    <row r="167" spans="2:16" x14ac:dyDescent="0.25">
      <c r="I167" s="95" t="s">
        <v>111</v>
      </c>
      <c r="J167" s="99"/>
    </row>
    <row r="168" spans="2:16" x14ac:dyDescent="0.25">
      <c r="B168" s="27"/>
      <c r="E168" s="27"/>
      <c r="F168" s="27"/>
      <c r="G168" s="27"/>
      <c r="I168" s="95" t="s">
        <v>112</v>
      </c>
      <c r="J168" s="58"/>
    </row>
    <row r="169" spans="2:16" x14ac:dyDescent="0.25">
      <c r="I169" s="81"/>
      <c r="J169" s="26"/>
    </row>
    <row r="170" spans="2:16" x14ac:dyDescent="0.25">
      <c r="I170" s="81"/>
      <c r="J170" s="26"/>
    </row>
    <row r="171" spans="2:16" x14ac:dyDescent="0.25">
      <c r="I171" s="81"/>
      <c r="J171" s="58"/>
    </row>
    <row r="172" spans="2:16" x14ac:dyDescent="0.25">
      <c r="I172" s="81"/>
      <c r="J172" s="58"/>
    </row>
    <row r="192" spans="12:12" x14ac:dyDescent="0.25">
      <c r="L192" s="25"/>
    </row>
    <row r="215" spans="12:12" x14ac:dyDescent="0.25">
      <c r="L215" s="25"/>
    </row>
    <row r="342" spans="12:12" x14ac:dyDescent="0.25">
      <c r="L342" s="25"/>
    </row>
  </sheetData>
  <mergeCells count="8">
    <mergeCell ref="E162:H162"/>
    <mergeCell ref="E163:H163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5C4A-745F-4C64-AF20-A6CFA904FB7E}">
  <sheetPr>
    <tabColor theme="5"/>
  </sheetPr>
  <dimension ref="A1:O39"/>
  <sheetViews>
    <sheetView view="pageBreakPreview" topLeftCell="A15" zoomScale="96" zoomScaleNormal="100" zoomScaleSheetLayoutView="96" workbookViewId="0">
      <selection activeCell="J22" sqref="J22:L24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6.7109375" customWidth="1"/>
    <col min="9" max="9" width="19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</row>
    <row r="2" spans="1:15" ht="18" x14ac:dyDescent="0.25">
      <c r="A2" s="524" t="s">
        <v>2460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</row>
    <row r="3" spans="1:15" x14ac:dyDescent="0.25">
      <c r="A3" s="183"/>
      <c r="B3" s="1"/>
      <c r="C3" s="28"/>
      <c r="D3" s="1"/>
      <c r="E3" s="1"/>
      <c r="G3" s="1"/>
      <c r="H3" s="28"/>
      <c r="I3" s="25"/>
      <c r="J3" s="29"/>
      <c r="K3" s="526" t="s">
        <v>2716</v>
      </c>
      <c r="L3" s="536"/>
    </row>
    <row r="4" spans="1:15" x14ac:dyDescent="0.25">
      <c r="A4" s="183"/>
      <c r="B4" s="1"/>
      <c r="C4" s="28"/>
      <c r="D4" s="1"/>
      <c r="E4" s="1"/>
      <c r="G4" s="1"/>
      <c r="H4" s="28"/>
      <c r="I4" s="25"/>
      <c r="J4" s="29"/>
      <c r="K4" s="31" t="s">
        <v>37</v>
      </c>
      <c r="L4" s="100">
        <v>5</v>
      </c>
    </row>
    <row r="5" spans="1:15" x14ac:dyDescent="0.25">
      <c r="A5" s="183"/>
      <c r="B5" s="1"/>
      <c r="C5" s="28"/>
      <c r="D5" s="1"/>
      <c r="E5" s="1"/>
      <c r="G5" s="1"/>
      <c r="H5" s="28"/>
      <c r="I5" s="25"/>
      <c r="J5" s="29"/>
      <c r="K5" s="31" t="s">
        <v>38</v>
      </c>
      <c r="L5" s="100">
        <v>5</v>
      </c>
    </row>
    <row r="6" spans="1:15" ht="18" x14ac:dyDescent="0.25">
      <c r="A6" s="528" t="s">
        <v>122</v>
      </c>
      <c r="B6" s="528"/>
      <c r="C6" s="32"/>
      <c r="D6" s="1"/>
      <c r="E6" s="4"/>
      <c r="F6" s="2"/>
      <c r="G6" s="1"/>
      <c r="H6" s="28"/>
      <c r="I6" s="25"/>
      <c r="J6" s="29"/>
      <c r="K6" s="80" t="s">
        <v>2461</v>
      </c>
      <c r="L6" s="33"/>
    </row>
    <row r="7" spans="1:15" x14ac:dyDescent="0.25">
      <c r="A7" s="6"/>
      <c r="B7" s="7"/>
      <c r="C7" s="34" t="s">
        <v>24</v>
      </c>
      <c r="D7" s="8"/>
      <c r="E7" s="8"/>
      <c r="F7" s="35" t="s">
        <v>25</v>
      </c>
      <c r="G7" s="34" t="s">
        <v>26</v>
      </c>
      <c r="H7" s="529" t="s">
        <v>27</v>
      </c>
      <c r="I7" s="530"/>
      <c r="J7" s="36"/>
      <c r="K7" s="531" t="s">
        <v>2</v>
      </c>
      <c r="L7" s="532"/>
    </row>
    <row r="8" spans="1:15" x14ac:dyDescent="0.25">
      <c r="A8" s="519" t="s">
        <v>28</v>
      </c>
      <c r="B8" s="520"/>
      <c r="C8" s="35" t="s">
        <v>29</v>
      </c>
      <c r="D8" s="184" t="s">
        <v>5</v>
      </c>
      <c r="E8" s="9" t="s">
        <v>6</v>
      </c>
      <c r="F8" s="35" t="s">
        <v>30</v>
      </c>
      <c r="G8" s="37" t="s">
        <v>31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7"/>
      <c r="B9" s="14"/>
      <c r="C9" s="35" t="s">
        <v>32</v>
      </c>
      <c r="D9" s="15"/>
      <c r="E9" s="14"/>
      <c r="F9" s="35" t="s">
        <v>33</v>
      </c>
      <c r="G9" s="37" t="s">
        <v>34</v>
      </c>
      <c r="H9" s="40" t="s">
        <v>11</v>
      </c>
      <c r="I9" s="39" t="s">
        <v>12</v>
      </c>
      <c r="J9" s="41"/>
      <c r="K9" s="184" t="s">
        <v>13</v>
      </c>
      <c r="L9" s="184" t="s">
        <v>14</v>
      </c>
    </row>
    <row r="10" spans="1:15" x14ac:dyDescent="0.25">
      <c r="A10" s="18"/>
      <c r="B10" s="19"/>
      <c r="C10" s="42"/>
      <c r="D10" s="20"/>
      <c r="E10" s="20"/>
      <c r="F10" s="43" t="s">
        <v>35</v>
      </c>
      <c r="G10" s="22"/>
      <c r="H10" s="44"/>
      <c r="I10" s="45" t="s">
        <v>36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ht="31.5" customHeight="1" x14ac:dyDescent="0.25">
      <c r="A12" s="336">
        <v>6</v>
      </c>
      <c r="B12" s="416" t="s">
        <v>2529</v>
      </c>
      <c r="C12" s="49"/>
      <c r="D12" s="220" t="s">
        <v>890</v>
      </c>
      <c r="E12" s="220" t="s">
        <v>67</v>
      </c>
      <c r="F12" s="223" t="s">
        <v>2361</v>
      </c>
      <c r="G12" s="220" t="s">
        <v>2530</v>
      </c>
      <c r="H12" s="416" t="s">
        <v>42</v>
      </c>
      <c r="I12" s="221">
        <v>10000</v>
      </c>
      <c r="J12" s="449">
        <v>2000</v>
      </c>
      <c r="K12" s="79"/>
      <c r="L12" s="145" t="s">
        <v>43</v>
      </c>
    </row>
    <row r="13" spans="1:15" ht="21" customHeight="1" x14ac:dyDescent="0.25">
      <c r="A13" s="299">
        <v>8</v>
      </c>
      <c r="B13" s="220" t="s">
        <v>2544</v>
      </c>
      <c r="C13" s="49"/>
      <c r="D13" s="220"/>
      <c r="E13" s="220" t="s">
        <v>77</v>
      </c>
      <c r="F13" s="223" t="s">
        <v>2545</v>
      </c>
      <c r="G13" s="220" t="s">
        <v>2546</v>
      </c>
      <c r="H13" s="416" t="s">
        <v>42</v>
      </c>
      <c r="I13" s="221">
        <v>2000</v>
      </c>
      <c r="J13" s="194" t="s">
        <v>255</v>
      </c>
      <c r="K13" s="79"/>
      <c r="L13" s="145" t="s">
        <v>43</v>
      </c>
    </row>
    <row r="14" spans="1:15" ht="21" customHeight="1" x14ac:dyDescent="0.25">
      <c r="A14" s="418">
        <v>8</v>
      </c>
      <c r="B14" s="224" t="s">
        <v>2547</v>
      </c>
      <c r="C14" s="190"/>
      <c r="D14" s="79" t="s">
        <v>145</v>
      </c>
      <c r="E14" s="192" t="s">
        <v>90</v>
      </c>
      <c r="F14" s="240" t="s">
        <v>2548</v>
      </c>
      <c r="G14" s="415" t="s">
        <v>2549</v>
      </c>
      <c r="H14" s="192" t="s">
        <v>42</v>
      </c>
      <c r="I14" s="421">
        <v>7000</v>
      </c>
      <c r="J14" s="194" t="s">
        <v>255</v>
      </c>
      <c r="K14" s="79"/>
      <c r="L14" s="145" t="s">
        <v>43</v>
      </c>
      <c r="M14" s="132"/>
    </row>
    <row r="15" spans="1:15" ht="21" customHeight="1" x14ac:dyDescent="0.25">
      <c r="A15" s="422">
        <v>10</v>
      </c>
      <c r="B15" s="224" t="s">
        <v>391</v>
      </c>
      <c r="C15" s="190"/>
      <c r="D15" s="239"/>
      <c r="E15" s="145" t="s">
        <v>64</v>
      </c>
      <c r="F15" s="240" t="s">
        <v>393</v>
      </c>
      <c r="G15" s="415" t="s">
        <v>2550</v>
      </c>
      <c r="H15" s="192" t="s">
        <v>42</v>
      </c>
      <c r="I15" s="421">
        <v>7000</v>
      </c>
      <c r="J15" s="194" t="s">
        <v>255</v>
      </c>
      <c r="K15" s="79"/>
      <c r="L15" s="145" t="s">
        <v>43</v>
      </c>
      <c r="M15" s="132"/>
    </row>
    <row r="16" spans="1:15" ht="21.75" customHeight="1" x14ac:dyDescent="0.25">
      <c r="A16" s="418">
        <v>16</v>
      </c>
      <c r="B16" s="224" t="s">
        <v>2617</v>
      </c>
      <c r="C16" s="190"/>
      <c r="D16" s="145"/>
      <c r="E16" s="145" t="s">
        <v>63</v>
      </c>
      <c r="F16" s="191" t="s">
        <v>2618</v>
      </c>
      <c r="G16" s="192" t="s">
        <v>2619</v>
      </c>
      <c r="H16" s="416" t="s">
        <v>42</v>
      </c>
      <c r="I16" s="242">
        <v>56000</v>
      </c>
      <c r="J16" s="194" t="s">
        <v>255</v>
      </c>
      <c r="K16" s="79"/>
      <c r="L16" s="145" t="s">
        <v>43</v>
      </c>
      <c r="M16" s="132"/>
      <c r="O16" s="57"/>
    </row>
    <row r="17" spans="1:15" ht="21.75" customHeight="1" x14ac:dyDescent="0.25">
      <c r="A17" s="422">
        <v>16</v>
      </c>
      <c r="B17" s="224" t="s">
        <v>2636</v>
      </c>
      <c r="C17" s="190"/>
      <c r="D17" s="192"/>
      <c r="E17" s="192" t="s">
        <v>49</v>
      </c>
      <c r="F17" s="206" t="s">
        <v>2637</v>
      </c>
      <c r="G17" s="192" t="s">
        <v>2638</v>
      </c>
      <c r="H17" s="420" t="s">
        <v>42</v>
      </c>
      <c r="I17" s="242">
        <v>4000</v>
      </c>
      <c r="J17" s="194" t="s">
        <v>255</v>
      </c>
      <c r="K17" s="80"/>
      <c r="L17" s="282" t="s">
        <v>43</v>
      </c>
      <c r="O17" s="57"/>
    </row>
    <row r="18" spans="1:15" ht="23.25" customHeight="1" x14ac:dyDescent="0.25">
      <c r="A18" s="418">
        <v>21</v>
      </c>
      <c r="B18" s="224" t="s">
        <v>2668</v>
      </c>
      <c r="C18" s="190"/>
      <c r="D18" s="192"/>
      <c r="E18" s="192" t="s">
        <v>82</v>
      </c>
      <c r="F18" s="206" t="s">
        <v>2669</v>
      </c>
      <c r="G18" s="192" t="s">
        <v>2670</v>
      </c>
      <c r="H18" s="420" t="s">
        <v>42</v>
      </c>
      <c r="I18" s="242">
        <v>2500</v>
      </c>
      <c r="J18" s="194" t="s">
        <v>255</v>
      </c>
      <c r="K18" s="80"/>
      <c r="L18" s="282" t="s">
        <v>43</v>
      </c>
      <c r="O18" s="57"/>
    </row>
    <row r="19" spans="1:15" ht="49.5" customHeight="1" x14ac:dyDescent="0.25">
      <c r="A19" s="422">
        <v>22</v>
      </c>
      <c r="B19" s="224" t="s">
        <v>2671</v>
      </c>
      <c r="C19" s="190"/>
      <c r="D19" s="239" t="s">
        <v>1069</v>
      </c>
      <c r="E19" s="145" t="s">
        <v>60</v>
      </c>
      <c r="F19" s="240" t="s">
        <v>2683</v>
      </c>
      <c r="G19" s="415" t="s">
        <v>2672</v>
      </c>
      <c r="H19" s="420" t="s">
        <v>42</v>
      </c>
      <c r="I19" s="419">
        <v>22400</v>
      </c>
      <c r="J19" s="225" t="s">
        <v>255</v>
      </c>
      <c r="K19" s="79"/>
      <c r="L19" s="79" t="s">
        <v>43</v>
      </c>
      <c r="O19" s="57"/>
    </row>
    <row r="20" spans="1:15" ht="16.5" customHeight="1" x14ac:dyDescent="0.25">
      <c r="A20" s="418">
        <v>23</v>
      </c>
      <c r="B20" s="224" t="s">
        <v>1517</v>
      </c>
      <c r="C20" s="192"/>
      <c r="D20" s="192"/>
      <c r="E20" s="192" t="s">
        <v>83</v>
      </c>
      <c r="F20" s="223" t="s">
        <v>2682</v>
      </c>
      <c r="G20" s="192" t="s">
        <v>2681</v>
      </c>
      <c r="H20" s="420" t="s">
        <v>42</v>
      </c>
      <c r="I20" s="419">
        <v>7000</v>
      </c>
      <c r="J20" s="225" t="s">
        <v>255</v>
      </c>
      <c r="K20" s="79"/>
      <c r="L20" s="79" t="s">
        <v>43</v>
      </c>
      <c r="O20" s="57"/>
    </row>
    <row r="21" spans="1:15" ht="29.25" customHeight="1" x14ac:dyDescent="0.25">
      <c r="A21" s="422">
        <v>23</v>
      </c>
      <c r="B21" s="224" t="s">
        <v>2692</v>
      </c>
      <c r="C21" s="192"/>
      <c r="D21" s="192"/>
      <c r="E21" s="192" t="s">
        <v>78</v>
      </c>
      <c r="F21" s="223" t="s">
        <v>2693</v>
      </c>
      <c r="G21" s="300" t="s">
        <v>2694</v>
      </c>
      <c r="H21" s="420" t="s">
        <v>42</v>
      </c>
      <c r="I21" s="419">
        <v>6000</v>
      </c>
      <c r="J21" s="225" t="s">
        <v>255</v>
      </c>
      <c r="K21" s="79"/>
      <c r="L21" s="79" t="s">
        <v>43</v>
      </c>
      <c r="O21" s="57"/>
    </row>
    <row r="22" spans="1:15" ht="30" customHeight="1" x14ac:dyDescent="0.25">
      <c r="A22" s="418"/>
      <c r="B22" s="224"/>
      <c r="C22" s="192"/>
      <c r="D22" s="192"/>
      <c r="E22" s="192"/>
      <c r="F22" s="223"/>
      <c r="G22" s="300"/>
      <c r="H22" s="420"/>
      <c r="I22" s="419"/>
      <c r="J22" s="225"/>
      <c r="K22" s="79"/>
      <c r="L22" s="79"/>
      <c r="O22" s="57"/>
    </row>
    <row r="23" spans="1:15" ht="27.75" customHeight="1" x14ac:dyDescent="0.25">
      <c r="A23" s="418"/>
      <c r="B23" s="224"/>
      <c r="C23" s="192"/>
      <c r="D23" s="224"/>
      <c r="E23" s="192"/>
      <c r="F23" s="223"/>
      <c r="G23" s="192"/>
      <c r="H23" s="420"/>
      <c r="I23" s="419"/>
      <c r="J23" s="225"/>
      <c r="K23" s="79"/>
      <c r="L23" s="79"/>
      <c r="O23" s="57"/>
    </row>
    <row r="24" spans="1:15" ht="24.75" customHeight="1" x14ac:dyDescent="0.25">
      <c r="A24" s="418"/>
      <c r="B24" s="224"/>
      <c r="C24" s="192"/>
      <c r="D24" s="192"/>
      <c r="E24" s="192"/>
      <c r="F24" s="223"/>
      <c r="G24" s="192"/>
      <c r="H24" s="420"/>
      <c r="I24" s="419"/>
      <c r="J24" s="225"/>
      <c r="K24" s="79"/>
      <c r="L24" s="79"/>
      <c r="O24" s="57"/>
    </row>
    <row r="25" spans="1:15" ht="39.75" customHeight="1" x14ac:dyDescent="0.25">
      <c r="A25" s="189"/>
      <c r="B25" s="224"/>
      <c r="C25" s="189"/>
      <c r="D25" s="192"/>
      <c r="E25" s="192"/>
      <c r="F25" s="223"/>
      <c r="G25" s="192"/>
      <c r="H25" s="420"/>
      <c r="I25" s="419"/>
      <c r="J25" s="190"/>
      <c r="K25" s="79"/>
      <c r="L25" s="79"/>
      <c r="O25" s="57"/>
    </row>
    <row r="26" spans="1:15" x14ac:dyDescent="0.25">
      <c r="F26" s="25"/>
      <c r="I26" s="26"/>
      <c r="J26" s="26"/>
    </row>
    <row r="27" spans="1:15" x14ac:dyDescent="0.25">
      <c r="I27" s="51" t="s">
        <v>19</v>
      </c>
      <c r="J27" s="26"/>
    </row>
    <row r="28" spans="1:15" x14ac:dyDescent="0.25">
      <c r="I28" s="26" t="s">
        <v>114</v>
      </c>
      <c r="J28" s="402"/>
      <c r="K28">
        <v>6</v>
      </c>
      <c r="L28" s="25">
        <v>10000</v>
      </c>
    </row>
    <row r="29" spans="1:15" x14ac:dyDescent="0.25">
      <c r="B29" t="s">
        <v>20</v>
      </c>
      <c r="E29" t="s">
        <v>21</v>
      </c>
      <c r="I29" s="26" t="s">
        <v>115</v>
      </c>
      <c r="J29" s="99">
        <v>10</v>
      </c>
      <c r="K29" s="440" t="s">
        <v>2641</v>
      </c>
      <c r="L29" s="441">
        <v>16000</v>
      </c>
    </row>
    <row r="30" spans="1:15" x14ac:dyDescent="0.25">
      <c r="I30" s="26" t="s">
        <v>184</v>
      </c>
      <c r="J30" s="99">
        <v>123900</v>
      </c>
      <c r="K30" s="440" t="s">
        <v>2642</v>
      </c>
      <c r="L30" s="25">
        <v>60000</v>
      </c>
    </row>
    <row r="31" spans="1:15" x14ac:dyDescent="0.25">
      <c r="I31" s="26" t="s">
        <v>589</v>
      </c>
      <c r="J31" s="99"/>
      <c r="K31" s="440" t="s">
        <v>2673</v>
      </c>
      <c r="L31" s="25">
        <v>24900</v>
      </c>
    </row>
    <row r="32" spans="1:15" x14ac:dyDescent="0.25">
      <c r="I32" s="26" t="s">
        <v>116</v>
      </c>
      <c r="J32" s="99"/>
      <c r="K32" s="440" t="s">
        <v>2713</v>
      </c>
      <c r="L32" s="25">
        <v>13000</v>
      </c>
    </row>
    <row r="33" spans="2:12" x14ac:dyDescent="0.25">
      <c r="I33" s="26" t="s">
        <v>118</v>
      </c>
      <c r="J33" s="97"/>
      <c r="K33" s="439"/>
    </row>
    <row r="34" spans="2:12" x14ac:dyDescent="0.25">
      <c r="B34" s="27" t="s">
        <v>538</v>
      </c>
      <c r="E34" s="521" t="s">
        <v>941</v>
      </c>
      <c r="F34" s="521"/>
      <c r="G34" s="521"/>
      <c r="H34" s="521"/>
      <c r="I34" s="26" t="s">
        <v>119</v>
      </c>
      <c r="J34" s="99"/>
      <c r="K34" s="439"/>
      <c r="L34" s="57"/>
    </row>
    <row r="35" spans="2:12" x14ac:dyDescent="0.25">
      <c r="B35" t="s">
        <v>183</v>
      </c>
      <c r="E35" s="522" t="s">
        <v>942</v>
      </c>
      <c r="F35" s="522"/>
      <c r="G35" s="522"/>
      <c r="H35" s="522"/>
      <c r="I35" s="26" t="s">
        <v>120</v>
      </c>
      <c r="J35" s="97"/>
      <c r="K35" s="439"/>
      <c r="L35" s="57"/>
    </row>
    <row r="36" spans="2:12" x14ac:dyDescent="0.25">
      <c r="I36" s="26" t="s">
        <v>23</v>
      </c>
      <c r="J36" s="98"/>
      <c r="K36" s="439"/>
    </row>
    <row r="37" spans="2:12" x14ac:dyDescent="0.25">
      <c r="I37" s="3" t="s">
        <v>121</v>
      </c>
      <c r="J37" s="99"/>
      <c r="K37" s="439"/>
    </row>
    <row r="38" spans="2:12" x14ac:dyDescent="0.25">
      <c r="I38" s="3" t="s">
        <v>91</v>
      </c>
      <c r="J38" s="99"/>
      <c r="K38" s="439"/>
    </row>
    <row r="39" spans="2:12" x14ac:dyDescent="0.25">
      <c r="K39" s="439"/>
    </row>
  </sheetData>
  <mergeCells count="9">
    <mergeCell ref="A8:B8"/>
    <mergeCell ref="E34:H34"/>
    <mergeCell ref="E35:H35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85" orientation="landscape" r:id="rId1"/>
  <rowBreaks count="1" manualBreakCount="1">
    <brk id="34" max="12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6613-23FB-484C-8DF9-7D3C41BD8A58}">
  <sheetPr>
    <tabColor theme="5"/>
  </sheetPr>
  <dimension ref="A1:S376"/>
  <sheetViews>
    <sheetView view="pageBreakPreview" topLeftCell="A172" zoomScale="106" zoomScaleNormal="100" zoomScaleSheetLayoutView="106" workbookViewId="0">
      <selection activeCell="P5" sqref="P5"/>
    </sheetView>
  </sheetViews>
  <sheetFormatPr defaultRowHeight="15" x14ac:dyDescent="0.25"/>
  <cols>
    <col min="1" max="1" width="4.7109375" style="183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91" customWidth="1"/>
    <col min="10" max="10" width="9.5703125" customWidth="1"/>
    <col min="11" max="11" width="17.85546875" customWidth="1"/>
    <col min="15" max="15" width="14.5703125" customWidth="1"/>
    <col min="16" max="16" width="20" customWidth="1"/>
  </cols>
  <sheetData>
    <row r="1" spans="1:19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</row>
    <row r="2" spans="1:19" ht="18" x14ac:dyDescent="0.25">
      <c r="A2" s="524" t="s">
        <v>2460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</row>
    <row r="3" spans="1:19" x14ac:dyDescent="0.25">
      <c r="B3" s="1"/>
      <c r="C3" s="3"/>
      <c r="D3" s="1"/>
      <c r="E3" s="1"/>
      <c r="G3" s="3"/>
      <c r="H3" s="67"/>
      <c r="I3" s="81"/>
      <c r="J3" s="82" t="s">
        <v>2714</v>
      </c>
      <c r="K3" s="83"/>
    </row>
    <row r="4" spans="1:19" x14ac:dyDescent="0.25">
      <c r="B4" s="1"/>
      <c r="C4" s="3"/>
      <c r="D4" s="1"/>
      <c r="E4" s="1"/>
      <c r="G4" s="3"/>
      <c r="H4" s="67"/>
      <c r="I4" s="84"/>
      <c r="J4" s="76" t="s">
        <v>93</v>
      </c>
      <c r="K4" s="96">
        <v>136</v>
      </c>
    </row>
    <row r="5" spans="1:19" x14ac:dyDescent="0.25">
      <c r="B5" s="1"/>
      <c r="C5" s="3"/>
      <c r="D5" s="1"/>
      <c r="E5" s="1"/>
      <c r="G5" s="3"/>
      <c r="H5" s="67"/>
      <c r="I5" s="84"/>
      <c r="J5" s="76" t="s">
        <v>95</v>
      </c>
      <c r="K5" s="96">
        <v>27</v>
      </c>
      <c r="O5">
        <f>136+27</f>
        <v>163</v>
      </c>
      <c r="P5" s="448">
        <f>SUM(I12:I21,I23:I74,I76:I126,I130:I140,I142:I168,I170:I174,I176:I187)</f>
        <v>94605</v>
      </c>
    </row>
    <row r="6" spans="1:19" x14ac:dyDescent="0.25">
      <c r="A6" s="534" t="s">
        <v>123</v>
      </c>
      <c r="B6" s="534"/>
      <c r="C6" s="3"/>
      <c r="D6" s="1"/>
      <c r="E6" s="4"/>
      <c r="G6" s="3"/>
      <c r="H6" s="67"/>
      <c r="I6" s="81"/>
      <c r="J6" s="80" t="s">
        <v>1948</v>
      </c>
      <c r="K6" s="85"/>
    </row>
    <row r="7" spans="1:19" x14ac:dyDescent="0.25">
      <c r="A7" s="6"/>
      <c r="B7" s="7"/>
      <c r="C7" s="64"/>
      <c r="D7" s="8"/>
      <c r="E7" s="8"/>
      <c r="F7" s="529" t="s">
        <v>1</v>
      </c>
      <c r="G7" s="535"/>
      <c r="H7" s="530"/>
      <c r="I7" s="86"/>
      <c r="J7" s="531" t="s">
        <v>2</v>
      </c>
      <c r="K7" s="532"/>
      <c r="P7" s="25"/>
    </row>
    <row r="8" spans="1:19" x14ac:dyDescent="0.25">
      <c r="A8" s="519" t="s">
        <v>3</v>
      </c>
      <c r="B8" s="520"/>
      <c r="C8" s="17" t="s">
        <v>4</v>
      </c>
      <c r="D8" s="184" t="s">
        <v>5</v>
      </c>
      <c r="E8" s="9" t="s">
        <v>6</v>
      </c>
      <c r="F8" s="10" t="s">
        <v>7</v>
      </c>
      <c r="G8" s="65"/>
      <c r="H8" s="11" t="s">
        <v>8</v>
      </c>
      <c r="I8" s="60" t="s">
        <v>9</v>
      </c>
      <c r="J8" s="77"/>
      <c r="K8" s="13"/>
    </row>
    <row r="9" spans="1:19" x14ac:dyDescent="0.25">
      <c r="A9" s="87"/>
      <c r="B9" s="14"/>
      <c r="C9" s="65"/>
      <c r="D9" s="15"/>
      <c r="E9" s="14"/>
      <c r="F9" s="16" t="s">
        <v>10</v>
      </c>
      <c r="G9" s="17" t="s">
        <v>11</v>
      </c>
      <c r="H9" s="11" t="s">
        <v>12</v>
      </c>
      <c r="I9" s="88"/>
      <c r="J9" s="184" t="s">
        <v>13</v>
      </c>
      <c r="K9" s="184" t="s">
        <v>14</v>
      </c>
      <c r="Q9" s="232"/>
    </row>
    <row r="10" spans="1:19" x14ac:dyDescent="0.25">
      <c r="A10" s="18"/>
      <c r="B10" s="19"/>
      <c r="C10" s="66"/>
      <c r="D10" s="20"/>
      <c r="E10" s="20"/>
      <c r="F10" s="21"/>
      <c r="G10" s="68"/>
      <c r="H10" s="69" t="s">
        <v>15</v>
      </c>
      <c r="I10" s="89"/>
      <c r="J10" s="21"/>
      <c r="K10" s="22" t="s">
        <v>16</v>
      </c>
      <c r="P10" s="232"/>
      <c r="Q10" s="232"/>
    </row>
    <row r="11" spans="1:19" x14ac:dyDescent="0.25">
      <c r="A11" s="47" t="s">
        <v>17</v>
      </c>
      <c r="B11" s="23"/>
      <c r="C11" s="23"/>
      <c r="D11" s="23"/>
      <c r="E11" s="23"/>
      <c r="F11" s="23"/>
      <c r="G11" s="23"/>
      <c r="H11" s="23"/>
      <c r="I11" s="61"/>
      <c r="J11" s="23"/>
      <c r="K11" s="23"/>
      <c r="O11" s="426" t="s">
        <v>2500</v>
      </c>
      <c r="P11" s="232"/>
      <c r="Q11" s="400" t="s">
        <v>2268</v>
      </c>
      <c r="R11" s="401" t="s">
        <v>48</v>
      </c>
      <c r="S11" s="401" t="s">
        <v>2315</v>
      </c>
    </row>
    <row r="12" spans="1:19" x14ac:dyDescent="0.25">
      <c r="A12" s="203">
        <v>3</v>
      </c>
      <c r="B12" s="205" t="s">
        <v>2183</v>
      </c>
      <c r="C12" s="205" t="s">
        <v>40</v>
      </c>
      <c r="D12" s="205" t="s">
        <v>288</v>
      </c>
      <c r="E12" s="205" t="s">
        <v>47</v>
      </c>
      <c r="F12" s="206"/>
      <c r="G12" s="208" t="s">
        <v>42</v>
      </c>
      <c r="H12" s="207">
        <v>2500</v>
      </c>
      <c r="I12" s="204">
        <v>500</v>
      </c>
      <c r="J12" s="205" t="s">
        <v>179</v>
      </c>
      <c r="K12" s="205" t="s">
        <v>43</v>
      </c>
      <c r="M12">
        <f t="shared" ref="M12:M187" si="0">H12/5</f>
        <v>500</v>
      </c>
      <c r="O12" s="377" t="s">
        <v>42</v>
      </c>
      <c r="P12" s="232">
        <f>SUM(H12:H14,H16:H18,H20,H22,H24,H26:H27,H29:H32,H35,H39:H40,H43)</f>
        <v>35200</v>
      </c>
      <c r="Q12">
        <v>17</v>
      </c>
      <c r="R12">
        <v>2</v>
      </c>
    </row>
    <row r="13" spans="1:19" x14ac:dyDescent="0.25">
      <c r="A13" s="203">
        <v>3</v>
      </c>
      <c r="B13" s="205" t="s">
        <v>1643</v>
      </c>
      <c r="C13" s="205" t="s">
        <v>40</v>
      </c>
      <c r="D13" s="205" t="s">
        <v>1644</v>
      </c>
      <c r="E13" s="205" t="s">
        <v>46</v>
      </c>
      <c r="F13" s="206"/>
      <c r="G13" s="208" t="s">
        <v>42</v>
      </c>
      <c r="H13" s="207">
        <v>2000</v>
      </c>
      <c r="I13" s="204">
        <v>400</v>
      </c>
      <c r="J13" s="205" t="s">
        <v>179</v>
      </c>
      <c r="K13" s="205" t="s">
        <v>43</v>
      </c>
      <c r="M13">
        <f t="shared" si="0"/>
        <v>400</v>
      </c>
      <c r="O13" s="377" t="s">
        <v>163</v>
      </c>
      <c r="P13" s="232">
        <f>SUM(H15,,H19,H21,H23,H25,H28,H33:H34,H36:H37,H41:H42,H44)</f>
        <v>14550</v>
      </c>
      <c r="Q13">
        <v>9</v>
      </c>
      <c r="R13">
        <v>4</v>
      </c>
    </row>
    <row r="14" spans="1:19" x14ac:dyDescent="0.25">
      <c r="A14" s="203">
        <v>3</v>
      </c>
      <c r="B14" s="205" t="s">
        <v>2403</v>
      </c>
      <c r="C14" s="205" t="s">
        <v>40</v>
      </c>
      <c r="D14" s="205" t="s">
        <v>1539</v>
      </c>
      <c r="E14" s="205" t="s">
        <v>53</v>
      </c>
      <c r="F14" s="206" t="s">
        <v>2405</v>
      </c>
      <c r="G14" s="208" t="s">
        <v>42</v>
      </c>
      <c r="H14" s="207">
        <v>6000</v>
      </c>
      <c r="I14" s="204">
        <v>1200</v>
      </c>
      <c r="J14" s="205" t="s">
        <v>179</v>
      </c>
      <c r="K14" s="205" t="s">
        <v>43</v>
      </c>
      <c r="M14">
        <f t="shared" si="0"/>
        <v>1200</v>
      </c>
      <c r="O14" s="377" t="s">
        <v>1129</v>
      </c>
      <c r="P14" s="232">
        <v>20</v>
      </c>
      <c r="R14">
        <v>1</v>
      </c>
    </row>
    <row r="15" spans="1:19" x14ac:dyDescent="0.25">
      <c r="A15" s="203">
        <v>3</v>
      </c>
      <c r="B15" s="205" t="s">
        <v>2462</v>
      </c>
      <c r="C15" s="398" t="s">
        <v>48</v>
      </c>
      <c r="D15" s="205"/>
      <c r="E15" s="205" t="s">
        <v>89</v>
      </c>
      <c r="F15" s="206" t="s">
        <v>2456</v>
      </c>
      <c r="G15" s="393" t="s">
        <v>163</v>
      </c>
      <c r="H15" s="207">
        <v>250</v>
      </c>
      <c r="I15" s="204">
        <v>250</v>
      </c>
      <c r="J15" s="205" t="s">
        <v>179</v>
      </c>
      <c r="K15" s="205" t="s">
        <v>43</v>
      </c>
      <c r="M15">
        <f t="shared" si="0"/>
        <v>50</v>
      </c>
      <c r="O15" s="399" t="s">
        <v>2542</v>
      </c>
      <c r="P15" s="232"/>
    </row>
    <row r="16" spans="1:19" x14ac:dyDescent="0.25">
      <c r="A16" s="203">
        <v>3</v>
      </c>
      <c r="B16" s="205" t="s">
        <v>2463</v>
      </c>
      <c r="C16" s="205" t="s">
        <v>40</v>
      </c>
      <c r="D16" s="205" t="s">
        <v>2464</v>
      </c>
      <c r="E16" s="205" t="s">
        <v>57</v>
      </c>
      <c r="F16" s="206"/>
      <c r="G16" s="208" t="s">
        <v>42</v>
      </c>
      <c r="H16" s="207">
        <v>3000</v>
      </c>
      <c r="I16" s="204">
        <v>600</v>
      </c>
      <c r="J16" s="205" t="s">
        <v>179</v>
      </c>
      <c r="K16" s="205" t="s">
        <v>43</v>
      </c>
      <c r="M16">
        <f t="shared" si="0"/>
        <v>600</v>
      </c>
      <c r="O16" s="377" t="s">
        <v>42</v>
      </c>
      <c r="P16" s="232">
        <f>SUM(H45,H47,H50:H53,H55:H64,H66,H69:H70,H72:H78)</f>
        <v>78100</v>
      </c>
      <c r="Q16">
        <v>22</v>
      </c>
      <c r="R16">
        <v>3</v>
      </c>
      <c r="S16" t="s">
        <v>2543</v>
      </c>
    </row>
    <row r="17" spans="1:19" x14ac:dyDescent="0.25">
      <c r="A17" s="203">
        <v>3</v>
      </c>
      <c r="B17" s="205" t="s">
        <v>2465</v>
      </c>
      <c r="C17" s="205" t="s">
        <v>40</v>
      </c>
      <c r="D17" s="205" t="s">
        <v>2464</v>
      </c>
      <c r="E17" s="205" t="s">
        <v>57</v>
      </c>
      <c r="F17" s="206"/>
      <c r="G17" s="208" t="s">
        <v>42</v>
      </c>
      <c r="H17" s="207">
        <v>1000</v>
      </c>
      <c r="I17" s="204">
        <v>300</v>
      </c>
      <c r="J17" s="205" t="s">
        <v>179</v>
      </c>
      <c r="K17" s="205" t="s">
        <v>43</v>
      </c>
      <c r="M17">
        <f t="shared" si="0"/>
        <v>200</v>
      </c>
      <c r="O17" s="377" t="s">
        <v>163</v>
      </c>
      <c r="P17" s="232">
        <f>SUM(H46,H48:H49,H54,H65,H67:H68,H71,H79)</f>
        <v>5450</v>
      </c>
      <c r="Q17">
        <v>8</v>
      </c>
      <c r="R17">
        <v>1</v>
      </c>
    </row>
    <row r="18" spans="1:19" x14ac:dyDescent="0.25">
      <c r="A18" s="203">
        <v>3</v>
      </c>
      <c r="B18" s="205" t="s">
        <v>631</v>
      </c>
      <c r="C18" s="396" t="s">
        <v>48</v>
      </c>
      <c r="D18" s="205" t="s">
        <v>302</v>
      </c>
      <c r="E18" s="205" t="s">
        <v>57</v>
      </c>
      <c r="F18" s="206" t="s">
        <v>632</v>
      </c>
      <c r="G18" s="208" t="s">
        <v>42</v>
      </c>
      <c r="H18" s="207">
        <v>3000</v>
      </c>
      <c r="I18" s="204">
        <v>600</v>
      </c>
      <c r="J18" s="205" t="s">
        <v>179</v>
      </c>
      <c r="K18" s="205" t="s">
        <v>43</v>
      </c>
      <c r="M18">
        <f t="shared" si="0"/>
        <v>600</v>
      </c>
      <c r="O18" s="399" t="s">
        <v>2613</v>
      </c>
      <c r="P18" s="233"/>
      <c r="Q18" s="25"/>
    </row>
    <row r="19" spans="1:19" x14ac:dyDescent="0.25">
      <c r="A19" s="203">
        <v>3</v>
      </c>
      <c r="B19" s="205" t="s">
        <v>1542</v>
      </c>
      <c r="C19" s="205" t="s">
        <v>40</v>
      </c>
      <c r="D19" s="205" t="s">
        <v>1054</v>
      </c>
      <c r="E19" s="205" t="s">
        <v>44</v>
      </c>
      <c r="F19" s="206"/>
      <c r="G19" s="393" t="s">
        <v>163</v>
      </c>
      <c r="H19" s="207">
        <v>2600</v>
      </c>
      <c r="I19" s="204">
        <v>2600</v>
      </c>
      <c r="J19" s="205" t="s">
        <v>179</v>
      </c>
      <c r="K19" s="205" t="s">
        <v>43</v>
      </c>
      <c r="M19">
        <f t="shared" si="0"/>
        <v>520</v>
      </c>
      <c r="O19" s="377" t="s">
        <v>42</v>
      </c>
      <c r="P19" s="232">
        <f>SUM(H80,H82:H85,H87:H91,H93,H95:H96,H98,H100:H105,H107:H109,H111:H113,H116:H127)</f>
        <v>93600</v>
      </c>
      <c r="Q19">
        <v>29</v>
      </c>
      <c r="R19">
        <v>9</v>
      </c>
      <c r="S19" t="s">
        <v>2614</v>
      </c>
    </row>
    <row r="20" spans="1:19" x14ac:dyDescent="0.25">
      <c r="A20" s="203">
        <v>3</v>
      </c>
      <c r="B20" s="205" t="s">
        <v>2466</v>
      </c>
      <c r="C20" s="205" t="s">
        <v>40</v>
      </c>
      <c r="D20" s="205" t="s">
        <v>142</v>
      </c>
      <c r="E20" s="205" t="s">
        <v>50</v>
      </c>
      <c r="F20" s="206"/>
      <c r="G20" s="208" t="s">
        <v>42</v>
      </c>
      <c r="H20" s="207">
        <v>700</v>
      </c>
      <c r="I20" s="204">
        <v>140</v>
      </c>
      <c r="J20" s="205" t="s">
        <v>179</v>
      </c>
      <c r="K20" s="205" t="s">
        <v>43</v>
      </c>
      <c r="M20">
        <f t="shared" si="0"/>
        <v>140</v>
      </c>
      <c r="O20" s="377" t="s">
        <v>163</v>
      </c>
      <c r="P20" s="232">
        <f>SUM(H81,H86,H92,H94,H97,H99,H106,H110,H114:H115)</f>
        <v>6000</v>
      </c>
      <c r="Q20">
        <v>9</v>
      </c>
      <c r="R20">
        <v>1</v>
      </c>
    </row>
    <row r="21" spans="1:19" x14ac:dyDescent="0.25">
      <c r="A21" s="203">
        <v>3</v>
      </c>
      <c r="B21" s="205" t="s">
        <v>341</v>
      </c>
      <c r="C21" s="205" t="s">
        <v>40</v>
      </c>
      <c r="D21" s="205" t="s">
        <v>342</v>
      </c>
      <c r="E21" s="205" t="s">
        <v>47</v>
      </c>
      <c r="F21" s="206" t="s">
        <v>343</v>
      </c>
      <c r="G21" s="393" t="s">
        <v>163</v>
      </c>
      <c r="H21" s="207">
        <v>2000</v>
      </c>
      <c r="I21" s="204">
        <v>2000</v>
      </c>
      <c r="J21" s="205" t="s">
        <v>179</v>
      </c>
      <c r="K21" s="205" t="s">
        <v>43</v>
      </c>
      <c r="M21">
        <f t="shared" si="0"/>
        <v>400</v>
      </c>
      <c r="O21" s="399" t="s">
        <v>2658</v>
      </c>
      <c r="P21" s="232"/>
    </row>
    <row r="22" spans="1:19" x14ac:dyDescent="0.25">
      <c r="A22" s="203">
        <v>3</v>
      </c>
      <c r="B22" s="205" t="s">
        <v>439</v>
      </c>
      <c r="C22" s="205" t="s">
        <v>40</v>
      </c>
      <c r="D22" s="205" t="s">
        <v>2467</v>
      </c>
      <c r="E22" s="205" t="s">
        <v>53</v>
      </c>
      <c r="F22" s="206" t="s">
        <v>713</v>
      </c>
      <c r="G22" s="208" t="s">
        <v>42</v>
      </c>
      <c r="H22" s="207">
        <v>1000</v>
      </c>
      <c r="I22" s="204" t="s">
        <v>255</v>
      </c>
      <c r="J22" s="205" t="s">
        <v>179</v>
      </c>
      <c r="K22" s="205" t="s">
        <v>43</v>
      </c>
      <c r="M22">
        <f t="shared" si="0"/>
        <v>200</v>
      </c>
      <c r="O22" s="377" t="s">
        <v>42</v>
      </c>
      <c r="P22" s="232">
        <f>SUM(H128:H140)</f>
        <v>62000</v>
      </c>
      <c r="Q22">
        <v>10</v>
      </c>
      <c r="R22">
        <v>3</v>
      </c>
      <c r="S22" t="s">
        <v>2640</v>
      </c>
    </row>
    <row r="23" spans="1:19" x14ac:dyDescent="0.25">
      <c r="A23" s="203">
        <v>3</v>
      </c>
      <c r="B23" s="205" t="s">
        <v>2468</v>
      </c>
      <c r="C23" s="398" t="s">
        <v>48</v>
      </c>
      <c r="D23" s="205" t="s">
        <v>658</v>
      </c>
      <c r="E23" s="205" t="s">
        <v>50</v>
      </c>
      <c r="F23" s="206" t="s">
        <v>2469</v>
      </c>
      <c r="G23" s="393" t="s">
        <v>163</v>
      </c>
      <c r="H23" s="207">
        <v>300</v>
      </c>
      <c r="I23" s="204">
        <v>300</v>
      </c>
      <c r="J23" s="205" t="s">
        <v>179</v>
      </c>
      <c r="K23" s="205" t="s">
        <v>43</v>
      </c>
      <c r="M23">
        <f t="shared" si="0"/>
        <v>60</v>
      </c>
      <c r="O23" s="399" t="s">
        <v>2674</v>
      </c>
      <c r="P23" s="233"/>
    </row>
    <row r="24" spans="1:19" x14ac:dyDescent="0.25">
      <c r="A24" s="203">
        <v>3</v>
      </c>
      <c r="B24" s="205" t="s">
        <v>2468</v>
      </c>
      <c r="C24" s="396" t="s">
        <v>48</v>
      </c>
      <c r="D24" s="205" t="s">
        <v>658</v>
      </c>
      <c r="E24" s="205" t="s">
        <v>50</v>
      </c>
      <c r="F24" s="206" t="s">
        <v>2469</v>
      </c>
      <c r="G24" s="208" t="s">
        <v>42</v>
      </c>
      <c r="H24" s="207">
        <v>100</v>
      </c>
      <c r="I24" s="204">
        <v>30</v>
      </c>
      <c r="J24" s="205" t="s">
        <v>179</v>
      </c>
      <c r="K24" s="205" t="s">
        <v>43</v>
      </c>
      <c r="M24">
        <f t="shared" si="0"/>
        <v>20</v>
      </c>
      <c r="O24" s="377" t="s">
        <v>42</v>
      </c>
      <c r="P24" s="233">
        <f>SUM(H141:H145,H147:H157,H158:H163)</f>
        <v>49850</v>
      </c>
      <c r="Q24">
        <v>19</v>
      </c>
      <c r="R24">
        <v>3</v>
      </c>
      <c r="S24" t="s">
        <v>2676</v>
      </c>
    </row>
    <row r="25" spans="1:19" x14ac:dyDescent="0.25">
      <c r="A25" s="203">
        <v>3</v>
      </c>
      <c r="B25" s="205" t="s">
        <v>2470</v>
      </c>
      <c r="C25" s="398" t="s">
        <v>48</v>
      </c>
      <c r="D25" s="205" t="s">
        <v>302</v>
      </c>
      <c r="E25" s="205" t="s">
        <v>57</v>
      </c>
      <c r="F25" s="206" t="s">
        <v>2471</v>
      </c>
      <c r="G25" s="393" t="s">
        <v>163</v>
      </c>
      <c r="H25" s="207">
        <v>300</v>
      </c>
      <c r="I25" s="204">
        <v>300</v>
      </c>
      <c r="J25" s="205" t="s">
        <v>179</v>
      </c>
      <c r="K25" s="205" t="s">
        <v>43</v>
      </c>
      <c r="M25">
        <f t="shared" si="0"/>
        <v>60</v>
      </c>
      <c r="O25" s="377" t="s">
        <v>1129</v>
      </c>
      <c r="P25" s="25">
        <v>200</v>
      </c>
      <c r="Q25" s="25">
        <v>1</v>
      </c>
    </row>
    <row r="26" spans="1:19" x14ac:dyDescent="0.25">
      <c r="A26" s="203">
        <v>3</v>
      </c>
      <c r="B26" s="205" t="s">
        <v>2472</v>
      </c>
      <c r="C26" s="205" t="s">
        <v>40</v>
      </c>
      <c r="D26" s="205" t="s">
        <v>725</v>
      </c>
      <c r="E26" s="205" t="s">
        <v>45</v>
      </c>
      <c r="F26" s="206"/>
      <c r="G26" s="208" t="s">
        <v>42</v>
      </c>
      <c r="H26" s="207">
        <v>1000</v>
      </c>
      <c r="I26" s="204">
        <v>200</v>
      </c>
      <c r="J26" s="205" t="s">
        <v>179</v>
      </c>
      <c r="K26" s="205" t="s">
        <v>43</v>
      </c>
      <c r="M26">
        <f t="shared" si="0"/>
        <v>200</v>
      </c>
      <c r="O26" s="399" t="s">
        <v>2712</v>
      </c>
      <c r="P26" s="25"/>
      <c r="Q26" s="25"/>
    </row>
    <row r="27" spans="1:19" x14ac:dyDescent="0.25">
      <c r="A27" s="203">
        <v>3</v>
      </c>
      <c r="B27" s="205" t="s">
        <v>2473</v>
      </c>
      <c r="C27" s="205" t="s">
        <v>40</v>
      </c>
      <c r="D27" s="205" t="s">
        <v>288</v>
      </c>
      <c r="E27" s="205" t="s">
        <v>47</v>
      </c>
      <c r="F27" s="206" t="s">
        <v>2474</v>
      </c>
      <c r="G27" s="208" t="s">
        <v>42</v>
      </c>
      <c r="H27" s="207">
        <v>1100</v>
      </c>
      <c r="I27" s="204">
        <v>330</v>
      </c>
      <c r="J27" s="205" t="s">
        <v>179</v>
      </c>
      <c r="K27" s="205" t="s">
        <v>43</v>
      </c>
      <c r="M27">
        <f t="shared" si="0"/>
        <v>220</v>
      </c>
      <c r="O27" s="380" t="s">
        <v>42</v>
      </c>
      <c r="P27" s="25">
        <f>SUM(H165:H174,H177:H181,H183,H185:H187)</f>
        <v>25150</v>
      </c>
      <c r="Q27">
        <v>14</v>
      </c>
      <c r="R27">
        <v>3</v>
      </c>
      <c r="S27" t="s">
        <v>2715</v>
      </c>
    </row>
    <row r="28" spans="1:19" x14ac:dyDescent="0.25">
      <c r="A28" s="203">
        <v>3</v>
      </c>
      <c r="B28" s="205" t="s">
        <v>2475</v>
      </c>
      <c r="C28" s="205" t="s">
        <v>40</v>
      </c>
      <c r="D28" s="205" t="s">
        <v>806</v>
      </c>
      <c r="E28" s="205" t="s">
        <v>44</v>
      </c>
      <c r="F28" s="206" t="s">
        <v>2476</v>
      </c>
      <c r="G28" s="393" t="s">
        <v>163</v>
      </c>
      <c r="H28" s="207">
        <v>3000</v>
      </c>
      <c r="I28" s="204">
        <v>3000</v>
      </c>
      <c r="J28" s="205" t="s">
        <v>179</v>
      </c>
      <c r="K28" s="205" t="s">
        <v>43</v>
      </c>
      <c r="M28">
        <f t="shared" si="0"/>
        <v>600</v>
      </c>
      <c r="O28" s="376" t="s">
        <v>163</v>
      </c>
      <c r="P28" s="25">
        <f>SUM(H164,H176,H182,H184)</f>
        <v>620</v>
      </c>
      <c r="Q28">
        <v>4</v>
      </c>
    </row>
    <row r="29" spans="1:19" x14ac:dyDescent="0.25">
      <c r="A29" s="203">
        <v>3</v>
      </c>
      <c r="B29" s="205" t="s">
        <v>2477</v>
      </c>
      <c r="C29" s="205" t="s">
        <v>40</v>
      </c>
      <c r="D29" s="205" t="s">
        <v>966</v>
      </c>
      <c r="E29" s="205" t="s">
        <v>47</v>
      </c>
      <c r="F29" s="206" t="s">
        <v>2478</v>
      </c>
      <c r="G29" s="208" t="s">
        <v>42</v>
      </c>
      <c r="H29" s="207">
        <v>500</v>
      </c>
      <c r="I29" s="204">
        <v>100</v>
      </c>
      <c r="J29" s="205" t="s">
        <v>179</v>
      </c>
      <c r="K29" s="205" t="s">
        <v>43</v>
      </c>
      <c r="M29">
        <f t="shared" si="0"/>
        <v>100</v>
      </c>
      <c r="O29" s="377" t="s">
        <v>1129</v>
      </c>
      <c r="P29" s="57">
        <v>10</v>
      </c>
      <c r="Q29">
        <v>1</v>
      </c>
    </row>
    <row r="30" spans="1:19" x14ac:dyDescent="0.25">
      <c r="A30" s="203">
        <v>3</v>
      </c>
      <c r="B30" s="205" t="s">
        <v>992</v>
      </c>
      <c r="C30" s="205" t="s">
        <v>40</v>
      </c>
      <c r="D30" s="205" t="s">
        <v>506</v>
      </c>
      <c r="E30" s="205" t="s">
        <v>61</v>
      </c>
      <c r="F30" s="206"/>
      <c r="G30" s="208" t="s">
        <v>42</v>
      </c>
      <c r="H30" s="207">
        <v>1000</v>
      </c>
      <c r="I30" s="204">
        <v>200</v>
      </c>
      <c r="J30" s="205" t="s">
        <v>179</v>
      </c>
      <c r="K30" s="205" t="s">
        <v>43</v>
      </c>
      <c r="M30">
        <f t="shared" si="0"/>
        <v>200</v>
      </c>
      <c r="O30" s="376"/>
      <c r="P30" s="57"/>
    </row>
    <row r="31" spans="1:19" x14ac:dyDescent="0.25">
      <c r="A31" s="203">
        <v>3</v>
      </c>
      <c r="B31" s="205" t="s">
        <v>2479</v>
      </c>
      <c r="C31" s="205" t="s">
        <v>40</v>
      </c>
      <c r="D31" s="205" t="s">
        <v>1054</v>
      </c>
      <c r="E31" s="205" t="s">
        <v>44</v>
      </c>
      <c r="F31" s="206" t="s">
        <v>2480</v>
      </c>
      <c r="G31" s="208" t="s">
        <v>42</v>
      </c>
      <c r="H31" s="207">
        <v>5000</v>
      </c>
      <c r="I31" s="204">
        <v>1000</v>
      </c>
      <c r="J31" s="205" t="s">
        <v>179</v>
      </c>
      <c r="K31" s="205" t="s">
        <v>43</v>
      </c>
      <c r="M31">
        <f t="shared" si="0"/>
        <v>1000</v>
      </c>
      <c r="O31" s="399"/>
      <c r="P31" s="57"/>
    </row>
    <row r="32" spans="1:19" x14ac:dyDescent="0.25">
      <c r="A32" s="203">
        <v>3</v>
      </c>
      <c r="B32" s="205" t="s">
        <v>2481</v>
      </c>
      <c r="C32" s="205" t="s">
        <v>40</v>
      </c>
      <c r="D32" s="205" t="s">
        <v>469</v>
      </c>
      <c r="E32" s="205" t="s">
        <v>49</v>
      </c>
      <c r="F32" s="206" t="s">
        <v>2482</v>
      </c>
      <c r="G32" s="208" t="s">
        <v>42</v>
      </c>
      <c r="H32" s="207">
        <v>4000</v>
      </c>
      <c r="I32" s="204">
        <v>800</v>
      </c>
      <c r="J32" s="205" t="s">
        <v>179</v>
      </c>
      <c r="K32" s="205" t="s">
        <v>43</v>
      </c>
      <c r="M32">
        <f t="shared" si="0"/>
        <v>800</v>
      </c>
      <c r="O32" s="380"/>
      <c r="P32" s="25"/>
    </row>
    <row r="33" spans="1:16" ht="16.5" customHeight="1" x14ac:dyDescent="0.25">
      <c r="A33" s="203">
        <v>3</v>
      </c>
      <c r="B33" s="205" t="s">
        <v>2483</v>
      </c>
      <c r="C33" s="205" t="s">
        <v>40</v>
      </c>
      <c r="D33" s="205" t="s">
        <v>402</v>
      </c>
      <c r="E33" s="205" t="s">
        <v>57</v>
      </c>
      <c r="F33" s="206" t="s">
        <v>2484</v>
      </c>
      <c r="G33" s="393" t="s">
        <v>163</v>
      </c>
      <c r="H33" s="207">
        <v>100</v>
      </c>
      <c r="I33" s="204">
        <v>100</v>
      </c>
      <c r="J33" s="205" t="s">
        <v>179</v>
      </c>
      <c r="K33" s="205" t="s">
        <v>43</v>
      </c>
      <c r="M33">
        <f t="shared" si="0"/>
        <v>20</v>
      </c>
      <c r="O33" s="377"/>
      <c r="P33" s="57"/>
    </row>
    <row r="34" spans="1:16" x14ac:dyDescent="0.25">
      <c r="A34" s="203">
        <v>3</v>
      </c>
      <c r="B34" s="205" t="s">
        <v>2485</v>
      </c>
      <c r="C34" s="205" t="s">
        <v>40</v>
      </c>
      <c r="D34" s="205" t="s">
        <v>2424</v>
      </c>
      <c r="E34" s="205" t="s">
        <v>64</v>
      </c>
      <c r="F34" s="206" t="s">
        <v>2486</v>
      </c>
      <c r="G34" s="393" t="s">
        <v>163</v>
      </c>
      <c r="H34" s="207">
        <v>4000</v>
      </c>
      <c r="I34" s="204">
        <v>4000</v>
      </c>
      <c r="J34" s="205" t="s">
        <v>179</v>
      </c>
      <c r="K34" s="205" t="s">
        <v>43</v>
      </c>
      <c r="M34">
        <f t="shared" si="0"/>
        <v>800</v>
      </c>
      <c r="O34" s="380"/>
      <c r="P34" s="57"/>
    </row>
    <row r="35" spans="1:16" x14ac:dyDescent="0.25">
      <c r="A35" s="203">
        <v>3</v>
      </c>
      <c r="B35" s="205" t="s">
        <v>2487</v>
      </c>
      <c r="C35" s="205" t="s">
        <v>40</v>
      </c>
      <c r="D35" s="205" t="s">
        <v>2047</v>
      </c>
      <c r="E35" s="205" t="s">
        <v>50</v>
      </c>
      <c r="F35" s="206"/>
      <c r="G35" s="208" t="s">
        <v>42</v>
      </c>
      <c r="H35" s="207">
        <v>500</v>
      </c>
      <c r="I35" s="204">
        <v>100</v>
      </c>
      <c r="J35" s="205" t="s">
        <v>179</v>
      </c>
      <c r="K35" s="205" t="s">
        <v>43</v>
      </c>
      <c r="M35">
        <f t="shared" si="0"/>
        <v>100</v>
      </c>
      <c r="O35" s="187"/>
      <c r="P35" s="57"/>
    </row>
    <row r="36" spans="1:16" x14ac:dyDescent="0.25">
      <c r="A36" s="203">
        <v>3</v>
      </c>
      <c r="B36" s="205" t="s">
        <v>2488</v>
      </c>
      <c r="C36" s="205" t="s">
        <v>40</v>
      </c>
      <c r="D36" s="205" t="s">
        <v>145</v>
      </c>
      <c r="E36" s="205" t="s">
        <v>50</v>
      </c>
      <c r="F36" s="206" t="s">
        <v>2489</v>
      </c>
      <c r="G36" s="393" t="s">
        <v>163</v>
      </c>
      <c r="H36" s="207">
        <v>1000</v>
      </c>
      <c r="I36" s="204">
        <v>1000</v>
      </c>
      <c r="J36" s="205" t="s">
        <v>179</v>
      </c>
      <c r="K36" s="205" t="s">
        <v>43</v>
      </c>
      <c r="M36">
        <f t="shared" si="0"/>
        <v>200</v>
      </c>
      <c r="O36" s="187"/>
      <c r="P36" s="57"/>
    </row>
    <row r="37" spans="1:16" x14ac:dyDescent="0.25">
      <c r="A37" s="203">
        <v>3</v>
      </c>
      <c r="B37" s="205" t="s">
        <v>2490</v>
      </c>
      <c r="C37" s="398" t="s">
        <v>48</v>
      </c>
      <c r="D37" s="205" t="s">
        <v>141</v>
      </c>
      <c r="E37" s="205" t="s">
        <v>45</v>
      </c>
      <c r="F37" s="206" t="s">
        <v>2491</v>
      </c>
      <c r="G37" s="393" t="s">
        <v>163</v>
      </c>
      <c r="H37" s="207">
        <v>100</v>
      </c>
      <c r="I37" s="204">
        <v>100</v>
      </c>
      <c r="J37" s="205" t="s">
        <v>179</v>
      </c>
      <c r="K37" s="205" t="s">
        <v>43</v>
      </c>
      <c r="M37">
        <f t="shared" si="0"/>
        <v>20</v>
      </c>
      <c r="O37" s="377"/>
      <c r="P37" s="57"/>
    </row>
    <row r="38" spans="1:16" x14ac:dyDescent="0.25">
      <c r="A38" s="203">
        <v>3</v>
      </c>
      <c r="B38" s="205" t="s">
        <v>2490</v>
      </c>
      <c r="C38" s="425" t="s">
        <v>48</v>
      </c>
      <c r="D38" s="205" t="s">
        <v>141</v>
      </c>
      <c r="E38" s="205" t="s">
        <v>45</v>
      </c>
      <c r="F38" s="206" t="s">
        <v>2491</v>
      </c>
      <c r="G38" s="425" t="s">
        <v>162</v>
      </c>
      <c r="H38" s="211">
        <v>20</v>
      </c>
      <c r="I38" s="234">
        <v>100</v>
      </c>
      <c r="J38" s="205" t="s">
        <v>179</v>
      </c>
      <c r="K38" s="205" t="s">
        <v>43</v>
      </c>
      <c r="M38">
        <f t="shared" si="0"/>
        <v>4</v>
      </c>
      <c r="P38" s="57"/>
    </row>
    <row r="39" spans="1:16" x14ac:dyDescent="0.25">
      <c r="A39" s="203">
        <v>3</v>
      </c>
      <c r="B39" s="205" t="s">
        <v>2492</v>
      </c>
      <c r="C39" s="205" t="s">
        <v>40</v>
      </c>
      <c r="D39" s="205" t="s">
        <v>288</v>
      </c>
      <c r="E39" s="205" t="s">
        <v>47</v>
      </c>
      <c r="F39" s="206"/>
      <c r="G39" s="205" t="s">
        <v>42</v>
      </c>
      <c r="H39" s="211">
        <v>1300</v>
      </c>
      <c r="I39" s="234">
        <v>260</v>
      </c>
      <c r="J39" s="205" t="s">
        <v>179</v>
      </c>
      <c r="K39" s="205" t="s">
        <v>43</v>
      </c>
      <c r="M39">
        <f t="shared" si="0"/>
        <v>260</v>
      </c>
      <c r="P39" s="57"/>
    </row>
    <row r="40" spans="1:16" x14ac:dyDescent="0.25">
      <c r="A40" s="203">
        <v>3</v>
      </c>
      <c r="B40" s="205" t="s">
        <v>2493</v>
      </c>
      <c r="C40" s="205" t="s">
        <v>40</v>
      </c>
      <c r="D40" s="205" t="s">
        <v>645</v>
      </c>
      <c r="E40" s="205" t="s">
        <v>47</v>
      </c>
      <c r="F40" s="206"/>
      <c r="G40" s="205" t="s">
        <v>42</v>
      </c>
      <c r="H40" s="211">
        <v>1000</v>
      </c>
      <c r="I40" s="234">
        <v>200</v>
      </c>
      <c r="J40" s="205" t="s">
        <v>179</v>
      </c>
      <c r="K40" s="205" t="s">
        <v>43</v>
      </c>
      <c r="M40">
        <f t="shared" si="0"/>
        <v>200</v>
      </c>
      <c r="P40" s="57"/>
    </row>
    <row r="41" spans="1:16" x14ac:dyDescent="0.25">
      <c r="A41" s="203">
        <v>3</v>
      </c>
      <c r="B41" s="205" t="s">
        <v>2493</v>
      </c>
      <c r="C41" s="205" t="s">
        <v>40</v>
      </c>
      <c r="D41" s="205" t="s">
        <v>645</v>
      </c>
      <c r="E41" s="205" t="s">
        <v>47</v>
      </c>
      <c r="F41" s="206"/>
      <c r="G41" s="393" t="s">
        <v>163</v>
      </c>
      <c r="H41" s="211">
        <v>200</v>
      </c>
      <c r="I41" s="234">
        <v>200</v>
      </c>
      <c r="J41" s="205" t="s">
        <v>179</v>
      </c>
      <c r="K41" s="205" t="s">
        <v>43</v>
      </c>
      <c r="M41">
        <f t="shared" si="0"/>
        <v>40</v>
      </c>
      <c r="O41" s="340"/>
      <c r="P41" s="57"/>
    </row>
    <row r="42" spans="1:16" x14ac:dyDescent="0.25">
      <c r="A42" s="203">
        <v>3</v>
      </c>
      <c r="B42" s="205" t="s">
        <v>2494</v>
      </c>
      <c r="C42" s="205" t="s">
        <v>40</v>
      </c>
      <c r="D42" s="205" t="s">
        <v>380</v>
      </c>
      <c r="E42" s="205" t="s">
        <v>45</v>
      </c>
      <c r="F42" s="206" t="s">
        <v>2495</v>
      </c>
      <c r="G42" s="393" t="s">
        <v>163</v>
      </c>
      <c r="H42" s="211">
        <v>200</v>
      </c>
      <c r="I42" s="234">
        <v>200</v>
      </c>
      <c r="J42" s="205" t="s">
        <v>179</v>
      </c>
      <c r="K42" s="205" t="s">
        <v>43</v>
      </c>
      <c r="M42">
        <f t="shared" si="0"/>
        <v>40</v>
      </c>
      <c r="P42" s="57"/>
    </row>
    <row r="43" spans="1:16" x14ac:dyDescent="0.25">
      <c r="A43" s="203">
        <v>3</v>
      </c>
      <c r="B43" s="205" t="s">
        <v>2496</v>
      </c>
      <c r="C43" s="205" t="s">
        <v>40</v>
      </c>
      <c r="D43" s="205" t="s">
        <v>2497</v>
      </c>
      <c r="E43" s="205" t="s">
        <v>50</v>
      </c>
      <c r="F43" s="206" t="s">
        <v>2498</v>
      </c>
      <c r="G43" s="205" t="s">
        <v>42</v>
      </c>
      <c r="H43" s="211">
        <v>500</v>
      </c>
      <c r="I43" s="234">
        <v>100</v>
      </c>
      <c r="J43" s="205" t="s">
        <v>179</v>
      </c>
      <c r="K43" s="205" t="s">
        <v>43</v>
      </c>
      <c r="M43">
        <f t="shared" si="0"/>
        <v>100</v>
      </c>
    </row>
    <row r="44" spans="1:16" x14ac:dyDescent="0.25">
      <c r="A44" s="321">
        <v>3</v>
      </c>
      <c r="B44" s="205" t="s">
        <v>2499</v>
      </c>
      <c r="C44" s="205" t="s">
        <v>40</v>
      </c>
      <c r="D44" s="205" t="s">
        <v>899</v>
      </c>
      <c r="E44" s="205" t="s">
        <v>44</v>
      </c>
      <c r="F44" s="206"/>
      <c r="G44" s="393" t="s">
        <v>163</v>
      </c>
      <c r="H44" s="211">
        <v>500</v>
      </c>
      <c r="I44" s="234">
        <v>500</v>
      </c>
      <c r="J44" s="205" t="s">
        <v>179</v>
      </c>
      <c r="K44" s="205" t="s">
        <v>43</v>
      </c>
      <c r="M44">
        <f t="shared" si="0"/>
        <v>100</v>
      </c>
      <c r="O44" s="340"/>
    </row>
    <row r="45" spans="1:16" x14ac:dyDescent="0.25">
      <c r="A45" s="203">
        <v>6</v>
      </c>
      <c r="B45" s="205" t="s">
        <v>2501</v>
      </c>
      <c r="C45" s="205" t="s">
        <v>40</v>
      </c>
      <c r="D45" s="205" t="s">
        <v>952</v>
      </c>
      <c r="E45" s="205" t="s">
        <v>57</v>
      </c>
      <c r="F45" s="206" t="s">
        <v>2502</v>
      </c>
      <c r="G45" s="205" t="s">
        <v>42</v>
      </c>
      <c r="H45" s="211">
        <v>300</v>
      </c>
      <c r="I45" s="234">
        <v>60</v>
      </c>
      <c r="J45" s="205" t="s">
        <v>179</v>
      </c>
      <c r="K45" s="205" t="s">
        <v>43</v>
      </c>
      <c r="M45">
        <f t="shared" si="0"/>
        <v>60</v>
      </c>
      <c r="P45" s="342"/>
    </row>
    <row r="46" spans="1:16" x14ac:dyDescent="0.25">
      <c r="A46" s="203">
        <v>6</v>
      </c>
      <c r="B46" s="205" t="s">
        <v>2503</v>
      </c>
      <c r="C46" s="205" t="s">
        <v>40</v>
      </c>
      <c r="D46" s="205" t="s">
        <v>380</v>
      </c>
      <c r="E46" s="205" t="s">
        <v>45</v>
      </c>
      <c r="F46" s="206"/>
      <c r="G46" s="393" t="s">
        <v>163</v>
      </c>
      <c r="H46" s="211">
        <v>500</v>
      </c>
      <c r="I46" s="234">
        <v>500</v>
      </c>
      <c r="J46" s="205" t="s">
        <v>179</v>
      </c>
      <c r="K46" s="205" t="s">
        <v>43</v>
      </c>
      <c r="M46">
        <f t="shared" si="0"/>
        <v>100</v>
      </c>
    </row>
    <row r="47" spans="1:16" x14ac:dyDescent="0.25">
      <c r="A47" s="203">
        <v>6</v>
      </c>
      <c r="B47" s="205" t="s">
        <v>2504</v>
      </c>
      <c r="C47" s="396" t="s">
        <v>48</v>
      </c>
      <c r="D47" s="205" t="s">
        <v>521</v>
      </c>
      <c r="E47" s="205" t="s">
        <v>72</v>
      </c>
      <c r="F47" s="206"/>
      <c r="G47" s="205" t="s">
        <v>42</v>
      </c>
      <c r="H47" s="211">
        <v>5000</v>
      </c>
      <c r="I47" s="234">
        <v>1000</v>
      </c>
      <c r="J47" s="205" t="s">
        <v>179</v>
      </c>
      <c r="K47" s="205" t="s">
        <v>43</v>
      </c>
      <c r="M47">
        <f t="shared" si="0"/>
        <v>1000</v>
      </c>
      <c r="O47" s="340"/>
    </row>
    <row r="48" spans="1:16" x14ac:dyDescent="0.25">
      <c r="A48" s="203">
        <v>6</v>
      </c>
      <c r="B48" s="205" t="s">
        <v>2504</v>
      </c>
      <c r="C48" s="398" t="s">
        <v>48</v>
      </c>
      <c r="D48" s="205" t="s">
        <v>521</v>
      </c>
      <c r="E48" s="205" t="s">
        <v>72</v>
      </c>
      <c r="F48" s="206"/>
      <c r="G48" s="393" t="s">
        <v>163</v>
      </c>
      <c r="H48" s="211">
        <v>250</v>
      </c>
      <c r="I48" s="234">
        <v>250</v>
      </c>
      <c r="J48" s="205" t="s">
        <v>179</v>
      </c>
      <c r="K48" s="205" t="s">
        <v>43</v>
      </c>
      <c r="M48">
        <f t="shared" si="0"/>
        <v>50</v>
      </c>
      <c r="P48" s="342"/>
    </row>
    <row r="49" spans="1:16" x14ac:dyDescent="0.25">
      <c r="A49" s="203">
        <v>6</v>
      </c>
      <c r="B49" s="205" t="s">
        <v>2505</v>
      </c>
      <c r="C49" s="205" t="s">
        <v>40</v>
      </c>
      <c r="D49" s="205" t="s">
        <v>645</v>
      </c>
      <c r="E49" s="205" t="s">
        <v>47</v>
      </c>
      <c r="F49" s="206" t="s">
        <v>2506</v>
      </c>
      <c r="G49" s="393" t="s">
        <v>163</v>
      </c>
      <c r="H49" s="211">
        <v>50</v>
      </c>
      <c r="I49" s="234">
        <v>50</v>
      </c>
      <c r="J49" s="205" t="s">
        <v>179</v>
      </c>
      <c r="K49" s="205" t="s">
        <v>43</v>
      </c>
      <c r="M49">
        <f t="shared" si="0"/>
        <v>10</v>
      </c>
      <c r="P49" s="25"/>
    </row>
    <row r="50" spans="1:16" x14ac:dyDescent="0.25">
      <c r="A50" s="203">
        <v>6</v>
      </c>
      <c r="B50" s="205" t="s">
        <v>2507</v>
      </c>
      <c r="C50" s="205" t="s">
        <v>40</v>
      </c>
      <c r="D50" s="205" t="s">
        <v>1644</v>
      </c>
      <c r="E50" s="205" t="s">
        <v>46</v>
      </c>
      <c r="F50" s="206"/>
      <c r="G50" s="205" t="s">
        <v>42</v>
      </c>
      <c r="H50" s="211">
        <v>6000</v>
      </c>
      <c r="I50" s="234">
        <v>1200</v>
      </c>
      <c r="J50" s="205" t="s">
        <v>179</v>
      </c>
      <c r="K50" s="205" t="s">
        <v>43</v>
      </c>
      <c r="M50">
        <f t="shared" si="0"/>
        <v>1200</v>
      </c>
      <c r="O50" s="340"/>
      <c r="P50" s="25"/>
    </row>
    <row r="51" spans="1:16" x14ac:dyDescent="0.25">
      <c r="A51" s="203">
        <v>6</v>
      </c>
      <c r="B51" s="205" t="s">
        <v>1387</v>
      </c>
      <c r="C51" s="205" t="s">
        <v>40</v>
      </c>
      <c r="D51" s="205" t="s">
        <v>366</v>
      </c>
      <c r="E51" s="205" t="s">
        <v>57</v>
      </c>
      <c r="F51" s="206"/>
      <c r="G51" s="205" t="s">
        <v>42</v>
      </c>
      <c r="H51" s="211">
        <v>1000</v>
      </c>
      <c r="I51" s="234">
        <v>200</v>
      </c>
      <c r="J51" s="205" t="s">
        <v>179</v>
      </c>
      <c r="K51" s="205" t="s">
        <v>43</v>
      </c>
      <c r="M51">
        <f t="shared" si="0"/>
        <v>200</v>
      </c>
      <c r="P51" s="57"/>
    </row>
    <row r="52" spans="1:16" x14ac:dyDescent="0.25">
      <c r="A52" s="203">
        <v>6</v>
      </c>
      <c r="B52" s="205" t="s">
        <v>2508</v>
      </c>
      <c r="C52" s="205" t="s">
        <v>40</v>
      </c>
      <c r="D52" s="205" t="s">
        <v>852</v>
      </c>
      <c r="E52" s="205" t="s">
        <v>45</v>
      </c>
      <c r="F52" s="206" t="s">
        <v>2509</v>
      </c>
      <c r="G52" s="205" t="s">
        <v>42</v>
      </c>
      <c r="H52" s="211">
        <v>9000</v>
      </c>
      <c r="I52" s="234">
        <v>1800</v>
      </c>
      <c r="J52" s="205" t="s">
        <v>179</v>
      </c>
      <c r="K52" s="205" t="s">
        <v>43</v>
      </c>
      <c r="M52">
        <f t="shared" si="0"/>
        <v>1800</v>
      </c>
      <c r="P52" s="25"/>
    </row>
    <row r="53" spans="1:16" x14ac:dyDescent="0.25">
      <c r="A53" s="203">
        <v>6</v>
      </c>
      <c r="B53" s="205" t="s">
        <v>1284</v>
      </c>
      <c r="C53" s="205" t="s">
        <v>40</v>
      </c>
      <c r="D53" s="205" t="s">
        <v>372</v>
      </c>
      <c r="E53" s="205" t="s">
        <v>44</v>
      </c>
      <c r="F53" s="206" t="s">
        <v>1285</v>
      </c>
      <c r="G53" s="205" t="s">
        <v>42</v>
      </c>
      <c r="H53" s="211">
        <v>5000</v>
      </c>
      <c r="I53" s="234">
        <v>1000</v>
      </c>
      <c r="J53" s="205" t="s">
        <v>179</v>
      </c>
      <c r="K53" s="205" t="s">
        <v>43</v>
      </c>
      <c r="M53">
        <f t="shared" si="0"/>
        <v>1000</v>
      </c>
    </row>
    <row r="54" spans="1:16" x14ac:dyDescent="0.25">
      <c r="A54" s="203">
        <v>6</v>
      </c>
      <c r="B54" s="205" t="s">
        <v>1284</v>
      </c>
      <c r="C54" s="205" t="s">
        <v>40</v>
      </c>
      <c r="D54" s="205" t="s">
        <v>372</v>
      </c>
      <c r="E54" s="205" t="s">
        <v>44</v>
      </c>
      <c r="F54" s="206" t="s">
        <v>1285</v>
      </c>
      <c r="G54" s="393" t="s">
        <v>163</v>
      </c>
      <c r="H54" s="211">
        <v>50</v>
      </c>
      <c r="I54" s="234">
        <v>50</v>
      </c>
      <c r="J54" s="205" t="s">
        <v>179</v>
      </c>
      <c r="K54" s="205" t="s">
        <v>43</v>
      </c>
      <c r="M54">
        <f t="shared" si="0"/>
        <v>10</v>
      </c>
      <c r="P54" s="25"/>
    </row>
    <row r="55" spans="1:16" x14ac:dyDescent="0.25">
      <c r="A55" s="203">
        <v>6</v>
      </c>
      <c r="B55" s="205" t="s">
        <v>2110</v>
      </c>
      <c r="C55" s="205" t="s">
        <v>40</v>
      </c>
      <c r="D55" s="205" t="s">
        <v>899</v>
      </c>
      <c r="E55" s="205" t="s">
        <v>44</v>
      </c>
      <c r="F55" s="206" t="s">
        <v>2510</v>
      </c>
      <c r="G55" s="206" t="s">
        <v>42</v>
      </c>
      <c r="H55" s="211">
        <v>5000</v>
      </c>
      <c r="I55" s="234">
        <v>1000</v>
      </c>
      <c r="J55" s="205" t="s">
        <v>179</v>
      </c>
      <c r="K55" s="205" t="s">
        <v>43</v>
      </c>
      <c r="M55">
        <f t="shared" si="0"/>
        <v>1000</v>
      </c>
    </row>
    <row r="56" spans="1:16" x14ac:dyDescent="0.25">
      <c r="A56" s="203">
        <v>6</v>
      </c>
      <c r="B56" s="205" t="s">
        <v>2511</v>
      </c>
      <c r="C56" s="205" t="s">
        <v>40</v>
      </c>
      <c r="D56" s="205" t="s">
        <v>1455</v>
      </c>
      <c r="E56" s="205" t="s">
        <v>59</v>
      </c>
      <c r="F56" s="206"/>
      <c r="G56" s="205" t="s">
        <v>42</v>
      </c>
      <c r="H56" s="211">
        <v>700</v>
      </c>
      <c r="I56" s="234">
        <v>140</v>
      </c>
      <c r="J56" s="205" t="s">
        <v>179</v>
      </c>
      <c r="K56" s="205" t="s">
        <v>43</v>
      </c>
      <c r="M56">
        <f t="shared" si="0"/>
        <v>140</v>
      </c>
    </row>
    <row r="57" spans="1:16" x14ac:dyDescent="0.25">
      <c r="A57" s="203">
        <v>6</v>
      </c>
      <c r="B57" s="205" t="s">
        <v>2512</v>
      </c>
      <c r="C57" s="205" t="s">
        <v>40</v>
      </c>
      <c r="D57" s="205" t="s">
        <v>2106</v>
      </c>
      <c r="E57" s="205" t="s">
        <v>44</v>
      </c>
      <c r="F57" s="206" t="s">
        <v>2513</v>
      </c>
      <c r="G57" s="205" t="s">
        <v>42</v>
      </c>
      <c r="H57" s="211">
        <v>4000</v>
      </c>
      <c r="I57" s="234">
        <v>800</v>
      </c>
      <c r="J57" s="205" t="s">
        <v>179</v>
      </c>
      <c r="K57" s="205" t="s">
        <v>43</v>
      </c>
      <c r="M57">
        <f t="shared" si="0"/>
        <v>800</v>
      </c>
    </row>
    <row r="58" spans="1:16" x14ac:dyDescent="0.25">
      <c r="A58" s="203">
        <v>6</v>
      </c>
      <c r="B58" s="205" t="s">
        <v>2514</v>
      </c>
      <c r="C58" s="205" t="s">
        <v>40</v>
      </c>
      <c r="D58" s="205" t="s">
        <v>899</v>
      </c>
      <c r="E58" s="205" t="s">
        <v>57</v>
      </c>
      <c r="F58" s="206" t="s">
        <v>2515</v>
      </c>
      <c r="G58" s="205" t="s">
        <v>42</v>
      </c>
      <c r="H58" s="211">
        <v>10000</v>
      </c>
      <c r="I58" s="234">
        <v>2000</v>
      </c>
      <c r="J58" s="205" t="s">
        <v>179</v>
      </c>
      <c r="K58" s="205" t="s">
        <v>43</v>
      </c>
      <c r="M58">
        <f t="shared" si="0"/>
        <v>2000</v>
      </c>
    </row>
    <row r="59" spans="1:16" x14ac:dyDescent="0.25">
      <c r="A59" s="203">
        <v>6</v>
      </c>
      <c r="B59" s="205" t="s">
        <v>2516</v>
      </c>
      <c r="C59" s="205" t="s">
        <v>40</v>
      </c>
      <c r="D59" s="205" t="s">
        <v>142</v>
      </c>
      <c r="E59" s="205" t="s">
        <v>57</v>
      </c>
      <c r="F59" s="206"/>
      <c r="G59" s="205" t="s">
        <v>42</v>
      </c>
      <c r="H59" s="211">
        <v>1000</v>
      </c>
      <c r="I59" s="234">
        <v>200</v>
      </c>
      <c r="J59" s="205" t="s">
        <v>179</v>
      </c>
      <c r="K59" s="205" t="s">
        <v>43</v>
      </c>
      <c r="M59">
        <f t="shared" si="0"/>
        <v>200</v>
      </c>
    </row>
    <row r="60" spans="1:16" x14ac:dyDescent="0.25">
      <c r="A60" s="203">
        <v>6</v>
      </c>
      <c r="B60" s="205" t="s">
        <v>2517</v>
      </c>
      <c r="C60" s="205" t="s">
        <v>40</v>
      </c>
      <c r="D60" s="205" t="s">
        <v>981</v>
      </c>
      <c r="E60" s="205" t="s">
        <v>45</v>
      </c>
      <c r="F60" s="206"/>
      <c r="G60" s="205" t="s">
        <v>42</v>
      </c>
      <c r="H60" s="211">
        <v>500</v>
      </c>
      <c r="I60" s="234">
        <v>100</v>
      </c>
      <c r="J60" s="205" t="s">
        <v>179</v>
      </c>
      <c r="K60" s="205" t="s">
        <v>43</v>
      </c>
      <c r="M60">
        <f t="shared" si="0"/>
        <v>100</v>
      </c>
    </row>
    <row r="61" spans="1:16" x14ac:dyDescent="0.25">
      <c r="A61" s="203">
        <v>6</v>
      </c>
      <c r="B61" s="205" t="s">
        <v>2518</v>
      </c>
      <c r="C61" s="205" t="s">
        <v>40</v>
      </c>
      <c r="D61" s="205" t="s">
        <v>815</v>
      </c>
      <c r="E61" s="205" t="s">
        <v>45</v>
      </c>
      <c r="F61" s="206"/>
      <c r="G61" s="205" t="s">
        <v>42</v>
      </c>
      <c r="H61" s="211">
        <v>400</v>
      </c>
      <c r="I61" s="234">
        <v>80</v>
      </c>
      <c r="J61" s="205" t="s">
        <v>179</v>
      </c>
      <c r="K61" s="205" t="s">
        <v>43</v>
      </c>
      <c r="M61">
        <f t="shared" si="0"/>
        <v>80</v>
      </c>
    </row>
    <row r="62" spans="1:16" x14ac:dyDescent="0.25">
      <c r="A62" s="203">
        <v>6</v>
      </c>
      <c r="B62" s="205" t="s">
        <v>2519</v>
      </c>
      <c r="C62" s="205" t="s">
        <v>40</v>
      </c>
      <c r="D62" s="205" t="s">
        <v>1435</v>
      </c>
      <c r="E62" s="205" t="s">
        <v>63</v>
      </c>
      <c r="F62" s="206"/>
      <c r="G62" s="205" t="s">
        <v>42</v>
      </c>
      <c r="H62" s="211">
        <v>200</v>
      </c>
      <c r="I62" s="234">
        <v>40</v>
      </c>
      <c r="J62" s="205" t="s">
        <v>179</v>
      </c>
      <c r="K62" s="205" t="s">
        <v>43</v>
      </c>
      <c r="M62">
        <f t="shared" si="0"/>
        <v>40</v>
      </c>
    </row>
    <row r="63" spans="1:16" x14ac:dyDescent="0.25">
      <c r="A63" s="203">
        <v>6</v>
      </c>
      <c r="B63" s="205" t="s">
        <v>2520</v>
      </c>
      <c r="C63" s="205" t="s">
        <v>40</v>
      </c>
      <c r="D63" s="205" t="s">
        <v>883</v>
      </c>
      <c r="E63" s="205" t="s">
        <v>60</v>
      </c>
      <c r="F63" s="206"/>
      <c r="G63" s="205" t="s">
        <v>42</v>
      </c>
      <c r="H63" s="211">
        <v>2000</v>
      </c>
      <c r="I63" s="234">
        <v>400</v>
      </c>
      <c r="J63" s="205" t="s">
        <v>179</v>
      </c>
      <c r="K63" s="205" t="s">
        <v>43</v>
      </c>
      <c r="M63">
        <f t="shared" si="0"/>
        <v>400</v>
      </c>
    </row>
    <row r="64" spans="1:16" x14ac:dyDescent="0.25">
      <c r="A64" s="203">
        <v>6</v>
      </c>
      <c r="B64" s="205" t="s">
        <v>2521</v>
      </c>
      <c r="C64" s="205" t="s">
        <v>40</v>
      </c>
      <c r="D64" s="205" t="s">
        <v>372</v>
      </c>
      <c r="E64" s="205" t="s">
        <v>44</v>
      </c>
      <c r="F64" s="206"/>
      <c r="G64" s="205" t="s">
        <v>42</v>
      </c>
      <c r="H64" s="211">
        <v>1000</v>
      </c>
      <c r="I64" s="234">
        <v>200</v>
      </c>
      <c r="J64" s="205" t="s">
        <v>179</v>
      </c>
      <c r="K64" s="205" t="s">
        <v>43</v>
      </c>
      <c r="M64">
        <f t="shared" si="0"/>
        <v>200</v>
      </c>
    </row>
    <row r="65" spans="1:16" x14ac:dyDescent="0.25">
      <c r="A65" s="203">
        <v>6</v>
      </c>
      <c r="B65" s="205" t="s">
        <v>2521</v>
      </c>
      <c r="C65" s="205" t="s">
        <v>40</v>
      </c>
      <c r="D65" s="205" t="s">
        <v>372</v>
      </c>
      <c r="E65" s="205" t="s">
        <v>44</v>
      </c>
      <c r="F65" s="206"/>
      <c r="G65" s="393" t="s">
        <v>163</v>
      </c>
      <c r="H65" s="211">
        <v>200</v>
      </c>
      <c r="I65" s="234">
        <v>200</v>
      </c>
      <c r="J65" s="205" t="s">
        <v>179</v>
      </c>
      <c r="K65" s="205" t="s">
        <v>43</v>
      </c>
      <c r="M65">
        <f t="shared" si="0"/>
        <v>40</v>
      </c>
    </row>
    <row r="66" spans="1:16" x14ac:dyDescent="0.25">
      <c r="A66" s="203">
        <v>6</v>
      </c>
      <c r="B66" s="205" t="s">
        <v>2522</v>
      </c>
      <c r="C66" s="205" t="s">
        <v>40</v>
      </c>
      <c r="D66" s="205" t="s">
        <v>372</v>
      </c>
      <c r="E66" s="205" t="s">
        <v>44</v>
      </c>
      <c r="F66" s="206"/>
      <c r="G66" s="205" t="s">
        <v>42</v>
      </c>
      <c r="H66" s="211">
        <v>1000</v>
      </c>
      <c r="I66" s="234">
        <v>200</v>
      </c>
      <c r="J66" s="205" t="s">
        <v>179</v>
      </c>
      <c r="K66" s="205" t="s">
        <v>43</v>
      </c>
      <c r="M66">
        <f t="shared" si="0"/>
        <v>200</v>
      </c>
    </row>
    <row r="67" spans="1:16" x14ac:dyDescent="0.25">
      <c r="A67" s="203">
        <v>6</v>
      </c>
      <c r="B67" s="205" t="s">
        <v>2522</v>
      </c>
      <c r="C67" s="205" t="s">
        <v>40</v>
      </c>
      <c r="D67" s="205" t="s">
        <v>372</v>
      </c>
      <c r="E67" s="205" t="s">
        <v>44</v>
      </c>
      <c r="F67" s="206"/>
      <c r="G67" s="393" t="s">
        <v>163</v>
      </c>
      <c r="H67" s="211">
        <v>200</v>
      </c>
      <c r="I67" s="234">
        <v>200</v>
      </c>
      <c r="J67" s="205" t="s">
        <v>179</v>
      </c>
      <c r="K67" s="205" t="s">
        <v>43</v>
      </c>
      <c r="M67">
        <f t="shared" si="0"/>
        <v>40</v>
      </c>
    </row>
    <row r="68" spans="1:16" x14ac:dyDescent="0.25">
      <c r="A68" s="203">
        <v>6</v>
      </c>
      <c r="B68" s="205" t="s">
        <v>2523</v>
      </c>
      <c r="C68" s="205" t="s">
        <v>40</v>
      </c>
      <c r="D68" s="205" t="s">
        <v>1231</v>
      </c>
      <c r="E68" s="205" t="s">
        <v>52</v>
      </c>
      <c r="F68" s="206" t="s">
        <v>2524</v>
      </c>
      <c r="G68" s="393" t="s">
        <v>163</v>
      </c>
      <c r="H68" s="211">
        <v>500</v>
      </c>
      <c r="I68" s="234">
        <v>500</v>
      </c>
      <c r="J68" s="205" t="s">
        <v>179</v>
      </c>
      <c r="K68" s="205" t="s">
        <v>43</v>
      </c>
      <c r="M68">
        <f t="shared" si="0"/>
        <v>100</v>
      </c>
    </row>
    <row r="69" spans="1:16" x14ac:dyDescent="0.25">
      <c r="A69" s="203">
        <v>6</v>
      </c>
      <c r="B69" s="205" t="s">
        <v>2525</v>
      </c>
      <c r="C69" s="205" t="s">
        <v>40</v>
      </c>
      <c r="D69" s="205" t="s">
        <v>2378</v>
      </c>
      <c r="E69" s="205" t="s">
        <v>57</v>
      </c>
      <c r="F69" s="206"/>
      <c r="G69" s="208" t="s">
        <v>42</v>
      </c>
      <c r="H69" s="211">
        <v>3000</v>
      </c>
      <c r="I69" s="234">
        <v>600</v>
      </c>
      <c r="J69" s="205" t="s">
        <v>179</v>
      </c>
      <c r="K69" s="205" t="s">
        <v>43</v>
      </c>
      <c r="M69">
        <f t="shared" si="0"/>
        <v>600</v>
      </c>
    </row>
    <row r="70" spans="1:16" x14ac:dyDescent="0.25">
      <c r="A70" s="203">
        <v>6</v>
      </c>
      <c r="B70" s="205" t="s">
        <v>2526</v>
      </c>
      <c r="C70" s="205" t="s">
        <v>40</v>
      </c>
      <c r="D70" s="205" t="s">
        <v>63</v>
      </c>
      <c r="E70" s="205" t="s">
        <v>57</v>
      </c>
      <c r="F70" s="206" t="s">
        <v>2527</v>
      </c>
      <c r="G70" s="205" t="s">
        <v>42</v>
      </c>
      <c r="H70" s="211">
        <v>1500</v>
      </c>
      <c r="I70" s="234">
        <v>300</v>
      </c>
      <c r="J70" s="205" t="s">
        <v>179</v>
      </c>
      <c r="K70" s="205" t="s">
        <v>43</v>
      </c>
      <c r="M70">
        <f t="shared" si="0"/>
        <v>300</v>
      </c>
    </row>
    <row r="71" spans="1:16" x14ac:dyDescent="0.25">
      <c r="A71" s="203">
        <v>6</v>
      </c>
      <c r="B71" s="205" t="s">
        <v>2528</v>
      </c>
      <c r="C71" s="205" t="s">
        <v>40</v>
      </c>
      <c r="D71" s="205" t="s">
        <v>372</v>
      </c>
      <c r="E71" s="205" t="s">
        <v>44</v>
      </c>
      <c r="F71" s="206"/>
      <c r="G71" s="393" t="s">
        <v>163</v>
      </c>
      <c r="H71" s="211">
        <v>3500</v>
      </c>
      <c r="I71" s="234">
        <v>3500</v>
      </c>
      <c r="J71" s="205" t="s">
        <v>179</v>
      </c>
      <c r="K71" s="205" t="s">
        <v>43</v>
      </c>
      <c r="M71">
        <f t="shared" si="0"/>
        <v>700</v>
      </c>
    </row>
    <row r="72" spans="1:16" x14ac:dyDescent="0.25">
      <c r="A72" s="203">
        <v>6</v>
      </c>
      <c r="B72" s="205" t="s">
        <v>2531</v>
      </c>
      <c r="C72" s="205" t="s">
        <v>40</v>
      </c>
      <c r="D72" s="205" t="s">
        <v>372</v>
      </c>
      <c r="E72" s="205" t="s">
        <v>44</v>
      </c>
      <c r="F72" s="206"/>
      <c r="G72" s="205" t="s">
        <v>42</v>
      </c>
      <c r="H72" s="211">
        <v>1500</v>
      </c>
      <c r="I72" s="234">
        <v>300</v>
      </c>
      <c r="J72" s="205" t="s">
        <v>179</v>
      </c>
      <c r="K72" s="205" t="s">
        <v>43</v>
      </c>
      <c r="M72">
        <f t="shared" si="0"/>
        <v>300</v>
      </c>
    </row>
    <row r="73" spans="1:16" x14ac:dyDescent="0.25">
      <c r="A73" s="203">
        <v>6</v>
      </c>
      <c r="B73" s="205" t="s">
        <v>2532</v>
      </c>
      <c r="C73" s="205" t="s">
        <v>40</v>
      </c>
      <c r="D73" s="205" t="s">
        <v>1169</v>
      </c>
      <c r="E73" s="205" t="s">
        <v>60</v>
      </c>
      <c r="F73" s="206" t="s">
        <v>2533</v>
      </c>
      <c r="G73" s="205" t="s">
        <v>42</v>
      </c>
      <c r="H73" s="211">
        <v>1000</v>
      </c>
      <c r="I73" s="234">
        <v>200</v>
      </c>
      <c r="J73" s="205" t="s">
        <v>179</v>
      </c>
      <c r="K73" s="205" t="s">
        <v>43</v>
      </c>
      <c r="M73">
        <f t="shared" si="0"/>
        <v>200</v>
      </c>
    </row>
    <row r="74" spans="1:16" x14ac:dyDescent="0.25">
      <c r="A74" s="203">
        <v>6</v>
      </c>
      <c r="B74" s="205" t="s">
        <v>2534</v>
      </c>
      <c r="C74" s="396" t="s">
        <v>48</v>
      </c>
      <c r="D74" s="205" t="s">
        <v>153</v>
      </c>
      <c r="E74" s="205" t="s">
        <v>57</v>
      </c>
      <c r="F74" s="206"/>
      <c r="G74" s="205" t="s">
        <v>42</v>
      </c>
      <c r="H74" s="211">
        <v>2500</v>
      </c>
      <c r="I74" s="234">
        <v>500</v>
      </c>
      <c r="J74" s="205" t="s">
        <v>179</v>
      </c>
      <c r="K74" s="205" t="s">
        <v>43</v>
      </c>
      <c r="M74">
        <f t="shared" si="0"/>
        <v>500</v>
      </c>
    </row>
    <row r="75" spans="1:16" x14ac:dyDescent="0.25">
      <c r="A75" s="203">
        <v>6</v>
      </c>
      <c r="B75" s="205" t="s">
        <v>2534</v>
      </c>
      <c r="C75" s="396" t="s">
        <v>48</v>
      </c>
      <c r="D75" s="205" t="s">
        <v>153</v>
      </c>
      <c r="E75" s="205" t="s">
        <v>57</v>
      </c>
      <c r="F75" s="206"/>
      <c r="G75" s="205" t="s">
        <v>42</v>
      </c>
      <c r="H75" s="211">
        <v>500</v>
      </c>
      <c r="I75" s="234" t="s">
        <v>255</v>
      </c>
      <c r="J75" s="205" t="s">
        <v>179</v>
      </c>
      <c r="K75" s="205" t="s">
        <v>43</v>
      </c>
      <c r="M75">
        <f t="shared" si="0"/>
        <v>100</v>
      </c>
    </row>
    <row r="76" spans="1:16" x14ac:dyDescent="0.25">
      <c r="A76" s="203">
        <v>6</v>
      </c>
      <c r="B76" s="205" t="s">
        <v>1897</v>
      </c>
      <c r="C76" s="205" t="s">
        <v>40</v>
      </c>
      <c r="D76" s="205" t="s">
        <v>1176</v>
      </c>
      <c r="E76" s="205" t="s">
        <v>59</v>
      </c>
      <c r="F76" s="206" t="s">
        <v>2535</v>
      </c>
      <c r="G76" s="205" t="s">
        <v>42</v>
      </c>
      <c r="H76" s="211">
        <v>5000</v>
      </c>
      <c r="I76" s="234">
        <v>1000</v>
      </c>
      <c r="J76" s="205" t="s">
        <v>179</v>
      </c>
      <c r="K76" s="205" t="s">
        <v>43</v>
      </c>
      <c r="M76">
        <f t="shared" si="0"/>
        <v>1000</v>
      </c>
    </row>
    <row r="77" spans="1:16" x14ac:dyDescent="0.25">
      <c r="A77" s="203">
        <v>6</v>
      </c>
      <c r="B77" s="205" t="s">
        <v>2536</v>
      </c>
      <c r="C77" s="205" t="s">
        <v>40</v>
      </c>
      <c r="D77" s="205" t="s">
        <v>342</v>
      </c>
      <c r="E77" s="205" t="s">
        <v>47</v>
      </c>
      <c r="F77" s="206" t="s">
        <v>2537</v>
      </c>
      <c r="G77" s="205" t="s">
        <v>42</v>
      </c>
      <c r="H77" s="211">
        <v>5000</v>
      </c>
      <c r="I77" s="234">
        <v>1000</v>
      </c>
      <c r="J77" s="205" t="s">
        <v>179</v>
      </c>
      <c r="K77" s="205" t="s">
        <v>43</v>
      </c>
      <c r="M77">
        <f t="shared" si="0"/>
        <v>1000</v>
      </c>
    </row>
    <row r="78" spans="1:16" x14ac:dyDescent="0.25">
      <c r="A78" s="203">
        <v>6</v>
      </c>
      <c r="B78" s="205" t="s">
        <v>2538</v>
      </c>
      <c r="C78" s="396" t="s">
        <v>48</v>
      </c>
      <c r="D78" s="205" t="s">
        <v>1821</v>
      </c>
      <c r="E78" s="205" t="s">
        <v>49</v>
      </c>
      <c r="F78" s="206" t="s">
        <v>2539</v>
      </c>
      <c r="G78" s="205" t="s">
        <v>42</v>
      </c>
      <c r="H78" s="211">
        <v>6000</v>
      </c>
      <c r="I78" s="234">
        <v>1200</v>
      </c>
      <c r="J78" s="205" t="s">
        <v>179</v>
      </c>
      <c r="K78" s="205" t="s">
        <v>43</v>
      </c>
      <c r="M78">
        <f t="shared" si="0"/>
        <v>1200</v>
      </c>
    </row>
    <row r="79" spans="1:16" x14ac:dyDescent="0.25">
      <c r="A79" s="321">
        <v>6</v>
      </c>
      <c r="B79" s="205" t="s">
        <v>2540</v>
      </c>
      <c r="C79" s="205" t="s">
        <v>40</v>
      </c>
      <c r="D79" s="205" t="s">
        <v>76</v>
      </c>
      <c r="E79" s="205" t="s">
        <v>44</v>
      </c>
      <c r="F79" s="206" t="s">
        <v>2541</v>
      </c>
      <c r="G79" s="393" t="s">
        <v>163</v>
      </c>
      <c r="H79" s="211">
        <v>200</v>
      </c>
      <c r="I79" s="234">
        <v>200</v>
      </c>
      <c r="J79" s="205" t="s">
        <v>179</v>
      </c>
      <c r="K79" s="205" t="s">
        <v>43</v>
      </c>
      <c r="M79">
        <f t="shared" si="0"/>
        <v>40</v>
      </c>
      <c r="P79" s="57"/>
    </row>
    <row r="80" spans="1:16" x14ac:dyDescent="0.25">
      <c r="A80" s="203">
        <v>13</v>
      </c>
      <c r="B80" s="205" t="s">
        <v>2551</v>
      </c>
      <c r="C80" s="205" t="s">
        <v>40</v>
      </c>
      <c r="D80" s="205" t="s">
        <v>663</v>
      </c>
      <c r="E80" s="205" t="s">
        <v>64</v>
      </c>
      <c r="F80" s="206" t="s">
        <v>2552</v>
      </c>
      <c r="G80" s="205" t="s">
        <v>42</v>
      </c>
      <c r="H80" s="211">
        <v>3000</v>
      </c>
      <c r="I80" s="234">
        <v>600</v>
      </c>
      <c r="J80" s="205" t="s">
        <v>179</v>
      </c>
      <c r="K80" s="205" t="s">
        <v>43</v>
      </c>
      <c r="M80">
        <f t="shared" si="0"/>
        <v>600</v>
      </c>
    </row>
    <row r="81" spans="1:16" s="187" customFormat="1" x14ac:dyDescent="0.25">
      <c r="A81" s="203">
        <v>13</v>
      </c>
      <c r="B81" s="205" t="s">
        <v>2551</v>
      </c>
      <c r="C81" s="205" t="s">
        <v>40</v>
      </c>
      <c r="D81" s="205" t="s">
        <v>663</v>
      </c>
      <c r="E81" s="205" t="s">
        <v>64</v>
      </c>
      <c r="F81" s="206" t="s">
        <v>2552</v>
      </c>
      <c r="G81" s="393" t="s">
        <v>163</v>
      </c>
      <c r="H81" s="211">
        <v>1000</v>
      </c>
      <c r="I81" s="234">
        <v>1000</v>
      </c>
      <c r="J81" s="205" t="s">
        <v>179</v>
      </c>
      <c r="K81" s="205" t="s">
        <v>43</v>
      </c>
      <c r="M81" s="187">
        <f t="shared" si="0"/>
        <v>200</v>
      </c>
    </row>
    <row r="82" spans="1:16" x14ac:dyDescent="0.25">
      <c r="A82" s="203">
        <v>13</v>
      </c>
      <c r="B82" s="205" t="s">
        <v>2553</v>
      </c>
      <c r="C82" s="205" t="s">
        <v>40</v>
      </c>
      <c r="D82" s="205" t="s">
        <v>899</v>
      </c>
      <c r="E82" s="205" t="s">
        <v>57</v>
      </c>
      <c r="F82" s="206" t="s">
        <v>2554</v>
      </c>
      <c r="G82" s="205" t="s">
        <v>42</v>
      </c>
      <c r="H82" s="211">
        <v>4000</v>
      </c>
      <c r="I82" s="234">
        <v>800</v>
      </c>
      <c r="J82" s="205" t="s">
        <v>179</v>
      </c>
      <c r="K82" s="205" t="s">
        <v>43</v>
      </c>
      <c r="M82">
        <f t="shared" si="0"/>
        <v>800</v>
      </c>
    </row>
    <row r="83" spans="1:16" x14ac:dyDescent="0.25">
      <c r="A83" s="203">
        <v>13</v>
      </c>
      <c r="B83" s="205" t="s">
        <v>2373</v>
      </c>
      <c r="C83" s="205" t="s">
        <v>40</v>
      </c>
      <c r="D83" s="205" t="s">
        <v>927</v>
      </c>
      <c r="E83" s="206" t="s">
        <v>57</v>
      </c>
      <c r="F83" s="206" t="s">
        <v>2374</v>
      </c>
      <c r="G83" s="205" t="s">
        <v>42</v>
      </c>
      <c r="H83" s="211">
        <v>750</v>
      </c>
      <c r="I83" s="234">
        <v>150</v>
      </c>
      <c r="J83" s="205" t="s">
        <v>179</v>
      </c>
      <c r="K83" s="205" t="s">
        <v>43</v>
      </c>
      <c r="M83">
        <f t="shared" si="0"/>
        <v>150</v>
      </c>
    </row>
    <row r="84" spans="1:16" x14ac:dyDescent="0.25">
      <c r="A84" s="203">
        <v>13</v>
      </c>
      <c r="B84" s="205" t="s">
        <v>2555</v>
      </c>
      <c r="C84" s="205" t="s">
        <v>40</v>
      </c>
      <c r="D84" s="205" t="s">
        <v>372</v>
      </c>
      <c r="E84" s="205" t="s">
        <v>44</v>
      </c>
      <c r="F84" s="206" t="s">
        <v>1285</v>
      </c>
      <c r="G84" s="205" t="s">
        <v>42</v>
      </c>
      <c r="H84" s="211">
        <v>5000</v>
      </c>
      <c r="I84" s="234">
        <v>1000</v>
      </c>
      <c r="J84" s="205" t="s">
        <v>179</v>
      </c>
      <c r="K84" s="205" t="s">
        <v>43</v>
      </c>
      <c r="M84">
        <f t="shared" si="0"/>
        <v>1000</v>
      </c>
    </row>
    <row r="85" spans="1:16" x14ac:dyDescent="0.25">
      <c r="A85" s="203">
        <v>13</v>
      </c>
      <c r="B85" s="205" t="s">
        <v>2556</v>
      </c>
      <c r="C85" s="205" t="s">
        <v>40</v>
      </c>
      <c r="D85" s="205" t="s">
        <v>141</v>
      </c>
      <c r="E85" s="205" t="s">
        <v>45</v>
      </c>
      <c r="F85" s="206"/>
      <c r="G85" s="205" t="s">
        <v>42</v>
      </c>
      <c r="H85" s="211">
        <v>6000</v>
      </c>
      <c r="I85" s="234">
        <v>1200</v>
      </c>
      <c r="J85" s="205" t="s">
        <v>179</v>
      </c>
      <c r="K85" s="205" t="s">
        <v>43</v>
      </c>
      <c r="M85">
        <f t="shared" si="0"/>
        <v>1200</v>
      </c>
    </row>
    <row r="86" spans="1:16" x14ac:dyDescent="0.25">
      <c r="A86" s="203">
        <v>13</v>
      </c>
      <c r="B86" s="205" t="s">
        <v>2557</v>
      </c>
      <c r="C86" s="205" t="s">
        <v>40</v>
      </c>
      <c r="D86" s="205" t="s">
        <v>145</v>
      </c>
      <c r="E86" s="205" t="s">
        <v>50</v>
      </c>
      <c r="F86" s="206"/>
      <c r="G86" s="393" t="s">
        <v>163</v>
      </c>
      <c r="H86" s="211">
        <v>200</v>
      </c>
      <c r="I86" s="234">
        <v>200</v>
      </c>
      <c r="J86" s="205" t="s">
        <v>179</v>
      </c>
      <c r="K86" s="205" t="s">
        <v>43</v>
      </c>
      <c r="M86">
        <f t="shared" si="0"/>
        <v>40</v>
      </c>
    </row>
    <row r="87" spans="1:16" x14ac:dyDescent="0.25">
      <c r="A87" s="203">
        <v>13</v>
      </c>
      <c r="B87" s="205" t="s">
        <v>2558</v>
      </c>
      <c r="C87" s="396" t="s">
        <v>48</v>
      </c>
      <c r="D87" s="205" t="s">
        <v>141</v>
      </c>
      <c r="E87" s="205" t="s">
        <v>45</v>
      </c>
      <c r="F87" s="206" t="s">
        <v>2559</v>
      </c>
      <c r="G87" s="205" t="s">
        <v>42</v>
      </c>
      <c r="H87" s="211">
        <v>3500</v>
      </c>
      <c r="I87" s="234">
        <v>700</v>
      </c>
      <c r="J87" s="205" t="s">
        <v>179</v>
      </c>
      <c r="K87" s="205" t="s">
        <v>43</v>
      </c>
      <c r="M87">
        <f t="shared" si="0"/>
        <v>700</v>
      </c>
    </row>
    <row r="88" spans="1:16" x14ac:dyDescent="0.25">
      <c r="A88" s="203">
        <v>13</v>
      </c>
      <c r="B88" s="205" t="s">
        <v>2560</v>
      </c>
      <c r="C88" s="205" t="s">
        <v>40</v>
      </c>
      <c r="D88" s="205" t="s">
        <v>372</v>
      </c>
      <c r="E88" s="205" t="s">
        <v>44</v>
      </c>
      <c r="F88" s="206"/>
      <c r="G88" s="205" t="s">
        <v>42</v>
      </c>
      <c r="H88" s="211">
        <v>750</v>
      </c>
      <c r="I88" s="234">
        <v>150</v>
      </c>
      <c r="J88" s="205" t="s">
        <v>179</v>
      </c>
      <c r="K88" s="205" t="s">
        <v>43</v>
      </c>
      <c r="M88">
        <f t="shared" si="0"/>
        <v>150</v>
      </c>
      <c r="P88" s="57"/>
    </row>
    <row r="89" spans="1:16" x14ac:dyDescent="0.25">
      <c r="A89" s="203">
        <v>13</v>
      </c>
      <c r="B89" s="205" t="s">
        <v>2561</v>
      </c>
      <c r="C89" s="396" t="s">
        <v>48</v>
      </c>
      <c r="D89" s="205" t="s">
        <v>2319</v>
      </c>
      <c r="E89" s="205" t="s">
        <v>47</v>
      </c>
      <c r="F89" s="206"/>
      <c r="G89" s="205" t="s">
        <v>42</v>
      </c>
      <c r="H89" s="211">
        <v>1000</v>
      </c>
      <c r="I89" s="234">
        <v>200</v>
      </c>
      <c r="J89" s="205" t="s">
        <v>179</v>
      </c>
      <c r="K89" s="205" t="s">
        <v>43</v>
      </c>
      <c r="M89">
        <f t="shared" si="0"/>
        <v>200</v>
      </c>
    </row>
    <row r="90" spans="1:16" x14ac:dyDescent="0.25">
      <c r="A90" s="203">
        <v>13</v>
      </c>
      <c r="B90" s="205" t="s">
        <v>2562</v>
      </c>
      <c r="C90" s="205" t="s">
        <v>40</v>
      </c>
      <c r="D90" s="205" t="s">
        <v>141</v>
      </c>
      <c r="E90" s="205" t="s">
        <v>45</v>
      </c>
      <c r="F90" s="206"/>
      <c r="G90" s="205" t="s">
        <v>42</v>
      </c>
      <c r="H90" s="211">
        <v>1500</v>
      </c>
      <c r="I90" s="234">
        <v>300</v>
      </c>
      <c r="J90" s="205" t="s">
        <v>179</v>
      </c>
      <c r="K90" s="205" t="s">
        <v>43</v>
      </c>
      <c r="M90">
        <f t="shared" si="0"/>
        <v>300</v>
      </c>
    </row>
    <row r="91" spans="1:16" x14ac:dyDescent="0.25">
      <c r="A91" s="203">
        <v>13</v>
      </c>
      <c r="B91" s="205" t="s">
        <v>2563</v>
      </c>
      <c r="C91" s="205" t="s">
        <v>40</v>
      </c>
      <c r="D91" s="205" t="s">
        <v>2564</v>
      </c>
      <c r="E91" s="205" t="s">
        <v>72</v>
      </c>
      <c r="F91" s="206"/>
      <c r="G91" s="205" t="s">
        <v>42</v>
      </c>
      <c r="H91" s="211">
        <v>3000</v>
      </c>
      <c r="I91" s="234">
        <v>600</v>
      </c>
      <c r="J91" s="205" t="s">
        <v>179</v>
      </c>
      <c r="K91" s="205" t="s">
        <v>43</v>
      </c>
      <c r="M91">
        <f t="shared" si="0"/>
        <v>600</v>
      </c>
    </row>
    <row r="92" spans="1:16" x14ac:dyDescent="0.25">
      <c r="A92" s="203">
        <v>13</v>
      </c>
      <c r="B92" s="205" t="s">
        <v>2565</v>
      </c>
      <c r="C92" s="205" t="s">
        <v>40</v>
      </c>
      <c r="D92" s="205" t="s">
        <v>1069</v>
      </c>
      <c r="E92" s="205" t="s">
        <v>72</v>
      </c>
      <c r="F92" s="206" t="s">
        <v>2566</v>
      </c>
      <c r="G92" s="393" t="s">
        <v>163</v>
      </c>
      <c r="H92" s="211">
        <v>400</v>
      </c>
      <c r="I92" s="234">
        <v>400</v>
      </c>
      <c r="J92" s="205" t="s">
        <v>179</v>
      </c>
      <c r="K92" s="205" t="s">
        <v>43</v>
      </c>
      <c r="M92">
        <f t="shared" si="0"/>
        <v>80</v>
      </c>
    </row>
    <row r="93" spans="1:16" x14ac:dyDescent="0.25">
      <c r="A93" s="203">
        <v>13</v>
      </c>
      <c r="B93" s="205" t="s">
        <v>2567</v>
      </c>
      <c r="C93" s="205" t="s">
        <v>40</v>
      </c>
      <c r="D93" s="205" t="s">
        <v>2568</v>
      </c>
      <c r="E93" s="205" t="s">
        <v>61</v>
      </c>
      <c r="F93" s="206" t="s">
        <v>2569</v>
      </c>
      <c r="G93" s="205" t="s">
        <v>42</v>
      </c>
      <c r="H93" s="211">
        <v>3000</v>
      </c>
      <c r="I93" s="234">
        <v>600</v>
      </c>
      <c r="J93" s="205" t="s">
        <v>179</v>
      </c>
      <c r="K93" s="205" t="s">
        <v>43</v>
      </c>
      <c r="M93">
        <f t="shared" si="0"/>
        <v>600</v>
      </c>
    </row>
    <row r="94" spans="1:16" x14ac:dyDescent="0.25">
      <c r="A94" s="203">
        <v>13</v>
      </c>
      <c r="B94" s="205" t="s">
        <v>209</v>
      </c>
      <c r="C94" s="398" t="s">
        <v>48</v>
      </c>
      <c r="D94" s="205" t="s">
        <v>150</v>
      </c>
      <c r="E94" s="205" t="s">
        <v>71</v>
      </c>
      <c r="F94" s="206" t="s">
        <v>210</v>
      </c>
      <c r="G94" s="393" t="s">
        <v>163</v>
      </c>
      <c r="H94" s="211">
        <v>1500</v>
      </c>
      <c r="I94" s="234">
        <v>1500</v>
      </c>
      <c r="J94" s="205" t="s">
        <v>179</v>
      </c>
      <c r="K94" s="205" t="s">
        <v>43</v>
      </c>
      <c r="M94">
        <f t="shared" si="0"/>
        <v>300</v>
      </c>
    </row>
    <row r="95" spans="1:16" x14ac:dyDescent="0.25">
      <c r="A95" s="203">
        <v>13</v>
      </c>
      <c r="B95" s="205" t="s">
        <v>2570</v>
      </c>
      <c r="C95" s="396" t="s">
        <v>48</v>
      </c>
      <c r="D95" s="205" t="s">
        <v>141</v>
      </c>
      <c r="E95" s="205" t="s">
        <v>45</v>
      </c>
      <c r="F95" s="206"/>
      <c r="G95" s="205" t="s">
        <v>42</v>
      </c>
      <c r="H95" s="211">
        <v>11000</v>
      </c>
      <c r="I95" s="234">
        <v>2200</v>
      </c>
      <c r="J95" s="205" t="s">
        <v>179</v>
      </c>
      <c r="K95" s="205" t="s">
        <v>43</v>
      </c>
      <c r="M95">
        <f t="shared" si="0"/>
        <v>2200</v>
      </c>
    </row>
    <row r="96" spans="1:16" x14ac:dyDescent="0.25">
      <c r="A96" s="203">
        <v>13</v>
      </c>
      <c r="B96" s="205" t="s">
        <v>2571</v>
      </c>
      <c r="C96" s="205" t="s">
        <v>40</v>
      </c>
      <c r="D96" s="205" t="s">
        <v>156</v>
      </c>
      <c r="E96" s="205" t="s">
        <v>44</v>
      </c>
      <c r="F96" s="206"/>
      <c r="G96" s="205" t="s">
        <v>42</v>
      </c>
      <c r="H96" s="211">
        <v>1000</v>
      </c>
      <c r="I96" s="234">
        <v>300</v>
      </c>
      <c r="J96" s="205" t="s">
        <v>179</v>
      </c>
      <c r="K96" s="205" t="s">
        <v>43</v>
      </c>
      <c r="M96">
        <f t="shared" si="0"/>
        <v>200</v>
      </c>
    </row>
    <row r="97" spans="1:16" x14ac:dyDescent="0.25">
      <c r="A97" s="203">
        <v>13</v>
      </c>
      <c r="B97" s="205" t="s">
        <v>2571</v>
      </c>
      <c r="C97" s="205" t="s">
        <v>40</v>
      </c>
      <c r="D97" s="205" t="s">
        <v>156</v>
      </c>
      <c r="E97" s="205" t="s">
        <v>44</v>
      </c>
      <c r="F97" s="206"/>
      <c r="G97" s="393" t="s">
        <v>163</v>
      </c>
      <c r="H97" s="211">
        <v>100</v>
      </c>
      <c r="I97" s="234">
        <v>100</v>
      </c>
      <c r="J97" s="205" t="s">
        <v>179</v>
      </c>
      <c r="K97" s="205" t="s">
        <v>43</v>
      </c>
      <c r="M97">
        <f t="shared" si="0"/>
        <v>20</v>
      </c>
    </row>
    <row r="98" spans="1:16" x14ac:dyDescent="0.25">
      <c r="A98" s="203">
        <v>13</v>
      </c>
      <c r="B98" s="205" t="s">
        <v>2297</v>
      </c>
      <c r="C98" s="396" t="s">
        <v>48</v>
      </c>
      <c r="D98" s="205" t="s">
        <v>1036</v>
      </c>
      <c r="E98" s="205" t="s">
        <v>60</v>
      </c>
      <c r="F98" s="206" t="s">
        <v>2298</v>
      </c>
      <c r="G98" s="205" t="s">
        <v>42</v>
      </c>
      <c r="H98" s="211">
        <v>1000</v>
      </c>
      <c r="I98" s="234">
        <v>300</v>
      </c>
      <c r="J98" s="205" t="s">
        <v>179</v>
      </c>
      <c r="K98" s="205" t="s">
        <v>43</v>
      </c>
      <c r="M98">
        <f t="shared" si="0"/>
        <v>200</v>
      </c>
      <c r="P98" s="57"/>
    </row>
    <row r="99" spans="1:16" x14ac:dyDescent="0.25">
      <c r="A99" s="203">
        <v>13</v>
      </c>
      <c r="B99" s="205" t="s">
        <v>2403</v>
      </c>
      <c r="C99" s="205" t="s">
        <v>40</v>
      </c>
      <c r="D99" s="205" t="s">
        <v>818</v>
      </c>
      <c r="E99" s="205" t="s">
        <v>53</v>
      </c>
      <c r="F99" s="206" t="s">
        <v>2405</v>
      </c>
      <c r="G99" s="393" t="s">
        <v>163</v>
      </c>
      <c r="H99" s="211">
        <v>1000</v>
      </c>
      <c r="I99" s="234">
        <v>1000</v>
      </c>
      <c r="J99" s="205" t="s">
        <v>179</v>
      </c>
      <c r="K99" s="205" t="s">
        <v>43</v>
      </c>
      <c r="M99">
        <f t="shared" si="0"/>
        <v>200</v>
      </c>
      <c r="P99" s="57"/>
    </row>
    <row r="100" spans="1:16" x14ac:dyDescent="0.25">
      <c r="A100" s="203">
        <v>13</v>
      </c>
      <c r="B100" s="205" t="s">
        <v>2572</v>
      </c>
      <c r="C100" s="205" t="s">
        <v>40</v>
      </c>
      <c r="D100" s="205" t="s">
        <v>372</v>
      </c>
      <c r="E100" s="205" t="s">
        <v>44</v>
      </c>
      <c r="F100" s="206" t="s">
        <v>2573</v>
      </c>
      <c r="G100" s="208" t="s">
        <v>42</v>
      </c>
      <c r="H100" s="211">
        <v>2000</v>
      </c>
      <c r="I100" s="234">
        <v>400</v>
      </c>
      <c r="J100" s="205" t="s">
        <v>179</v>
      </c>
      <c r="K100" s="205" t="s">
        <v>43</v>
      </c>
      <c r="M100">
        <f t="shared" si="0"/>
        <v>400</v>
      </c>
    </row>
    <row r="101" spans="1:16" x14ac:dyDescent="0.25">
      <c r="A101" s="203">
        <v>13</v>
      </c>
      <c r="B101" s="205" t="s">
        <v>724</v>
      </c>
      <c r="C101" s="205" t="s">
        <v>40</v>
      </c>
      <c r="D101" s="205" t="s">
        <v>725</v>
      </c>
      <c r="E101" s="205" t="s">
        <v>45</v>
      </c>
      <c r="F101" s="206"/>
      <c r="G101" s="208" t="s">
        <v>42</v>
      </c>
      <c r="H101" s="211">
        <v>1500</v>
      </c>
      <c r="I101" s="234">
        <v>300</v>
      </c>
      <c r="J101" s="205" t="s">
        <v>179</v>
      </c>
      <c r="K101" s="205" t="s">
        <v>43</v>
      </c>
      <c r="M101">
        <f t="shared" si="0"/>
        <v>300</v>
      </c>
    </row>
    <row r="102" spans="1:16" x14ac:dyDescent="0.25">
      <c r="A102" s="203">
        <v>13</v>
      </c>
      <c r="B102" s="205" t="s">
        <v>2318</v>
      </c>
      <c r="C102" s="205" t="s">
        <v>40</v>
      </c>
      <c r="D102" s="205"/>
      <c r="E102" s="205" t="s">
        <v>47</v>
      </c>
      <c r="F102" s="206"/>
      <c r="G102" s="205" t="s">
        <v>42</v>
      </c>
      <c r="H102" s="211">
        <v>14000</v>
      </c>
      <c r="I102" s="234">
        <v>2800</v>
      </c>
      <c r="J102" s="205" t="s">
        <v>179</v>
      </c>
      <c r="K102" s="205" t="s">
        <v>43</v>
      </c>
      <c r="M102">
        <f t="shared" si="0"/>
        <v>2800</v>
      </c>
    </row>
    <row r="103" spans="1:16" x14ac:dyDescent="0.25">
      <c r="A103" s="203">
        <v>13</v>
      </c>
      <c r="B103" s="205" t="s">
        <v>2574</v>
      </c>
      <c r="C103" s="205" t="s">
        <v>40</v>
      </c>
      <c r="D103" s="205" t="s">
        <v>725</v>
      </c>
      <c r="E103" s="205" t="s">
        <v>45</v>
      </c>
      <c r="F103" s="206" t="s">
        <v>2575</v>
      </c>
      <c r="G103" s="205" t="s">
        <v>42</v>
      </c>
      <c r="H103" s="211">
        <v>1500</v>
      </c>
      <c r="I103" s="234">
        <v>300</v>
      </c>
      <c r="J103" s="205" t="s">
        <v>179</v>
      </c>
      <c r="K103" s="205" t="s">
        <v>43</v>
      </c>
      <c r="M103">
        <f t="shared" si="0"/>
        <v>300</v>
      </c>
    </row>
    <row r="104" spans="1:16" x14ac:dyDescent="0.25">
      <c r="A104" s="203">
        <v>13</v>
      </c>
      <c r="B104" s="205" t="s">
        <v>2576</v>
      </c>
      <c r="C104" s="205" t="s">
        <v>40</v>
      </c>
      <c r="D104" s="205" t="s">
        <v>2378</v>
      </c>
      <c r="E104" s="205" t="s">
        <v>57</v>
      </c>
      <c r="F104" s="206" t="s">
        <v>2577</v>
      </c>
      <c r="G104" s="205" t="s">
        <v>42</v>
      </c>
      <c r="H104" s="211">
        <v>3000</v>
      </c>
      <c r="I104" s="234">
        <v>600</v>
      </c>
      <c r="J104" s="205" t="s">
        <v>179</v>
      </c>
      <c r="K104" s="205" t="s">
        <v>43</v>
      </c>
      <c r="M104">
        <f t="shared" si="0"/>
        <v>600</v>
      </c>
    </row>
    <row r="105" spans="1:16" x14ac:dyDescent="0.25">
      <c r="A105" s="203">
        <v>13</v>
      </c>
      <c r="B105" s="369" t="s">
        <v>1250</v>
      </c>
      <c r="C105" s="205" t="s">
        <v>40</v>
      </c>
      <c r="D105" s="205" t="s">
        <v>836</v>
      </c>
      <c r="E105" s="205" t="s">
        <v>51</v>
      </c>
      <c r="F105" s="206" t="s">
        <v>1251</v>
      </c>
      <c r="G105" s="205" t="s">
        <v>42</v>
      </c>
      <c r="H105" s="211">
        <v>5000</v>
      </c>
      <c r="I105" s="234">
        <v>1000</v>
      </c>
      <c r="J105" s="205" t="s">
        <v>179</v>
      </c>
      <c r="K105" s="205" t="s">
        <v>43</v>
      </c>
      <c r="M105">
        <f t="shared" si="0"/>
        <v>1000</v>
      </c>
      <c r="P105" s="25"/>
    </row>
    <row r="106" spans="1:16" x14ac:dyDescent="0.25">
      <c r="A106" s="203">
        <v>13</v>
      </c>
      <c r="B106" s="205" t="s">
        <v>2578</v>
      </c>
      <c r="C106" s="205" t="s">
        <v>40</v>
      </c>
      <c r="D106" s="205" t="s">
        <v>156</v>
      </c>
      <c r="E106" s="205" t="s">
        <v>44</v>
      </c>
      <c r="F106" s="206" t="s">
        <v>2579</v>
      </c>
      <c r="G106" s="393" t="s">
        <v>163</v>
      </c>
      <c r="H106" s="211">
        <v>200</v>
      </c>
      <c r="I106" s="234">
        <v>200</v>
      </c>
      <c r="J106" s="205" t="s">
        <v>179</v>
      </c>
      <c r="K106" s="205" t="s">
        <v>43</v>
      </c>
      <c r="M106">
        <f t="shared" si="0"/>
        <v>40</v>
      </c>
      <c r="P106" s="57"/>
    </row>
    <row r="107" spans="1:16" x14ac:dyDescent="0.25">
      <c r="A107" s="203">
        <v>13</v>
      </c>
      <c r="B107" s="205" t="s">
        <v>2580</v>
      </c>
      <c r="C107" s="205" t="s">
        <v>40</v>
      </c>
      <c r="D107" s="205" t="s">
        <v>758</v>
      </c>
      <c r="E107" s="205" t="s">
        <v>44</v>
      </c>
      <c r="F107" s="206"/>
      <c r="G107" s="205" t="s">
        <v>42</v>
      </c>
      <c r="H107" s="211">
        <v>1500</v>
      </c>
      <c r="I107" s="234">
        <v>300</v>
      </c>
      <c r="J107" s="205" t="s">
        <v>179</v>
      </c>
      <c r="K107" s="205" t="s">
        <v>43</v>
      </c>
      <c r="M107">
        <f t="shared" si="0"/>
        <v>300</v>
      </c>
      <c r="P107" s="57"/>
    </row>
    <row r="108" spans="1:16" x14ac:dyDescent="0.25">
      <c r="A108" s="203">
        <v>13</v>
      </c>
      <c r="B108" s="205" t="s">
        <v>2581</v>
      </c>
      <c r="C108" s="396" t="s">
        <v>48</v>
      </c>
      <c r="D108" s="205" t="s">
        <v>1176</v>
      </c>
      <c r="E108" s="205" t="s">
        <v>59</v>
      </c>
      <c r="F108" s="206" t="s">
        <v>2582</v>
      </c>
      <c r="G108" s="205" t="s">
        <v>42</v>
      </c>
      <c r="H108" s="211">
        <v>2000</v>
      </c>
      <c r="I108" s="234">
        <v>400</v>
      </c>
      <c r="J108" s="205" t="s">
        <v>179</v>
      </c>
      <c r="K108" s="205" t="s">
        <v>43</v>
      </c>
      <c r="M108">
        <f t="shared" si="0"/>
        <v>400</v>
      </c>
      <c r="P108" s="57"/>
    </row>
    <row r="109" spans="1:16" x14ac:dyDescent="0.25">
      <c r="A109" s="203">
        <v>13</v>
      </c>
      <c r="B109" s="205" t="s">
        <v>2583</v>
      </c>
      <c r="C109" s="205" t="s">
        <v>40</v>
      </c>
      <c r="D109" s="205" t="s">
        <v>2584</v>
      </c>
      <c r="E109" s="205" t="s">
        <v>84</v>
      </c>
      <c r="F109" s="206"/>
      <c r="G109" s="205" t="s">
        <v>42</v>
      </c>
      <c r="H109" s="211">
        <v>300</v>
      </c>
      <c r="I109" s="234">
        <v>60</v>
      </c>
      <c r="J109" s="205" t="s">
        <v>179</v>
      </c>
      <c r="K109" s="205" t="s">
        <v>43</v>
      </c>
      <c r="M109">
        <f t="shared" si="0"/>
        <v>60</v>
      </c>
      <c r="P109" s="57"/>
    </row>
    <row r="110" spans="1:16" x14ac:dyDescent="0.25">
      <c r="A110" s="203">
        <v>13</v>
      </c>
      <c r="B110" s="205" t="s">
        <v>2585</v>
      </c>
      <c r="C110" s="205" t="s">
        <v>40</v>
      </c>
      <c r="D110" s="205" t="s">
        <v>2586</v>
      </c>
      <c r="E110" s="205" t="s">
        <v>62</v>
      </c>
      <c r="F110" s="206"/>
      <c r="G110" s="393" t="s">
        <v>163</v>
      </c>
      <c r="H110" s="211">
        <v>500</v>
      </c>
      <c r="I110" s="234">
        <v>500</v>
      </c>
      <c r="J110" s="205" t="s">
        <v>179</v>
      </c>
      <c r="K110" s="205" t="s">
        <v>43</v>
      </c>
      <c r="M110">
        <f t="shared" si="0"/>
        <v>100</v>
      </c>
      <c r="P110" s="57"/>
    </row>
    <row r="111" spans="1:16" x14ac:dyDescent="0.25">
      <c r="A111" s="203">
        <v>13</v>
      </c>
      <c r="B111" s="205" t="s">
        <v>2587</v>
      </c>
      <c r="C111" s="205" t="s">
        <v>40</v>
      </c>
      <c r="D111" s="205"/>
      <c r="E111" s="205" t="s">
        <v>61</v>
      </c>
      <c r="F111" s="206"/>
      <c r="G111" s="205" t="s">
        <v>42</v>
      </c>
      <c r="H111" s="211">
        <v>1000</v>
      </c>
      <c r="I111" s="234">
        <v>200</v>
      </c>
      <c r="J111" s="205" t="s">
        <v>179</v>
      </c>
      <c r="K111" s="205" t="s">
        <v>43</v>
      </c>
      <c r="M111">
        <f t="shared" si="0"/>
        <v>200</v>
      </c>
      <c r="P111" s="57"/>
    </row>
    <row r="112" spans="1:16" x14ac:dyDescent="0.25">
      <c r="A112" s="203">
        <v>13</v>
      </c>
      <c r="B112" s="205" t="s">
        <v>2588</v>
      </c>
      <c r="C112" s="205" t="s">
        <v>40</v>
      </c>
      <c r="D112" s="205" t="s">
        <v>2589</v>
      </c>
      <c r="E112" s="205" t="s">
        <v>59</v>
      </c>
      <c r="F112" s="206"/>
      <c r="G112" s="205" t="s">
        <v>42</v>
      </c>
      <c r="H112" s="211">
        <v>300</v>
      </c>
      <c r="I112" s="234">
        <v>60</v>
      </c>
      <c r="J112" s="205" t="s">
        <v>179</v>
      </c>
      <c r="K112" s="205" t="s">
        <v>43</v>
      </c>
      <c r="M112">
        <f t="shared" si="0"/>
        <v>60</v>
      </c>
      <c r="P112" s="57"/>
    </row>
    <row r="113" spans="1:16" x14ac:dyDescent="0.25">
      <c r="A113" s="203">
        <v>13</v>
      </c>
      <c r="B113" s="205" t="s">
        <v>2590</v>
      </c>
      <c r="C113" s="396" t="s">
        <v>48</v>
      </c>
      <c r="D113" s="205" t="s">
        <v>266</v>
      </c>
      <c r="E113" s="205" t="s">
        <v>64</v>
      </c>
      <c r="F113" s="206" t="s">
        <v>2591</v>
      </c>
      <c r="G113" s="208" t="s">
        <v>42</v>
      </c>
      <c r="H113" s="211">
        <v>1000</v>
      </c>
      <c r="I113" s="234">
        <v>200</v>
      </c>
      <c r="J113" s="205" t="s">
        <v>179</v>
      </c>
      <c r="K113" s="205" t="s">
        <v>43</v>
      </c>
      <c r="M113">
        <f t="shared" si="0"/>
        <v>200</v>
      </c>
      <c r="P113" s="57"/>
    </row>
    <row r="114" spans="1:16" x14ac:dyDescent="0.25">
      <c r="A114" s="203">
        <v>13</v>
      </c>
      <c r="B114" s="205" t="s">
        <v>949</v>
      </c>
      <c r="C114" s="205" t="s">
        <v>40</v>
      </c>
      <c r="D114" s="205" t="s">
        <v>2592</v>
      </c>
      <c r="E114" s="205" t="s">
        <v>51</v>
      </c>
      <c r="F114" s="206"/>
      <c r="G114" s="393" t="s">
        <v>163</v>
      </c>
      <c r="H114" s="211">
        <v>100</v>
      </c>
      <c r="I114" s="234">
        <v>100</v>
      </c>
      <c r="J114" s="205" t="s">
        <v>179</v>
      </c>
      <c r="K114" s="205" t="s">
        <v>43</v>
      </c>
      <c r="M114">
        <f t="shared" si="0"/>
        <v>20</v>
      </c>
      <c r="P114" s="57"/>
    </row>
    <row r="115" spans="1:16" x14ac:dyDescent="0.25">
      <c r="A115" s="203">
        <v>13</v>
      </c>
      <c r="B115" s="205" t="s">
        <v>2389</v>
      </c>
      <c r="C115" s="205" t="s">
        <v>40</v>
      </c>
      <c r="D115" s="205" t="s">
        <v>144</v>
      </c>
      <c r="E115" s="205" t="s">
        <v>57</v>
      </c>
      <c r="F115" s="206" t="s">
        <v>2390</v>
      </c>
      <c r="G115" s="393" t="s">
        <v>163</v>
      </c>
      <c r="H115" s="211">
        <v>1000</v>
      </c>
      <c r="I115" s="234">
        <v>1000</v>
      </c>
      <c r="J115" s="205" t="s">
        <v>179</v>
      </c>
      <c r="K115" s="205" t="s">
        <v>43</v>
      </c>
      <c r="M115">
        <f t="shared" si="0"/>
        <v>200</v>
      </c>
      <c r="P115" s="57"/>
    </row>
    <row r="116" spans="1:16" x14ac:dyDescent="0.25">
      <c r="A116" s="203">
        <v>13</v>
      </c>
      <c r="B116" s="205" t="s">
        <v>1889</v>
      </c>
      <c r="C116" s="205" t="s">
        <v>40</v>
      </c>
      <c r="D116" s="205"/>
      <c r="E116" s="205" t="s">
        <v>51</v>
      </c>
      <c r="F116" s="206"/>
      <c r="G116" s="205" t="s">
        <v>42</v>
      </c>
      <c r="H116" s="211">
        <v>1000</v>
      </c>
      <c r="I116" s="234">
        <v>200</v>
      </c>
      <c r="J116" s="205" t="s">
        <v>179</v>
      </c>
      <c r="K116" s="205" t="s">
        <v>43</v>
      </c>
      <c r="M116">
        <f t="shared" si="0"/>
        <v>200</v>
      </c>
      <c r="P116" s="57"/>
    </row>
    <row r="117" spans="1:16" x14ac:dyDescent="0.25">
      <c r="A117" s="203">
        <v>13</v>
      </c>
      <c r="B117" s="205" t="s">
        <v>2593</v>
      </c>
      <c r="C117" s="396" t="s">
        <v>48</v>
      </c>
      <c r="D117" s="205"/>
      <c r="E117" s="205" t="s">
        <v>58</v>
      </c>
      <c r="F117" s="206" t="s">
        <v>2594</v>
      </c>
      <c r="G117" s="205" t="s">
        <v>42</v>
      </c>
      <c r="H117" s="211">
        <v>2000</v>
      </c>
      <c r="I117" s="234">
        <v>400</v>
      </c>
      <c r="J117" s="205" t="s">
        <v>179</v>
      </c>
      <c r="K117" s="205" t="s">
        <v>43</v>
      </c>
      <c r="M117">
        <f t="shared" si="0"/>
        <v>400</v>
      </c>
      <c r="P117" s="57"/>
    </row>
    <row r="118" spans="1:16" x14ac:dyDescent="0.25">
      <c r="A118" s="203">
        <v>13</v>
      </c>
      <c r="B118" s="205" t="s">
        <v>2595</v>
      </c>
      <c r="C118" s="205" t="s">
        <v>40</v>
      </c>
      <c r="D118" s="205" t="s">
        <v>369</v>
      </c>
      <c r="E118" s="205" t="s">
        <v>52</v>
      </c>
      <c r="F118" s="206" t="s">
        <v>2596</v>
      </c>
      <c r="G118" s="205" t="s">
        <v>42</v>
      </c>
      <c r="H118" s="211">
        <v>400</v>
      </c>
      <c r="I118" s="234">
        <v>80</v>
      </c>
      <c r="J118" s="205" t="s">
        <v>179</v>
      </c>
      <c r="K118" s="205" t="s">
        <v>43</v>
      </c>
      <c r="M118">
        <f t="shared" si="0"/>
        <v>80</v>
      </c>
      <c r="P118" s="57"/>
    </row>
    <row r="119" spans="1:16" x14ac:dyDescent="0.25">
      <c r="A119" s="203">
        <v>13</v>
      </c>
      <c r="B119" s="205" t="s">
        <v>2597</v>
      </c>
      <c r="C119" s="205" t="s">
        <v>40</v>
      </c>
      <c r="D119" s="205" t="s">
        <v>815</v>
      </c>
      <c r="E119" s="205" t="s">
        <v>45</v>
      </c>
      <c r="F119" s="206"/>
      <c r="G119" s="205" t="s">
        <v>42</v>
      </c>
      <c r="H119" s="211">
        <v>300</v>
      </c>
      <c r="I119" s="234">
        <v>90</v>
      </c>
      <c r="J119" s="205" t="s">
        <v>179</v>
      </c>
      <c r="K119" s="205" t="s">
        <v>43</v>
      </c>
      <c r="M119">
        <f t="shared" si="0"/>
        <v>60</v>
      </c>
      <c r="P119" s="57"/>
    </row>
    <row r="120" spans="1:16" x14ac:dyDescent="0.25">
      <c r="A120" s="203">
        <v>13</v>
      </c>
      <c r="B120" s="205" t="s">
        <v>2598</v>
      </c>
      <c r="C120" s="205" t="s">
        <v>40</v>
      </c>
      <c r="D120" s="205" t="s">
        <v>63</v>
      </c>
      <c r="E120" s="205" t="s">
        <v>53</v>
      </c>
      <c r="F120" s="206" t="s">
        <v>2599</v>
      </c>
      <c r="G120" s="205" t="s">
        <v>42</v>
      </c>
      <c r="H120" s="211">
        <v>3000</v>
      </c>
      <c r="I120" s="234">
        <v>600</v>
      </c>
      <c r="J120" s="205" t="s">
        <v>179</v>
      </c>
      <c r="K120" s="205" t="s">
        <v>43</v>
      </c>
      <c r="M120">
        <f t="shared" si="0"/>
        <v>600</v>
      </c>
      <c r="P120" s="57"/>
    </row>
    <row r="121" spans="1:16" x14ac:dyDescent="0.25">
      <c r="A121" s="203">
        <v>13</v>
      </c>
      <c r="B121" s="205" t="s">
        <v>2600</v>
      </c>
      <c r="C121" s="205" t="s">
        <v>40</v>
      </c>
      <c r="D121" s="205" t="s">
        <v>297</v>
      </c>
      <c r="E121" s="205" t="s">
        <v>46</v>
      </c>
      <c r="F121" s="206" t="s">
        <v>2601</v>
      </c>
      <c r="G121" s="205" t="s">
        <v>42</v>
      </c>
      <c r="H121" s="211">
        <v>600</v>
      </c>
      <c r="I121" s="234">
        <v>120</v>
      </c>
      <c r="J121" s="205" t="s">
        <v>179</v>
      </c>
      <c r="K121" s="205" t="s">
        <v>43</v>
      </c>
      <c r="M121">
        <f t="shared" si="0"/>
        <v>120</v>
      </c>
      <c r="P121" s="57"/>
    </row>
    <row r="122" spans="1:16" x14ac:dyDescent="0.25">
      <c r="A122" s="203">
        <v>13</v>
      </c>
      <c r="B122" s="205" t="s">
        <v>2602</v>
      </c>
      <c r="C122" s="396" t="s">
        <v>48</v>
      </c>
      <c r="D122" s="205" t="s">
        <v>1263</v>
      </c>
      <c r="E122" s="205" t="s">
        <v>51</v>
      </c>
      <c r="F122" s="206" t="s">
        <v>2603</v>
      </c>
      <c r="G122" s="205" t="s">
        <v>42</v>
      </c>
      <c r="H122" s="211">
        <v>5000</v>
      </c>
      <c r="I122" s="234">
        <v>1000</v>
      </c>
      <c r="J122" s="205" t="s">
        <v>179</v>
      </c>
      <c r="K122" s="205" t="s">
        <v>43</v>
      </c>
      <c r="M122">
        <f t="shared" si="0"/>
        <v>1000</v>
      </c>
      <c r="P122" s="57"/>
    </row>
    <row r="123" spans="1:16" x14ac:dyDescent="0.25">
      <c r="A123" s="203">
        <v>13</v>
      </c>
      <c r="B123" s="205" t="s">
        <v>427</v>
      </c>
      <c r="C123" s="205" t="s">
        <v>40</v>
      </c>
      <c r="D123" s="205" t="s">
        <v>144</v>
      </c>
      <c r="E123" s="205" t="s">
        <v>57</v>
      </c>
      <c r="F123" s="206" t="s">
        <v>1628</v>
      </c>
      <c r="G123" s="205" t="s">
        <v>42</v>
      </c>
      <c r="H123" s="211">
        <v>1000</v>
      </c>
      <c r="I123" s="234">
        <v>200</v>
      </c>
      <c r="J123" s="205" t="s">
        <v>179</v>
      </c>
      <c r="K123" s="205" t="s">
        <v>43</v>
      </c>
      <c r="M123">
        <f t="shared" si="0"/>
        <v>200</v>
      </c>
      <c r="P123" s="57"/>
    </row>
    <row r="124" spans="1:16" x14ac:dyDescent="0.25">
      <c r="A124" s="203">
        <v>13</v>
      </c>
      <c r="B124" s="205" t="s">
        <v>2604</v>
      </c>
      <c r="C124" s="205" t="s">
        <v>40</v>
      </c>
      <c r="D124" s="205" t="s">
        <v>2605</v>
      </c>
      <c r="E124" s="205" t="s">
        <v>44</v>
      </c>
      <c r="F124" s="206" t="s">
        <v>2606</v>
      </c>
      <c r="G124" s="205" t="s">
        <v>42</v>
      </c>
      <c r="H124" s="211">
        <v>1500</v>
      </c>
      <c r="I124" s="234">
        <v>300</v>
      </c>
      <c r="J124" s="205" t="s">
        <v>179</v>
      </c>
      <c r="K124" s="205" t="s">
        <v>43</v>
      </c>
      <c r="M124">
        <f t="shared" si="0"/>
        <v>300</v>
      </c>
      <c r="P124" s="57"/>
    </row>
    <row r="125" spans="1:16" x14ac:dyDescent="0.25">
      <c r="A125" s="203">
        <v>13</v>
      </c>
      <c r="B125" s="205" t="s">
        <v>2607</v>
      </c>
      <c r="C125" s="205" t="s">
        <v>40</v>
      </c>
      <c r="D125" s="205" t="s">
        <v>2608</v>
      </c>
      <c r="E125" s="205" t="s">
        <v>50</v>
      </c>
      <c r="F125" s="206"/>
      <c r="G125" s="205" t="s">
        <v>42</v>
      </c>
      <c r="H125" s="211">
        <v>200</v>
      </c>
      <c r="I125" s="234">
        <v>400</v>
      </c>
      <c r="J125" s="205" t="s">
        <v>179</v>
      </c>
      <c r="K125" s="205" t="s">
        <v>43</v>
      </c>
      <c r="M125">
        <f t="shared" si="0"/>
        <v>40</v>
      </c>
      <c r="P125" s="57"/>
    </row>
    <row r="126" spans="1:16" x14ac:dyDescent="0.25">
      <c r="A126" s="203">
        <v>13</v>
      </c>
      <c r="B126" s="205" t="s">
        <v>2365</v>
      </c>
      <c r="C126" s="205" t="s">
        <v>40</v>
      </c>
      <c r="D126" s="205" t="s">
        <v>815</v>
      </c>
      <c r="E126" s="205" t="s">
        <v>45</v>
      </c>
      <c r="F126" s="206" t="s">
        <v>2609</v>
      </c>
      <c r="G126" s="438" t="s">
        <v>187</v>
      </c>
      <c r="H126" s="211">
        <v>500</v>
      </c>
      <c r="I126" s="234">
        <v>100</v>
      </c>
      <c r="J126" s="205" t="s">
        <v>179</v>
      </c>
      <c r="K126" s="205" t="s">
        <v>43</v>
      </c>
      <c r="M126">
        <f t="shared" si="0"/>
        <v>100</v>
      </c>
      <c r="P126" s="57"/>
    </row>
    <row r="127" spans="1:16" x14ac:dyDescent="0.25">
      <c r="A127" s="321">
        <v>13</v>
      </c>
      <c r="B127" s="205" t="s">
        <v>2610</v>
      </c>
      <c r="C127" s="396" t="s">
        <v>48</v>
      </c>
      <c r="D127" s="205" t="s">
        <v>2611</v>
      </c>
      <c r="E127" s="205" t="s">
        <v>69</v>
      </c>
      <c r="F127" s="206" t="s">
        <v>2612</v>
      </c>
      <c r="G127" s="205" t="s">
        <v>42</v>
      </c>
      <c r="H127" s="211">
        <v>500</v>
      </c>
      <c r="I127" s="234" t="s">
        <v>255</v>
      </c>
      <c r="J127" s="205" t="s">
        <v>179</v>
      </c>
      <c r="K127" s="205" t="s">
        <v>43</v>
      </c>
      <c r="M127">
        <f t="shared" si="0"/>
        <v>100</v>
      </c>
      <c r="P127" s="57"/>
    </row>
    <row r="128" spans="1:16" x14ac:dyDescent="0.25">
      <c r="A128" s="203">
        <v>15</v>
      </c>
      <c r="B128" s="205" t="s">
        <v>2616</v>
      </c>
      <c r="C128" s="396" t="s">
        <v>48</v>
      </c>
      <c r="D128" s="205" t="s">
        <v>899</v>
      </c>
      <c r="E128" s="205" t="s">
        <v>57</v>
      </c>
      <c r="F128" s="206"/>
      <c r="G128" s="205" t="s">
        <v>42</v>
      </c>
      <c r="H128" s="211">
        <v>1000</v>
      </c>
      <c r="I128" s="234" t="s">
        <v>255</v>
      </c>
      <c r="J128" s="205" t="s">
        <v>179</v>
      </c>
      <c r="K128" s="205" t="s">
        <v>43</v>
      </c>
      <c r="M128">
        <f t="shared" si="0"/>
        <v>200</v>
      </c>
      <c r="P128" s="57"/>
    </row>
    <row r="129" spans="1:17" x14ac:dyDescent="0.25">
      <c r="A129" s="203">
        <v>16</v>
      </c>
      <c r="B129" s="205" t="s">
        <v>2620</v>
      </c>
      <c r="C129" s="205" t="s">
        <v>40</v>
      </c>
      <c r="D129" s="205" t="s">
        <v>288</v>
      </c>
      <c r="E129" s="205" t="s">
        <v>63</v>
      </c>
      <c r="F129" s="206" t="s">
        <v>2618</v>
      </c>
      <c r="G129" s="205" t="s">
        <v>42</v>
      </c>
      <c r="H129" s="211">
        <v>4000</v>
      </c>
      <c r="I129" s="234" t="s">
        <v>255</v>
      </c>
      <c r="J129" s="205" t="s">
        <v>179</v>
      </c>
      <c r="K129" s="205" t="s">
        <v>43</v>
      </c>
      <c r="M129">
        <f t="shared" si="0"/>
        <v>800</v>
      </c>
      <c r="P129" s="57"/>
    </row>
    <row r="130" spans="1:17" x14ac:dyDescent="0.25">
      <c r="A130" s="203">
        <v>16</v>
      </c>
      <c r="B130" s="205" t="s">
        <v>2621</v>
      </c>
      <c r="C130" s="205" t="s">
        <v>40</v>
      </c>
      <c r="D130" s="205" t="s">
        <v>1435</v>
      </c>
      <c r="E130" s="205" t="s">
        <v>53</v>
      </c>
      <c r="F130" s="206" t="s">
        <v>2405</v>
      </c>
      <c r="G130" s="205" t="s">
        <v>42</v>
      </c>
      <c r="H130" s="211">
        <v>10000</v>
      </c>
      <c r="I130" s="234">
        <v>2000</v>
      </c>
      <c r="J130" s="205" t="s">
        <v>179</v>
      </c>
      <c r="K130" s="205" t="s">
        <v>43</v>
      </c>
      <c r="M130">
        <f t="shared" si="0"/>
        <v>2000</v>
      </c>
      <c r="P130" s="57"/>
    </row>
    <row r="131" spans="1:17" x14ac:dyDescent="0.25">
      <c r="A131" s="203">
        <v>16</v>
      </c>
      <c r="B131" s="205" t="s">
        <v>2622</v>
      </c>
      <c r="C131" s="205" t="s">
        <v>40</v>
      </c>
      <c r="D131" s="205" t="s">
        <v>1500</v>
      </c>
      <c r="E131" s="205" t="s">
        <v>44</v>
      </c>
      <c r="F131" s="206" t="s">
        <v>2623</v>
      </c>
      <c r="G131" s="205" t="s">
        <v>42</v>
      </c>
      <c r="H131" s="211">
        <v>2500</v>
      </c>
      <c r="I131" s="234">
        <v>500</v>
      </c>
      <c r="J131" s="205" t="s">
        <v>179</v>
      </c>
      <c r="K131" s="205" t="s">
        <v>43</v>
      </c>
      <c r="M131">
        <f t="shared" si="0"/>
        <v>500</v>
      </c>
      <c r="P131" s="57"/>
    </row>
    <row r="132" spans="1:17" x14ac:dyDescent="0.25">
      <c r="A132" s="203">
        <v>16</v>
      </c>
      <c r="B132" s="205" t="s">
        <v>2624</v>
      </c>
      <c r="C132" s="396" t="s">
        <v>48</v>
      </c>
      <c r="D132" s="205" t="s">
        <v>2625</v>
      </c>
      <c r="E132" s="205" t="s">
        <v>63</v>
      </c>
      <c r="F132" s="206" t="s">
        <v>2626</v>
      </c>
      <c r="G132" s="205" t="s">
        <v>42</v>
      </c>
      <c r="H132" s="211">
        <v>1000</v>
      </c>
      <c r="I132" s="234">
        <v>200</v>
      </c>
      <c r="J132" s="205" t="s">
        <v>179</v>
      </c>
      <c r="K132" s="205" t="s">
        <v>43</v>
      </c>
      <c r="M132">
        <f t="shared" si="0"/>
        <v>200</v>
      </c>
      <c r="P132" s="57"/>
    </row>
    <row r="133" spans="1:17" x14ac:dyDescent="0.25">
      <c r="A133" s="203">
        <v>16</v>
      </c>
      <c r="B133" s="205" t="s">
        <v>2627</v>
      </c>
      <c r="C133" s="205" t="s">
        <v>40</v>
      </c>
      <c r="D133" s="205" t="s">
        <v>2083</v>
      </c>
      <c r="E133" s="205" t="s">
        <v>72</v>
      </c>
      <c r="F133" s="206" t="s">
        <v>2628</v>
      </c>
      <c r="G133" s="205" t="s">
        <v>42</v>
      </c>
      <c r="H133" s="211">
        <v>500</v>
      </c>
      <c r="I133" s="234">
        <v>100</v>
      </c>
      <c r="J133" s="205" t="s">
        <v>179</v>
      </c>
      <c r="K133" s="205" t="s">
        <v>43</v>
      </c>
      <c r="M133">
        <f t="shared" si="0"/>
        <v>100</v>
      </c>
      <c r="P133" s="57"/>
      <c r="Q133">
        <v>42</v>
      </c>
    </row>
    <row r="134" spans="1:17" x14ac:dyDescent="0.25">
      <c r="A134" s="203">
        <v>16</v>
      </c>
      <c r="B134" s="205" t="s">
        <v>2629</v>
      </c>
      <c r="C134" s="205" t="s">
        <v>40</v>
      </c>
      <c r="D134" s="205" t="s">
        <v>1176</v>
      </c>
      <c r="E134" s="205" t="s">
        <v>59</v>
      </c>
      <c r="F134" s="206" t="s">
        <v>2630</v>
      </c>
      <c r="G134" s="205" t="s">
        <v>42</v>
      </c>
      <c r="H134" s="211">
        <v>4000</v>
      </c>
      <c r="I134" s="234">
        <v>800</v>
      </c>
      <c r="J134" s="205" t="s">
        <v>179</v>
      </c>
      <c r="K134" s="205" t="s">
        <v>43</v>
      </c>
      <c r="M134">
        <f t="shared" si="0"/>
        <v>800</v>
      </c>
      <c r="P134" s="57"/>
    </row>
    <row r="135" spans="1:17" x14ac:dyDescent="0.25">
      <c r="A135" s="203">
        <v>16</v>
      </c>
      <c r="B135" s="205" t="s">
        <v>2389</v>
      </c>
      <c r="C135" s="205" t="s">
        <v>40</v>
      </c>
      <c r="D135" s="205" t="s">
        <v>144</v>
      </c>
      <c r="E135" s="205" t="s">
        <v>57</v>
      </c>
      <c r="F135" s="206" t="s">
        <v>2390</v>
      </c>
      <c r="G135" s="205" t="s">
        <v>42</v>
      </c>
      <c r="H135" s="211">
        <v>10500</v>
      </c>
      <c r="I135" s="234">
        <v>2100</v>
      </c>
      <c r="J135" s="205" t="s">
        <v>179</v>
      </c>
      <c r="K135" s="205" t="s">
        <v>43</v>
      </c>
      <c r="M135">
        <f t="shared" si="0"/>
        <v>2100</v>
      </c>
      <c r="P135" s="57"/>
    </row>
    <row r="136" spans="1:17" x14ac:dyDescent="0.25">
      <c r="A136" s="203">
        <v>16</v>
      </c>
      <c r="B136" s="205" t="s">
        <v>1065</v>
      </c>
      <c r="C136" s="205" t="s">
        <v>40</v>
      </c>
      <c r="D136" s="205" t="s">
        <v>297</v>
      </c>
      <c r="E136" s="205" t="s">
        <v>46</v>
      </c>
      <c r="F136" s="206" t="s">
        <v>2631</v>
      </c>
      <c r="G136" s="205" t="s">
        <v>42</v>
      </c>
      <c r="H136" s="211">
        <v>4000</v>
      </c>
      <c r="I136" s="234">
        <v>800</v>
      </c>
      <c r="J136" s="205" t="s">
        <v>179</v>
      </c>
      <c r="K136" s="205" t="s">
        <v>43</v>
      </c>
      <c r="M136">
        <f t="shared" si="0"/>
        <v>800</v>
      </c>
      <c r="P136" s="57"/>
    </row>
    <row r="137" spans="1:17" x14ac:dyDescent="0.25">
      <c r="A137" s="203">
        <v>16</v>
      </c>
      <c r="B137" s="205" t="s">
        <v>2632</v>
      </c>
      <c r="C137" s="205" t="s">
        <v>40</v>
      </c>
      <c r="D137" s="205" t="s">
        <v>2633</v>
      </c>
      <c r="E137" s="205" t="s">
        <v>44</v>
      </c>
      <c r="F137" s="206" t="s">
        <v>2634</v>
      </c>
      <c r="G137" s="205" t="s">
        <v>42</v>
      </c>
      <c r="H137" s="211">
        <v>3000</v>
      </c>
      <c r="I137" s="234">
        <v>600</v>
      </c>
      <c r="J137" s="205" t="s">
        <v>179</v>
      </c>
      <c r="K137" s="205" t="s">
        <v>43</v>
      </c>
      <c r="M137">
        <f t="shared" si="0"/>
        <v>600</v>
      </c>
      <c r="P137" s="57"/>
    </row>
    <row r="138" spans="1:17" x14ac:dyDescent="0.25">
      <c r="A138" s="203">
        <v>16</v>
      </c>
      <c r="B138" s="205" t="s">
        <v>2635</v>
      </c>
      <c r="C138" s="205" t="s">
        <v>40</v>
      </c>
      <c r="D138" s="205" t="s">
        <v>2203</v>
      </c>
      <c r="E138" s="205" t="s">
        <v>57</v>
      </c>
      <c r="F138" s="206"/>
      <c r="G138" s="205" t="s">
        <v>42</v>
      </c>
      <c r="H138" s="211">
        <v>2000</v>
      </c>
      <c r="I138" s="234">
        <v>400</v>
      </c>
      <c r="J138" s="205" t="s">
        <v>179</v>
      </c>
      <c r="K138" s="205" t="s">
        <v>43</v>
      </c>
      <c r="M138">
        <f t="shared" si="0"/>
        <v>400</v>
      </c>
      <c r="P138" s="57"/>
    </row>
    <row r="139" spans="1:17" x14ac:dyDescent="0.25">
      <c r="A139" s="203">
        <v>16</v>
      </c>
      <c r="B139" s="205" t="s">
        <v>1356</v>
      </c>
      <c r="C139" s="396" t="s">
        <v>48</v>
      </c>
      <c r="D139" s="205" t="s">
        <v>144</v>
      </c>
      <c r="E139" s="205" t="s">
        <v>52</v>
      </c>
      <c r="F139" s="206" t="s">
        <v>1357</v>
      </c>
      <c r="G139" s="205" t="s">
        <v>42</v>
      </c>
      <c r="H139" s="211">
        <v>9500</v>
      </c>
      <c r="I139" s="234">
        <v>1900</v>
      </c>
      <c r="J139" s="205" t="s">
        <v>179</v>
      </c>
      <c r="K139" s="205" t="s">
        <v>43</v>
      </c>
      <c r="M139">
        <f t="shared" si="0"/>
        <v>1900</v>
      </c>
      <c r="P139" s="57"/>
    </row>
    <row r="140" spans="1:17" x14ac:dyDescent="0.25">
      <c r="A140" s="321">
        <v>16</v>
      </c>
      <c r="B140" s="205" t="s">
        <v>2639</v>
      </c>
      <c r="C140" s="205" t="s">
        <v>40</v>
      </c>
      <c r="D140" s="205" t="s">
        <v>152</v>
      </c>
      <c r="E140" s="205" t="s">
        <v>52</v>
      </c>
      <c r="F140" s="206"/>
      <c r="G140" s="205" t="s">
        <v>42</v>
      </c>
      <c r="H140" s="211">
        <v>10000</v>
      </c>
      <c r="I140" s="234">
        <v>2000</v>
      </c>
      <c r="J140" s="205" t="s">
        <v>179</v>
      </c>
      <c r="K140" s="205" t="s">
        <v>43</v>
      </c>
      <c r="M140">
        <f t="shared" si="0"/>
        <v>2000</v>
      </c>
      <c r="P140" s="57"/>
    </row>
    <row r="141" spans="1:17" x14ac:dyDescent="0.25">
      <c r="A141" s="203">
        <v>20</v>
      </c>
      <c r="B141" s="205" t="s">
        <v>516</v>
      </c>
      <c r="C141" s="205" t="s">
        <v>40</v>
      </c>
      <c r="D141" s="205" t="s">
        <v>517</v>
      </c>
      <c r="E141" s="205" t="s">
        <v>51</v>
      </c>
      <c r="F141" s="206" t="s">
        <v>2643</v>
      </c>
      <c r="G141" s="205" t="s">
        <v>42</v>
      </c>
      <c r="H141" s="211">
        <v>2000</v>
      </c>
      <c r="I141" s="234" t="s">
        <v>255</v>
      </c>
      <c r="J141" s="205" t="s">
        <v>179</v>
      </c>
      <c r="K141" s="205" t="s">
        <v>43</v>
      </c>
      <c r="M141">
        <f t="shared" si="0"/>
        <v>400</v>
      </c>
      <c r="P141" s="57"/>
    </row>
    <row r="142" spans="1:17" x14ac:dyDescent="0.25">
      <c r="A142" s="203">
        <v>21</v>
      </c>
      <c r="B142" s="205" t="s">
        <v>2644</v>
      </c>
      <c r="C142" s="205" t="s">
        <v>40</v>
      </c>
      <c r="D142" s="205" t="s">
        <v>2625</v>
      </c>
      <c r="E142" s="205" t="s">
        <v>51</v>
      </c>
      <c r="F142" s="206"/>
      <c r="G142" s="205" t="s">
        <v>42</v>
      </c>
      <c r="H142" s="211">
        <v>400</v>
      </c>
      <c r="I142" s="234">
        <v>120</v>
      </c>
      <c r="J142" s="205" t="s">
        <v>179</v>
      </c>
      <c r="K142" s="205" t="s">
        <v>43</v>
      </c>
      <c r="M142">
        <f t="shared" si="0"/>
        <v>80</v>
      </c>
      <c r="P142" s="57"/>
    </row>
    <row r="143" spans="1:17" x14ac:dyDescent="0.25">
      <c r="A143" s="203">
        <v>21</v>
      </c>
      <c r="B143" s="205" t="s">
        <v>2645</v>
      </c>
      <c r="C143" s="205" t="s">
        <v>40</v>
      </c>
      <c r="D143" s="205" t="s">
        <v>927</v>
      </c>
      <c r="E143" s="205" t="s">
        <v>57</v>
      </c>
      <c r="F143" s="206"/>
      <c r="G143" s="205" t="s">
        <v>42</v>
      </c>
      <c r="H143" s="211">
        <v>3000</v>
      </c>
      <c r="I143" s="234">
        <v>600</v>
      </c>
      <c r="J143" s="205" t="s">
        <v>179</v>
      </c>
      <c r="K143" s="205" t="s">
        <v>43</v>
      </c>
      <c r="M143">
        <f t="shared" si="0"/>
        <v>600</v>
      </c>
      <c r="P143" s="57"/>
    </row>
    <row r="144" spans="1:17" x14ac:dyDescent="0.25">
      <c r="A144" s="203">
        <v>21</v>
      </c>
      <c r="B144" s="205" t="s">
        <v>2646</v>
      </c>
      <c r="C144" s="205" t="s">
        <v>40</v>
      </c>
      <c r="D144" s="205" t="s">
        <v>63</v>
      </c>
      <c r="E144" s="205" t="s">
        <v>57</v>
      </c>
      <c r="F144" s="206"/>
      <c r="G144" s="205" t="s">
        <v>42</v>
      </c>
      <c r="H144" s="211">
        <v>2000</v>
      </c>
      <c r="I144" s="234">
        <v>400</v>
      </c>
      <c r="J144" s="205" t="s">
        <v>179</v>
      </c>
      <c r="K144" s="205" t="s">
        <v>43</v>
      </c>
      <c r="M144">
        <f t="shared" si="0"/>
        <v>400</v>
      </c>
      <c r="P144" s="57"/>
    </row>
    <row r="145" spans="1:16" x14ac:dyDescent="0.25">
      <c r="A145" s="203">
        <v>21</v>
      </c>
      <c r="B145" s="205" t="s">
        <v>2171</v>
      </c>
      <c r="C145" s="205" t="s">
        <v>40</v>
      </c>
      <c r="D145" s="205" t="s">
        <v>144</v>
      </c>
      <c r="E145" s="205" t="s">
        <v>52</v>
      </c>
      <c r="F145" s="206"/>
      <c r="G145" s="208" t="s">
        <v>42</v>
      </c>
      <c r="H145" s="211">
        <v>300</v>
      </c>
      <c r="I145" s="234">
        <v>90</v>
      </c>
      <c r="J145" s="205" t="s">
        <v>179</v>
      </c>
      <c r="K145" s="205" t="s">
        <v>43</v>
      </c>
      <c r="M145">
        <f t="shared" si="0"/>
        <v>60</v>
      </c>
      <c r="P145" s="57"/>
    </row>
    <row r="146" spans="1:16" x14ac:dyDescent="0.25">
      <c r="A146" s="203">
        <v>21</v>
      </c>
      <c r="B146" s="205" t="s">
        <v>2171</v>
      </c>
      <c r="C146" s="205" t="s">
        <v>40</v>
      </c>
      <c r="D146" s="205" t="s">
        <v>144</v>
      </c>
      <c r="E146" s="205" t="s">
        <v>52</v>
      </c>
      <c r="F146" s="206"/>
      <c r="G146" s="425" t="s">
        <v>162</v>
      </c>
      <c r="H146" s="211">
        <v>200</v>
      </c>
      <c r="I146" s="234">
        <v>100</v>
      </c>
      <c r="J146" s="205" t="s">
        <v>179</v>
      </c>
      <c r="K146" s="205" t="s">
        <v>43</v>
      </c>
      <c r="M146">
        <f t="shared" si="0"/>
        <v>40</v>
      </c>
      <c r="P146" s="57"/>
    </row>
    <row r="147" spans="1:16" x14ac:dyDescent="0.25">
      <c r="A147" s="203">
        <v>21</v>
      </c>
      <c r="B147" s="205" t="s">
        <v>2647</v>
      </c>
      <c r="C147" s="205" t="s">
        <v>40</v>
      </c>
      <c r="D147" s="205" t="s">
        <v>1539</v>
      </c>
      <c r="E147" s="205" t="s">
        <v>53</v>
      </c>
      <c r="F147" s="206" t="s">
        <v>2405</v>
      </c>
      <c r="G147" s="205" t="s">
        <v>42</v>
      </c>
      <c r="H147" s="211">
        <v>5000</v>
      </c>
      <c r="I147" s="234">
        <v>1000</v>
      </c>
      <c r="J147" s="205" t="s">
        <v>179</v>
      </c>
      <c r="K147" s="205" t="s">
        <v>43</v>
      </c>
      <c r="M147">
        <f t="shared" si="0"/>
        <v>1000</v>
      </c>
      <c r="P147" s="57"/>
    </row>
    <row r="148" spans="1:16" x14ac:dyDescent="0.25">
      <c r="A148" s="203">
        <v>21</v>
      </c>
      <c r="B148" s="205" t="s">
        <v>2648</v>
      </c>
      <c r="C148" s="205" t="s">
        <v>40</v>
      </c>
      <c r="D148" s="205" t="s">
        <v>2319</v>
      </c>
      <c r="E148" s="205" t="s">
        <v>56</v>
      </c>
      <c r="F148" s="206"/>
      <c r="G148" s="205" t="s">
        <v>42</v>
      </c>
      <c r="H148" s="211">
        <v>3000</v>
      </c>
      <c r="I148" s="234">
        <v>600</v>
      </c>
      <c r="J148" s="205" t="s">
        <v>179</v>
      </c>
      <c r="K148" s="205" t="s">
        <v>43</v>
      </c>
      <c r="M148">
        <f t="shared" si="0"/>
        <v>600</v>
      </c>
      <c r="P148" s="57"/>
    </row>
    <row r="149" spans="1:16" x14ac:dyDescent="0.25">
      <c r="A149" s="203">
        <v>21</v>
      </c>
      <c r="B149" s="205" t="s">
        <v>2649</v>
      </c>
      <c r="C149" s="205" t="s">
        <v>40</v>
      </c>
      <c r="D149" s="205" t="s">
        <v>521</v>
      </c>
      <c r="E149" s="205" t="s">
        <v>72</v>
      </c>
      <c r="F149" s="206" t="s">
        <v>2650</v>
      </c>
      <c r="G149" s="205" t="s">
        <v>42</v>
      </c>
      <c r="H149" s="211">
        <v>1500</v>
      </c>
      <c r="I149" s="234">
        <v>300</v>
      </c>
      <c r="J149" s="205" t="s">
        <v>179</v>
      </c>
      <c r="K149" s="205" t="s">
        <v>43</v>
      </c>
      <c r="M149">
        <f t="shared" si="0"/>
        <v>300</v>
      </c>
      <c r="P149" s="57"/>
    </row>
    <row r="150" spans="1:16" x14ac:dyDescent="0.25">
      <c r="A150" s="203">
        <v>21</v>
      </c>
      <c r="B150" s="205" t="s">
        <v>2651</v>
      </c>
      <c r="C150" s="205" t="s">
        <v>40</v>
      </c>
      <c r="D150" s="205" t="s">
        <v>465</v>
      </c>
      <c r="E150" s="205" t="s">
        <v>45</v>
      </c>
      <c r="F150" s="206"/>
      <c r="G150" s="205" t="s">
        <v>42</v>
      </c>
      <c r="H150" s="211">
        <v>1500</v>
      </c>
      <c r="I150" s="234">
        <v>300</v>
      </c>
      <c r="J150" s="205" t="s">
        <v>179</v>
      </c>
      <c r="K150" s="205" t="s">
        <v>43</v>
      </c>
      <c r="M150">
        <f t="shared" si="0"/>
        <v>300</v>
      </c>
      <c r="P150" s="57"/>
    </row>
    <row r="151" spans="1:16" x14ac:dyDescent="0.25">
      <c r="A151" s="203">
        <v>21</v>
      </c>
      <c r="B151" s="205" t="s">
        <v>2652</v>
      </c>
      <c r="C151" s="205" t="s">
        <v>40</v>
      </c>
      <c r="D151" s="205" t="s">
        <v>1719</v>
      </c>
      <c r="E151" s="205" t="s">
        <v>52</v>
      </c>
      <c r="F151" s="206"/>
      <c r="G151" s="205" t="s">
        <v>42</v>
      </c>
      <c r="H151" s="211">
        <v>750</v>
      </c>
      <c r="I151" s="234">
        <v>150</v>
      </c>
      <c r="J151" s="205" t="s">
        <v>179</v>
      </c>
      <c r="K151" s="205" t="s">
        <v>43</v>
      </c>
      <c r="M151">
        <f t="shared" si="0"/>
        <v>150</v>
      </c>
      <c r="P151" s="57"/>
    </row>
    <row r="152" spans="1:16" x14ac:dyDescent="0.25">
      <c r="A152" s="203">
        <v>21</v>
      </c>
      <c r="B152" s="205" t="s">
        <v>2653</v>
      </c>
      <c r="C152" s="205" t="s">
        <v>40</v>
      </c>
      <c r="D152" s="205" t="s">
        <v>899</v>
      </c>
      <c r="E152" s="205" t="s">
        <v>44</v>
      </c>
      <c r="F152" s="206"/>
      <c r="G152" s="205" t="s">
        <v>42</v>
      </c>
      <c r="H152" s="211">
        <v>10000</v>
      </c>
      <c r="I152" s="234">
        <v>2000</v>
      </c>
      <c r="J152" s="205" t="s">
        <v>179</v>
      </c>
      <c r="K152" s="205" t="s">
        <v>43</v>
      </c>
      <c r="M152">
        <f t="shared" si="0"/>
        <v>2000</v>
      </c>
      <c r="P152" s="57"/>
    </row>
    <row r="153" spans="1:16" x14ac:dyDescent="0.25">
      <c r="A153" s="203">
        <v>21</v>
      </c>
      <c r="B153" s="205" t="s">
        <v>2654</v>
      </c>
      <c r="C153" s="205" t="s">
        <v>40</v>
      </c>
      <c r="D153" s="205" t="s">
        <v>478</v>
      </c>
      <c r="E153" s="205" t="s">
        <v>57</v>
      </c>
      <c r="F153" s="206"/>
      <c r="G153" s="205" t="s">
        <v>42</v>
      </c>
      <c r="H153" s="211">
        <v>500</v>
      </c>
      <c r="I153" s="234">
        <v>100</v>
      </c>
      <c r="J153" s="205" t="s">
        <v>179</v>
      </c>
      <c r="K153" s="205" t="s">
        <v>43</v>
      </c>
      <c r="M153">
        <f t="shared" si="0"/>
        <v>100</v>
      </c>
      <c r="P153" s="57"/>
    </row>
    <row r="154" spans="1:16" x14ac:dyDescent="0.25">
      <c r="A154" s="203">
        <v>21</v>
      </c>
      <c r="B154" s="205" t="s">
        <v>2655</v>
      </c>
      <c r="C154" s="205" t="s">
        <v>40</v>
      </c>
      <c r="D154" s="205" t="s">
        <v>157</v>
      </c>
      <c r="E154" s="205" t="s">
        <v>50</v>
      </c>
      <c r="F154" s="206"/>
      <c r="G154" s="438" t="s">
        <v>187</v>
      </c>
      <c r="H154" s="211">
        <v>500</v>
      </c>
      <c r="I154" s="234">
        <v>100</v>
      </c>
      <c r="J154" s="205" t="s">
        <v>179</v>
      </c>
      <c r="K154" s="205" t="s">
        <v>43</v>
      </c>
      <c r="M154">
        <f t="shared" si="0"/>
        <v>100</v>
      </c>
      <c r="P154" s="57"/>
    </row>
    <row r="155" spans="1:16" x14ac:dyDescent="0.25">
      <c r="A155" s="203">
        <v>21</v>
      </c>
      <c r="B155" s="205" t="s">
        <v>2656</v>
      </c>
      <c r="C155" s="205" t="s">
        <v>40</v>
      </c>
      <c r="D155" s="205" t="s">
        <v>2319</v>
      </c>
      <c r="E155" s="205" t="s">
        <v>47</v>
      </c>
      <c r="F155" s="206"/>
      <c r="G155" s="205" t="s">
        <v>42</v>
      </c>
      <c r="H155" s="211">
        <v>2500</v>
      </c>
      <c r="I155" s="234">
        <v>500</v>
      </c>
      <c r="J155" s="205" t="s">
        <v>179</v>
      </c>
      <c r="K155" s="205" t="s">
        <v>43</v>
      </c>
      <c r="M155">
        <f t="shared" si="0"/>
        <v>500</v>
      </c>
      <c r="P155" s="57"/>
    </row>
    <row r="156" spans="1:16" x14ac:dyDescent="0.25">
      <c r="A156" s="203">
        <v>21</v>
      </c>
      <c r="B156" s="205" t="s">
        <v>244</v>
      </c>
      <c r="C156" s="396" t="s">
        <v>48</v>
      </c>
      <c r="D156" s="205" t="s">
        <v>141</v>
      </c>
      <c r="E156" s="205" t="s">
        <v>45</v>
      </c>
      <c r="F156" s="206"/>
      <c r="G156" s="205" t="s">
        <v>42</v>
      </c>
      <c r="H156" s="211">
        <v>3000</v>
      </c>
      <c r="I156" s="234">
        <v>600</v>
      </c>
      <c r="J156" s="205" t="s">
        <v>179</v>
      </c>
      <c r="K156" s="205" t="s">
        <v>43</v>
      </c>
      <c r="M156">
        <f t="shared" si="0"/>
        <v>600</v>
      </c>
      <c r="P156" s="57"/>
    </row>
    <row r="157" spans="1:16" x14ac:dyDescent="0.25">
      <c r="A157" s="203">
        <v>21</v>
      </c>
      <c r="B157" s="205" t="s">
        <v>2657</v>
      </c>
      <c r="C157" s="205" t="s">
        <v>40</v>
      </c>
      <c r="D157" s="205" t="s">
        <v>1289</v>
      </c>
      <c r="E157" s="205" t="s">
        <v>63</v>
      </c>
      <c r="F157" s="206"/>
      <c r="G157" s="205" t="s">
        <v>42</v>
      </c>
      <c r="H157" s="211">
        <v>1300</v>
      </c>
      <c r="I157" s="234">
        <v>260</v>
      </c>
      <c r="J157" s="205" t="s">
        <v>179</v>
      </c>
      <c r="K157" s="205" t="s">
        <v>43</v>
      </c>
      <c r="M157">
        <f t="shared" si="0"/>
        <v>260</v>
      </c>
      <c r="P157" s="57"/>
    </row>
    <row r="158" spans="1:16" x14ac:dyDescent="0.25">
      <c r="A158" s="203">
        <v>21</v>
      </c>
      <c r="B158" s="205" t="s">
        <v>2659</v>
      </c>
      <c r="C158" s="396" t="s">
        <v>48</v>
      </c>
      <c r="D158" s="205" t="s">
        <v>299</v>
      </c>
      <c r="E158" s="205" t="s">
        <v>45</v>
      </c>
      <c r="F158" s="206"/>
      <c r="G158" s="205" t="s">
        <v>42</v>
      </c>
      <c r="H158" s="211">
        <v>200</v>
      </c>
      <c r="I158" s="234">
        <v>40</v>
      </c>
      <c r="J158" s="205" t="s">
        <v>179</v>
      </c>
      <c r="K158" s="205" t="s">
        <v>43</v>
      </c>
      <c r="M158">
        <f t="shared" si="0"/>
        <v>40</v>
      </c>
      <c r="P158" s="57"/>
    </row>
    <row r="159" spans="1:16" x14ac:dyDescent="0.25">
      <c r="A159" s="203">
        <v>21</v>
      </c>
      <c r="B159" s="205" t="s">
        <v>2660</v>
      </c>
      <c r="C159" s="396" t="s">
        <v>48</v>
      </c>
      <c r="D159" s="205" t="s">
        <v>2661</v>
      </c>
      <c r="E159" s="205" t="s">
        <v>70</v>
      </c>
      <c r="F159" s="206"/>
      <c r="G159" s="205" t="s">
        <v>42</v>
      </c>
      <c r="H159" s="211">
        <v>400</v>
      </c>
      <c r="I159" s="234">
        <v>80</v>
      </c>
      <c r="J159" s="205" t="s">
        <v>179</v>
      </c>
      <c r="K159" s="205" t="s">
        <v>43</v>
      </c>
      <c r="M159">
        <f t="shared" si="0"/>
        <v>80</v>
      </c>
      <c r="P159" s="57"/>
    </row>
    <row r="160" spans="1:16" x14ac:dyDescent="0.25">
      <c r="A160" s="203">
        <v>21</v>
      </c>
      <c r="B160" s="205" t="s">
        <v>2662</v>
      </c>
      <c r="C160" s="205" t="s">
        <v>40</v>
      </c>
      <c r="D160" s="205" t="s">
        <v>2319</v>
      </c>
      <c r="E160" s="205" t="s">
        <v>47</v>
      </c>
      <c r="F160" s="206"/>
      <c r="G160" s="205" t="s">
        <v>42</v>
      </c>
      <c r="H160" s="211">
        <v>1000</v>
      </c>
      <c r="I160" s="234">
        <v>200</v>
      </c>
      <c r="J160" s="205" t="s">
        <v>179</v>
      </c>
      <c r="K160" s="205" t="s">
        <v>43</v>
      </c>
      <c r="M160">
        <f t="shared" si="0"/>
        <v>200</v>
      </c>
      <c r="P160" s="57"/>
    </row>
    <row r="161" spans="1:16" x14ac:dyDescent="0.25">
      <c r="A161" s="203">
        <v>21</v>
      </c>
      <c r="B161" s="205" t="s">
        <v>2663</v>
      </c>
      <c r="C161" s="205" t="s">
        <v>40</v>
      </c>
      <c r="D161" s="205" t="s">
        <v>725</v>
      </c>
      <c r="E161" s="205" t="s">
        <v>45</v>
      </c>
      <c r="F161" s="206" t="s">
        <v>2664</v>
      </c>
      <c r="G161" s="205" t="s">
        <v>42</v>
      </c>
      <c r="H161" s="211">
        <v>3000</v>
      </c>
      <c r="I161" s="234">
        <v>600</v>
      </c>
      <c r="J161" s="205" t="s">
        <v>179</v>
      </c>
      <c r="K161" s="205" t="s">
        <v>43</v>
      </c>
      <c r="M161">
        <f t="shared" si="0"/>
        <v>600</v>
      </c>
      <c r="P161" s="57"/>
    </row>
    <row r="162" spans="1:16" x14ac:dyDescent="0.25">
      <c r="A162" s="203">
        <v>21</v>
      </c>
      <c r="B162" s="205" t="s">
        <v>2665</v>
      </c>
      <c r="C162" s="205" t="s">
        <v>40</v>
      </c>
      <c r="D162" s="205" t="s">
        <v>1932</v>
      </c>
      <c r="E162" s="205" t="s">
        <v>61</v>
      </c>
      <c r="F162" s="206"/>
      <c r="G162" s="205" t="s">
        <v>42</v>
      </c>
      <c r="H162" s="211">
        <v>5000</v>
      </c>
      <c r="I162" s="234">
        <v>1000</v>
      </c>
      <c r="J162" s="205" t="s">
        <v>179</v>
      </c>
      <c r="K162" s="205" t="s">
        <v>43</v>
      </c>
      <c r="M162">
        <f t="shared" si="0"/>
        <v>1000</v>
      </c>
      <c r="P162" s="57"/>
    </row>
    <row r="163" spans="1:16" x14ac:dyDescent="0.25">
      <c r="A163" s="321">
        <v>21</v>
      </c>
      <c r="B163" s="205" t="s">
        <v>2666</v>
      </c>
      <c r="C163" s="205" t="s">
        <v>40</v>
      </c>
      <c r="D163" s="205" t="s">
        <v>142</v>
      </c>
      <c r="E163" s="205" t="s">
        <v>57</v>
      </c>
      <c r="F163" s="206" t="s">
        <v>2667</v>
      </c>
      <c r="G163" s="205" t="s">
        <v>42</v>
      </c>
      <c r="H163" s="211">
        <v>3000</v>
      </c>
      <c r="I163" s="234">
        <v>600</v>
      </c>
      <c r="J163" s="205" t="s">
        <v>179</v>
      </c>
      <c r="K163" s="205" t="s">
        <v>43</v>
      </c>
      <c r="M163">
        <f t="shared" si="0"/>
        <v>600</v>
      </c>
      <c r="P163" s="57"/>
    </row>
    <row r="164" spans="1:16" x14ac:dyDescent="0.25">
      <c r="A164" s="203">
        <v>23</v>
      </c>
      <c r="B164" s="205" t="s">
        <v>2677</v>
      </c>
      <c r="C164" s="205" t="s">
        <v>40</v>
      </c>
      <c r="D164" s="205" t="s">
        <v>1258</v>
      </c>
      <c r="E164" s="205" t="s">
        <v>44</v>
      </c>
      <c r="F164" s="206"/>
      <c r="G164" s="393" t="s">
        <v>163</v>
      </c>
      <c r="H164" s="211">
        <v>300</v>
      </c>
      <c r="I164" s="234">
        <v>300</v>
      </c>
      <c r="J164" s="205" t="s">
        <v>179</v>
      </c>
      <c r="K164" s="205" t="s">
        <v>43</v>
      </c>
      <c r="M164">
        <f t="shared" si="0"/>
        <v>60</v>
      </c>
      <c r="P164" s="57"/>
    </row>
    <row r="165" spans="1:16" x14ac:dyDescent="0.25">
      <c r="A165" s="203">
        <v>23</v>
      </c>
      <c r="B165" s="205" t="s">
        <v>2678</v>
      </c>
      <c r="C165" s="205" t="s">
        <v>40</v>
      </c>
      <c r="D165" s="205" t="s">
        <v>1801</v>
      </c>
      <c r="E165" s="205" t="s">
        <v>50</v>
      </c>
      <c r="F165" s="206" t="s">
        <v>2679</v>
      </c>
      <c r="G165" s="205" t="s">
        <v>42</v>
      </c>
      <c r="H165" s="211">
        <v>250</v>
      </c>
      <c r="I165" s="234">
        <v>50</v>
      </c>
      <c r="J165" s="205" t="s">
        <v>179</v>
      </c>
      <c r="K165" s="205" t="s">
        <v>43</v>
      </c>
      <c r="M165">
        <f t="shared" si="0"/>
        <v>50</v>
      </c>
      <c r="P165" s="57"/>
    </row>
    <row r="166" spans="1:16" x14ac:dyDescent="0.25">
      <c r="A166" s="203">
        <v>23</v>
      </c>
      <c r="B166" s="205" t="s">
        <v>2678</v>
      </c>
      <c r="C166" s="205" t="s">
        <v>40</v>
      </c>
      <c r="D166" s="205" t="s">
        <v>1801</v>
      </c>
      <c r="E166" s="205" t="s">
        <v>50</v>
      </c>
      <c r="F166" s="206" t="s">
        <v>2679</v>
      </c>
      <c r="G166" s="205" t="s">
        <v>42</v>
      </c>
      <c r="H166" s="211">
        <v>250</v>
      </c>
      <c r="I166" s="234">
        <v>75</v>
      </c>
      <c r="J166" s="205" t="s">
        <v>179</v>
      </c>
      <c r="K166" s="205" t="s">
        <v>43</v>
      </c>
      <c r="M166">
        <f t="shared" si="0"/>
        <v>50</v>
      </c>
      <c r="P166" s="57">
        <f>SUM(H158:H163)</f>
        <v>12600</v>
      </c>
    </row>
    <row r="167" spans="1:16" x14ac:dyDescent="0.25">
      <c r="A167" s="203">
        <v>23</v>
      </c>
      <c r="B167" s="205" t="s">
        <v>2680</v>
      </c>
      <c r="C167" s="205" t="s">
        <v>40</v>
      </c>
      <c r="D167" s="205" t="s">
        <v>76</v>
      </c>
      <c r="E167" s="205" t="s">
        <v>44</v>
      </c>
      <c r="F167" s="206"/>
      <c r="G167" s="205" t="s">
        <v>42</v>
      </c>
      <c r="H167" s="211">
        <v>3000</v>
      </c>
      <c r="I167" s="234">
        <v>600</v>
      </c>
      <c r="J167" s="205" t="s">
        <v>179</v>
      </c>
      <c r="K167" s="205" t="s">
        <v>43</v>
      </c>
      <c r="M167">
        <f t="shared" si="0"/>
        <v>600</v>
      </c>
      <c r="P167" s="57"/>
    </row>
    <row r="168" spans="1:16" x14ac:dyDescent="0.25">
      <c r="A168" s="203">
        <v>23</v>
      </c>
      <c r="B168" s="205" t="s">
        <v>2681</v>
      </c>
      <c r="C168" s="396" t="s">
        <v>48</v>
      </c>
      <c r="D168" s="205" t="s">
        <v>1041</v>
      </c>
      <c r="E168" s="205" t="s">
        <v>83</v>
      </c>
      <c r="F168" s="206" t="s">
        <v>2682</v>
      </c>
      <c r="G168" s="205" t="s">
        <v>42</v>
      </c>
      <c r="H168" s="211">
        <v>2000</v>
      </c>
      <c r="I168" s="234">
        <v>400</v>
      </c>
      <c r="J168" s="205" t="s">
        <v>179</v>
      </c>
      <c r="K168" s="205" t="s">
        <v>43</v>
      </c>
      <c r="M168">
        <f t="shared" si="0"/>
        <v>400</v>
      </c>
      <c r="P168" s="57"/>
    </row>
    <row r="169" spans="1:16" x14ac:dyDescent="0.25">
      <c r="A169" s="203">
        <v>23</v>
      </c>
      <c r="B169" s="205" t="s">
        <v>2681</v>
      </c>
      <c r="C169" s="396" t="s">
        <v>48</v>
      </c>
      <c r="D169" s="205" t="s">
        <v>1041</v>
      </c>
      <c r="E169" s="205" t="s">
        <v>83</v>
      </c>
      <c r="F169" s="206" t="s">
        <v>2682</v>
      </c>
      <c r="G169" s="205" t="s">
        <v>42</v>
      </c>
      <c r="H169" s="211">
        <v>500</v>
      </c>
      <c r="I169" s="234" t="s">
        <v>255</v>
      </c>
      <c r="J169" s="205" t="s">
        <v>179</v>
      </c>
      <c r="K169" s="205" t="s">
        <v>43</v>
      </c>
      <c r="M169">
        <f t="shared" si="0"/>
        <v>100</v>
      </c>
      <c r="P169" s="57"/>
    </row>
    <row r="170" spans="1:16" x14ac:dyDescent="0.25">
      <c r="A170" s="203">
        <v>23</v>
      </c>
      <c r="B170" s="205" t="s">
        <v>2684</v>
      </c>
      <c r="C170" s="205" t="s">
        <v>40</v>
      </c>
      <c r="D170" s="205" t="s">
        <v>769</v>
      </c>
      <c r="E170" s="205" t="s">
        <v>78</v>
      </c>
      <c r="F170" s="206"/>
      <c r="G170" s="205" t="s">
        <v>42</v>
      </c>
      <c r="H170" s="211">
        <v>2500</v>
      </c>
      <c r="I170" s="234">
        <v>500</v>
      </c>
      <c r="J170" s="205" t="s">
        <v>179</v>
      </c>
      <c r="K170" s="205" t="s">
        <v>43</v>
      </c>
      <c r="M170">
        <f t="shared" si="0"/>
        <v>500</v>
      </c>
      <c r="P170" s="57"/>
    </row>
    <row r="171" spans="1:16" x14ac:dyDescent="0.25">
      <c r="A171" s="203">
        <v>23</v>
      </c>
      <c r="B171" s="205" t="s">
        <v>2685</v>
      </c>
      <c r="C171" s="205" t="s">
        <v>40</v>
      </c>
      <c r="D171" s="205" t="s">
        <v>2686</v>
      </c>
      <c r="E171" s="205" t="s">
        <v>78</v>
      </c>
      <c r="F171" s="206" t="s">
        <v>2687</v>
      </c>
      <c r="G171" s="205" t="s">
        <v>42</v>
      </c>
      <c r="H171" s="211">
        <v>1000</v>
      </c>
      <c r="I171" s="234">
        <v>200</v>
      </c>
      <c r="J171" s="205" t="s">
        <v>179</v>
      </c>
      <c r="K171" s="205" t="s">
        <v>43</v>
      </c>
      <c r="M171">
        <f t="shared" si="0"/>
        <v>200</v>
      </c>
      <c r="P171" s="57"/>
    </row>
    <row r="172" spans="1:16" x14ac:dyDescent="0.25">
      <c r="A172" s="203">
        <v>23</v>
      </c>
      <c r="B172" s="205" t="s">
        <v>2688</v>
      </c>
      <c r="C172" s="205" t="s">
        <v>40</v>
      </c>
      <c r="D172" s="205" t="s">
        <v>2689</v>
      </c>
      <c r="E172" s="205" t="s">
        <v>78</v>
      </c>
      <c r="F172" s="206" t="s">
        <v>2690</v>
      </c>
      <c r="G172" s="205" t="s">
        <v>42</v>
      </c>
      <c r="H172" s="211">
        <v>500</v>
      </c>
      <c r="I172" s="234">
        <v>100</v>
      </c>
      <c r="J172" s="205" t="s">
        <v>179</v>
      </c>
      <c r="K172" s="205" t="s">
        <v>43</v>
      </c>
      <c r="M172">
        <f t="shared" si="0"/>
        <v>100</v>
      </c>
      <c r="P172" s="57"/>
    </row>
    <row r="173" spans="1:16" x14ac:dyDescent="0.25">
      <c r="A173" s="203">
        <v>23</v>
      </c>
      <c r="B173" s="205" t="s">
        <v>2691</v>
      </c>
      <c r="C173" s="205" t="s">
        <v>40</v>
      </c>
      <c r="D173" s="205" t="s">
        <v>769</v>
      </c>
      <c r="E173" s="205" t="s">
        <v>78</v>
      </c>
      <c r="F173" s="206"/>
      <c r="G173" s="205" t="s">
        <v>42</v>
      </c>
      <c r="H173" s="211">
        <v>500</v>
      </c>
      <c r="I173" s="234">
        <v>100</v>
      </c>
      <c r="J173" s="205" t="s">
        <v>179</v>
      </c>
      <c r="K173" s="205" t="s">
        <v>43</v>
      </c>
      <c r="M173">
        <f t="shared" si="0"/>
        <v>100</v>
      </c>
      <c r="P173" s="57"/>
    </row>
    <row r="174" spans="1:16" x14ac:dyDescent="0.25">
      <c r="A174" s="203">
        <v>23</v>
      </c>
      <c r="B174" s="205" t="s">
        <v>2695</v>
      </c>
      <c r="C174" s="205" t="s">
        <v>40</v>
      </c>
      <c r="D174" s="205" t="s">
        <v>2380</v>
      </c>
      <c r="E174" s="205" t="s">
        <v>47</v>
      </c>
      <c r="F174" s="206" t="s">
        <v>2696</v>
      </c>
      <c r="G174" s="205" t="s">
        <v>42</v>
      </c>
      <c r="H174" s="211">
        <v>1000</v>
      </c>
      <c r="I174" s="234">
        <v>200</v>
      </c>
      <c r="J174" s="205" t="s">
        <v>179</v>
      </c>
      <c r="K174" s="205" t="s">
        <v>43</v>
      </c>
      <c r="M174">
        <f t="shared" si="0"/>
        <v>200</v>
      </c>
      <c r="P174" s="57"/>
    </row>
    <row r="175" spans="1:16" x14ac:dyDescent="0.25">
      <c r="A175" s="203">
        <v>23</v>
      </c>
      <c r="B175" s="205" t="s">
        <v>2697</v>
      </c>
      <c r="C175" s="205" t="s">
        <v>40</v>
      </c>
      <c r="D175" s="205" t="s">
        <v>1155</v>
      </c>
      <c r="E175" s="205" t="s">
        <v>51</v>
      </c>
      <c r="F175" s="206"/>
      <c r="G175" s="425" t="s">
        <v>162</v>
      </c>
      <c r="H175" s="211">
        <v>10</v>
      </c>
      <c r="I175" s="234" t="s">
        <v>255</v>
      </c>
      <c r="J175" s="205" t="s">
        <v>179</v>
      </c>
      <c r="K175" s="205" t="s">
        <v>43</v>
      </c>
      <c r="M175">
        <f t="shared" si="0"/>
        <v>2</v>
      </c>
      <c r="P175" s="57"/>
    </row>
    <row r="176" spans="1:16" x14ac:dyDescent="0.25">
      <c r="A176" s="203">
        <v>24</v>
      </c>
      <c r="B176" s="205" t="s">
        <v>2494</v>
      </c>
      <c r="C176" s="205" t="s">
        <v>40</v>
      </c>
      <c r="D176" s="205" t="s">
        <v>380</v>
      </c>
      <c r="E176" s="205" t="s">
        <v>45</v>
      </c>
      <c r="F176" s="206"/>
      <c r="G176" s="393" t="s">
        <v>163</v>
      </c>
      <c r="H176" s="211">
        <v>120</v>
      </c>
      <c r="I176" s="234">
        <v>120</v>
      </c>
      <c r="J176" s="205" t="s">
        <v>179</v>
      </c>
      <c r="K176" s="205" t="s">
        <v>43</v>
      </c>
      <c r="M176">
        <f t="shared" si="0"/>
        <v>24</v>
      </c>
      <c r="P176" s="57"/>
    </row>
    <row r="177" spans="1:16" x14ac:dyDescent="0.25">
      <c r="A177" s="203">
        <v>24</v>
      </c>
      <c r="B177" s="205" t="s">
        <v>2698</v>
      </c>
      <c r="C177" s="205" t="s">
        <v>40</v>
      </c>
      <c r="D177" s="205" t="s">
        <v>2319</v>
      </c>
      <c r="E177" s="205" t="s">
        <v>47</v>
      </c>
      <c r="F177" s="206" t="s">
        <v>2699</v>
      </c>
      <c r="G177" s="205" t="s">
        <v>42</v>
      </c>
      <c r="H177" s="211">
        <v>3000</v>
      </c>
      <c r="I177" s="234">
        <v>600</v>
      </c>
      <c r="J177" s="205" t="s">
        <v>179</v>
      </c>
      <c r="K177" s="205" t="s">
        <v>43</v>
      </c>
      <c r="M177">
        <f t="shared" si="0"/>
        <v>600</v>
      </c>
      <c r="P177" s="57"/>
    </row>
    <row r="178" spans="1:16" x14ac:dyDescent="0.25">
      <c r="A178" s="203">
        <v>24</v>
      </c>
      <c r="B178" s="205" t="s">
        <v>2700</v>
      </c>
      <c r="C178" s="396" t="s">
        <v>48</v>
      </c>
      <c r="D178" s="205" t="s">
        <v>60</v>
      </c>
      <c r="E178" s="205" t="s">
        <v>47</v>
      </c>
      <c r="F178" s="206" t="s">
        <v>2701</v>
      </c>
      <c r="G178" s="205" t="s">
        <v>42</v>
      </c>
      <c r="H178" s="211">
        <v>700</v>
      </c>
      <c r="I178" s="234">
        <v>140</v>
      </c>
      <c r="J178" s="205" t="s">
        <v>179</v>
      </c>
      <c r="K178" s="205" t="s">
        <v>43</v>
      </c>
      <c r="M178">
        <f t="shared" si="0"/>
        <v>140</v>
      </c>
      <c r="P178" s="57"/>
    </row>
    <row r="179" spans="1:16" x14ac:dyDescent="0.25">
      <c r="A179" s="203">
        <v>24</v>
      </c>
      <c r="B179" s="205" t="s">
        <v>2702</v>
      </c>
      <c r="C179" s="205" t="s">
        <v>40</v>
      </c>
      <c r="D179" s="205" t="s">
        <v>141</v>
      </c>
      <c r="E179" s="205" t="s">
        <v>45</v>
      </c>
      <c r="F179" s="206"/>
      <c r="G179" s="205" t="s">
        <v>42</v>
      </c>
      <c r="H179" s="211">
        <v>1500</v>
      </c>
      <c r="I179" s="234">
        <v>300</v>
      </c>
      <c r="J179" s="205" t="s">
        <v>179</v>
      </c>
      <c r="K179" s="205" t="s">
        <v>43</v>
      </c>
      <c r="M179">
        <f t="shared" si="0"/>
        <v>300</v>
      </c>
      <c r="P179" s="57"/>
    </row>
    <row r="180" spans="1:16" x14ac:dyDescent="0.25">
      <c r="A180" s="203">
        <v>28</v>
      </c>
      <c r="B180" s="205" t="s">
        <v>2703</v>
      </c>
      <c r="C180" s="205" t="s">
        <v>40</v>
      </c>
      <c r="D180" s="205" t="s">
        <v>159</v>
      </c>
      <c r="E180" s="205" t="s">
        <v>52</v>
      </c>
      <c r="F180" s="206"/>
      <c r="G180" s="205" t="s">
        <v>42</v>
      </c>
      <c r="H180" s="211">
        <v>700</v>
      </c>
      <c r="I180" s="234">
        <v>140</v>
      </c>
      <c r="J180" s="205" t="s">
        <v>179</v>
      </c>
      <c r="K180" s="205" t="s">
        <v>43</v>
      </c>
      <c r="M180">
        <f t="shared" si="0"/>
        <v>140</v>
      </c>
      <c r="P180" s="57"/>
    </row>
    <row r="181" spans="1:16" x14ac:dyDescent="0.25">
      <c r="A181" s="203">
        <v>28</v>
      </c>
      <c r="B181" s="205" t="s">
        <v>2389</v>
      </c>
      <c r="C181" s="205" t="s">
        <v>40</v>
      </c>
      <c r="D181" s="205" t="s">
        <v>144</v>
      </c>
      <c r="E181" s="205" t="s">
        <v>57</v>
      </c>
      <c r="F181" s="206" t="s">
        <v>2390</v>
      </c>
      <c r="G181" s="205" t="s">
        <v>42</v>
      </c>
      <c r="H181" s="211">
        <v>2500</v>
      </c>
      <c r="I181" s="234">
        <v>500</v>
      </c>
      <c r="J181" s="205" t="s">
        <v>179</v>
      </c>
      <c r="K181" s="205" t="s">
        <v>43</v>
      </c>
      <c r="M181">
        <f t="shared" si="0"/>
        <v>500</v>
      </c>
      <c r="P181" s="57"/>
    </row>
    <row r="182" spans="1:16" x14ac:dyDescent="0.25">
      <c r="A182" s="203">
        <v>28</v>
      </c>
      <c r="B182" s="205" t="s">
        <v>2704</v>
      </c>
      <c r="C182" s="205" t="s">
        <v>40</v>
      </c>
      <c r="D182" s="205" t="s">
        <v>141</v>
      </c>
      <c r="E182" s="205" t="s">
        <v>45</v>
      </c>
      <c r="F182" s="206"/>
      <c r="G182" s="393" t="s">
        <v>163</v>
      </c>
      <c r="H182" s="211">
        <v>50</v>
      </c>
      <c r="I182" s="234">
        <v>50</v>
      </c>
      <c r="J182" s="205" t="s">
        <v>179</v>
      </c>
      <c r="K182" s="205" t="s">
        <v>43</v>
      </c>
      <c r="M182">
        <f t="shared" si="0"/>
        <v>10</v>
      </c>
      <c r="P182" s="57"/>
    </row>
    <row r="183" spans="1:16" x14ac:dyDescent="0.25">
      <c r="A183" s="203">
        <v>28</v>
      </c>
      <c r="B183" s="205" t="s">
        <v>2705</v>
      </c>
      <c r="C183" s="396" t="s">
        <v>48</v>
      </c>
      <c r="D183" s="205" t="s">
        <v>488</v>
      </c>
      <c r="E183" s="205" t="s">
        <v>45</v>
      </c>
      <c r="F183" s="206"/>
      <c r="G183" s="205" t="s">
        <v>42</v>
      </c>
      <c r="H183" s="211">
        <v>250</v>
      </c>
      <c r="I183" s="234">
        <v>50</v>
      </c>
      <c r="J183" s="205" t="s">
        <v>179</v>
      </c>
      <c r="K183" s="205" t="s">
        <v>43</v>
      </c>
      <c r="M183">
        <f t="shared" si="0"/>
        <v>50</v>
      </c>
      <c r="P183" s="57"/>
    </row>
    <row r="184" spans="1:16" x14ac:dyDescent="0.25">
      <c r="A184" s="203">
        <v>28</v>
      </c>
      <c r="B184" s="205" t="s">
        <v>2706</v>
      </c>
      <c r="C184" s="205" t="s">
        <v>40</v>
      </c>
      <c r="D184" s="205" t="s">
        <v>1500</v>
      </c>
      <c r="E184" s="205" t="s">
        <v>64</v>
      </c>
      <c r="F184" s="206" t="s">
        <v>2707</v>
      </c>
      <c r="G184" s="393" t="s">
        <v>163</v>
      </c>
      <c r="H184" s="211">
        <v>150</v>
      </c>
      <c r="I184" s="234">
        <v>150</v>
      </c>
      <c r="J184" s="205" t="s">
        <v>179</v>
      </c>
      <c r="K184" s="205" t="s">
        <v>43</v>
      </c>
      <c r="M184">
        <f t="shared" si="0"/>
        <v>30</v>
      </c>
      <c r="P184" s="57"/>
    </row>
    <row r="185" spans="1:16" x14ac:dyDescent="0.25">
      <c r="A185" s="203">
        <v>28</v>
      </c>
      <c r="B185" s="205" t="s">
        <v>2708</v>
      </c>
      <c r="C185" s="205" t="s">
        <v>40</v>
      </c>
      <c r="D185" s="205" t="s">
        <v>1289</v>
      </c>
      <c r="E185" s="205" t="s">
        <v>63</v>
      </c>
      <c r="F185" s="206"/>
      <c r="G185" s="205" t="s">
        <v>42</v>
      </c>
      <c r="H185" s="211">
        <v>1000</v>
      </c>
      <c r="I185" s="234">
        <v>200</v>
      </c>
      <c r="J185" s="205" t="s">
        <v>179</v>
      </c>
      <c r="K185" s="205" t="s">
        <v>43</v>
      </c>
      <c r="M185">
        <f t="shared" si="0"/>
        <v>200</v>
      </c>
      <c r="P185" s="57"/>
    </row>
    <row r="186" spans="1:16" x14ac:dyDescent="0.25">
      <c r="A186" s="203">
        <v>28</v>
      </c>
      <c r="B186" s="205" t="s">
        <v>2709</v>
      </c>
      <c r="C186" s="205" t="s">
        <v>40</v>
      </c>
      <c r="D186" s="205" t="s">
        <v>899</v>
      </c>
      <c r="E186" s="205" t="s">
        <v>44</v>
      </c>
      <c r="F186" s="206"/>
      <c r="G186" s="205" t="s">
        <v>42</v>
      </c>
      <c r="H186" s="211">
        <v>3000</v>
      </c>
      <c r="I186" s="234">
        <v>600</v>
      </c>
      <c r="J186" s="205" t="s">
        <v>179</v>
      </c>
      <c r="K186" s="205" t="s">
        <v>43</v>
      </c>
      <c r="M186">
        <f t="shared" si="0"/>
        <v>600</v>
      </c>
      <c r="P186" s="57"/>
    </row>
    <row r="187" spans="1:16" x14ac:dyDescent="0.25">
      <c r="A187" s="321">
        <v>28</v>
      </c>
      <c r="B187" s="205" t="s">
        <v>2710</v>
      </c>
      <c r="C187" s="205" t="s">
        <v>40</v>
      </c>
      <c r="D187" s="205" t="s">
        <v>2711</v>
      </c>
      <c r="E187" s="205" t="s">
        <v>45</v>
      </c>
      <c r="F187" s="206"/>
      <c r="G187" s="205" t="s">
        <v>42</v>
      </c>
      <c r="H187" s="211">
        <v>1000</v>
      </c>
      <c r="I187" s="234">
        <v>200</v>
      </c>
      <c r="J187" s="205" t="s">
        <v>179</v>
      </c>
      <c r="K187" s="205" t="s">
        <v>43</v>
      </c>
      <c r="M187">
        <f t="shared" si="0"/>
        <v>200</v>
      </c>
      <c r="P187" s="57"/>
    </row>
    <row r="188" spans="1:16" x14ac:dyDescent="0.25">
      <c r="A188" s="203"/>
      <c r="B188" s="205"/>
      <c r="C188" s="205"/>
      <c r="D188" s="205"/>
      <c r="E188" s="205"/>
      <c r="F188" s="206"/>
      <c r="G188" s="205"/>
      <c r="H188" s="211"/>
      <c r="I188" s="234"/>
      <c r="J188" s="205"/>
      <c r="K188" s="205"/>
      <c r="P188" s="57"/>
    </row>
    <row r="189" spans="1:16" x14ac:dyDescent="0.25">
      <c r="A189" s="324"/>
      <c r="M189">
        <f>SUM(M12:M187)</f>
        <v>74150</v>
      </c>
    </row>
    <row r="190" spans="1:16" x14ac:dyDescent="0.25">
      <c r="A190" s="324"/>
    </row>
    <row r="191" spans="1:16" x14ac:dyDescent="0.25">
      <c r="I191" s="92" t="s">
        <v>19</v>
      </c>
      <c r="J191" s="26"/>
    </row>
    <row r="192" spans="1:16" ht="16.5" customHeight="1" x14ac:dyDescent="0.25">
      <c r="B192" t="s">
        <v>20</v>
      </c>
      <c r="E192" t="s">
        <v>21</v>
      </c>
      <c r="I192" s="81" t="s">
        <v>114</v>
      </c>
      <c r="J192" s="97">
        <v>163</v>
      </c>
      <c r="P192" s="25"/>
    </row>
    <row r="193" spans="2:16" x14ac:dyDescent="0.25">
      <c r="I193" s="81" t="s">
        <v>115</v>
      </c>
      <c r="J193" s="97"/>
      <c r="K193" s="57"/>
      <c r="P193" s="57"/>
    </row>
    <row r="194" spans="2:16" x14ac:dyDescent="0.25">
      <c r="I194" s="81" t="s">
        <v>165</v>
      </c>
      <c r="J194" s="99">
        <v>343900</v>
      </c>
      <c r="K194" s="57"/>
      <c r="N194" s="25"/>
      <c r="P194" s="25"/>
    </row>
    <row r="195" spans="2:16" x14ac:dyDescent="0.25">
      <c r="I195" s="81" t="s">
        <v>567</v>
      </c>
      <c r="J195" s="99">
        <v>0</v>
      </c>
      <c r="P195" s="57"/>
    </row>
    <row r="196" spans="2:16" x14ac:dyDescent="0.25">
      <c r="B196" s="93" t="s">
        <v>538</v>
      </c>
      <c r="E196" s="533" t="s">
        <v>941</v>
      </c>
      <c r="F196" s="533"/>
      <c r="G196" s="533"/>
      <c r="H196" s="533"/>
      <c r="I196" s="81" t="s">
        <v>116</v>
      </c>
      <c r="J196" s="99">
        <v>0</v>
      </c>
      <c r="P196" s="57"/>
    </row>
    <row r="197" spans="2:16" x14ac:dyDescent="0.25">
      <c r="B197" t="s">
        <v>183</v>
      </c>
      <c r="E197" s="522" t="s">
        <v>942</v>
      </c>
      <c r="F197" s="522"/>
      <c r="G197" s="522"/>
      <c r="H197" s="522"/>
      <c r="I197" s="81" t="s">
        <v>117</v>
      </c>
      <c r="J197" s="99">
        <v>230</v>
      </c>
      <c r="P197" s="57"/>
    </row>
    <row r="198" spans="2:16" x14ac:dyDescent="0.25">
      <c r="I198" s="81" t="s">
        <v>119</v>
      </c>
      <c r="J198" s="99">
        <v>26620</v>
      </c>
      <c r="P198" s="25"/>
    </row>
    <row r="199" spans="2:16" x14ac:dyDescent="0.25">
      <c r="I199" s="94" t="s">
        <v>113</v>
      </c>
      <c r="J199" s="97">
        <v>0</v>
      </c>
    </row>
    <row r="200" spans="2:16" x14ac:dyDescent="0.25">
      <c r="I200" s="81" t="s">
        <v>23</v>
      </c>
      <c r="J200" s="443">
        <v>74150</v>
      </c>
    </row>
    <row r="201" spans="2:16" x14ac:dyDescent="0.25">
      <c r="I201" s="95" t="s">
        <v>111</v>
      </c>
      <c r="J201" s="99"/>
    </row>
    <row r="202" spans="2:16" x14ac:dyDescent="0.25">
      <c r="B202" s="27"/>
      <c r="E202" s="27"/>
      <c r="F202" s="27"/>
      <c r="G202" s="27"/>
      <c r="I202" s="95" t="s">
        <v>112</v>
      </c>
      <c r="J202" s="58"/>
    </row>
    <row r="203" spans="2:16" x14ac:dyDescent="0.25">
      <c r="I203" s="81"/>
      <c r="J203" s="26"/>
    </row>
    <row r="204" spans="2:16" x14ac:dyDescent="0.25">
      <c r="I204" s="81"/>
      <c r="J204" s="26"/>
    </row>
    <row r="205" spans="2:16" x14ac:dyDescent="0.25">
      <c r="I205" s="81"/>
      <c r="J205" s="58"/>
    </row>
    <row r="206" spans="2:16" x14ac:dyDescent="0.25">
      <c r="I206" s="81"/>
      <c r="J206" s="58"/>
    </row>
    <row r="226" spans="12:12" x14ac:dyDescent="0.25">
      <c r="L226" s="25"/>
    </row>
    <row r="249" spans="12:12" x14ac:dyDescent="0.25">
      <c r="L249" s="25"/>
    </row>
    <row r="376" spans="12:12" x14ac:dyDescent="0.25">
      <c r="L376" s="25"/>
    </row>
  </sheetData>
  <mergeCells count="8">
    <mergeCell ref="E196:H196"/>
    <mergeCell ref="E197:H197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62C9-92BF-427B-8FCE-0037EEC5F795}">
  <sheetPr>
    <tabColor theme="5"/>
  </sheetPr>
  <dimension ref="A1:O38"/>
  <sheetViews>
    <sheetView view="pageBreakPreview" topLeftCell="A15" zoomScale="96" zoomScaleNormal="100" zoomScaleSheetLayoutView="96" workbookViewId="0">
      <selection activeCell="J24" sqref="J24:L24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6.7109375" customWidth="1"/>
    <col min="9" max="9" width="19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</row>
    <row r="2" spans="1:15" ht="18" x14ac:dyDescent="0.25">
      <c r="A2" s="524" t="s">
        <v>2221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</row>
    <row r="3" spans="1:15" x14ac:dyDescent="0.25">
      <c r="A3" s="183"/>
      <c r="B3" s="1"/>
      <c r="C3" s="28"/>
      <c r="D3" s="1"/>
      <c r="E3" s="1"/>
      <c r="G3" s="1"/>
      <c r="H3" s="28"/>
      <c r="I3" s="25"/>
      <c r="J3" s="29"/>
      <c r="K3" s="526" t="s">
        <v>2458</v>
      </c>
      <c r="L3" s="536"/>
    </row>
    <row r="4" spans="1:15" x14ac:dyDescent="0.25">
      <c r="A4" s="183"/>
      <c r="B4" s="1"/>
      <c r="C4" s="28"/>
      <c r="D4" s="1"/>
      <c r="E4" s="1"/>
      <c r="G4" s="1"/>
      <c r="H4" s="28"/>
      <c r="I4" s="25"/>
      <c r="J4" s="29"/>
      <c r="K4" s="31" t="s">
        <v>37</v>
      </c>
      <c r="L4" s="100">
        <v>6</v>
      </c>
    </row>
    <row r="5" spans="1:15" x14ac:dyDescent="0.25">
      <c r="A5" s="183"/>
      <c r="B5" s="1"/>
      <c r="C5" s="28"/>
      <c r="D5" s="1"/>
      <c r="E5" s="1"/>
      <c r="G5" s="1"/>
      <c r="H5" s="28"/>
      <c r="I5" s="25"/>
      <c r="J5" s="29"/>
      <c r="K5" s="31" t="s">
        <v>38</v>
      </c>
      <c r="L5" s="100">
        <v>6</v>
      </c>
    </row>
    <row r="6" spans="1:15" ht="18" x14ac:dyDescent="0.25">
      <c r="A6" s="528" t="s">
        <v>122</v>
      </c>
      <c r="B6" s="528"/>
      <c r="C6" s="32"/>
      <c r="D6" s="1"/>
      <c r="E6" s="4"/>
      <c r="F6" s="2"/>
      <c r="G6" s="1"/>
      <c r="H6" s="28"/>
      <c r="I6" s="25"/>
      <c r="J6" s="29"/>
      <c r="K6" s="80" t="s">
        <v>2453</v>
      </c>
      <c r="L6" s="33"/>
    </row>
    <row r="7" spans="1:15" x14ac:dyDescent="0.25">
      <c r="A7" s="6"/>
      <c r="B7" s="7"/>
      <c r="C7" s="34" t="s">
        <v>24</v>
      </c>
      <c r="D7" s="8"/>
      <c r="E7" s="8"/>
      <c r="F7" s="35" t="s">
        <v>25</v>
      </c>
      <c r="G7" s="34" t="s">
        <v>26</v>
      </c>
      <c r="H7" s="529" t="s">
        <v>27</v>
      </c>
      <c r="I7" s="530"/>
      <c r="J7" s="36"/>
      <c r="K7" s="531" t="s">
        <v>2</v>
      </c>
      <c r="L7" s="532"/>
    </row>
    <row r="8" spans="1:15" x14ac:dyDescent="0.25">
      <c r="A8" s="519" t="s">
        <v>28</v>
      </c>
      <c r="B8" s="520"/>
      <c r="C8" s="35" t="s">
        <v>29</v>
      </c>
      <c r="D8" s="184" t="s">
        <v>5</v>
      </c>
      <c r="E8" s="9" t="s">
        <v>6</v>
      </c>
      <c r="F8" s="35" t="s">
        <v>30</v>
      </c>
      <c r="G8" s="37" t="s">
        <v>31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7"/>
      <c r="B9" s="14"/>
      <c r="C9" s="35" t="s">
        <v>32</v>
      </c>
      <c r="D9" s="15"/>
      <c r="E9" s="14"/>
      <c r="F9" s="35" t="s">
        <v>33</v>
      </c>
      <c r="G9" s="37" t="s">
        <v>34</v>
      </c>
      <c r="H9" s="40" t="s">
        <v>11</v>
      </c>
      <c r="I9" s="39" t="s">
        <v>12</v>
      </c>
      <c r="J9" s="41"/>
      <c r="K9" s="184" t="s">
        <v>13</v>
      </c>
      <c r="L9" s="184" t="s">
        <v>14</v>
      </c>
    </row>
    <row r="10" spans="1:15" x14ac:dyDescent="0.25">
      <c r="A10" s="18"/>
      <c r="B10" s="19"/>
      <c r="C10" s="42"/>
      <c r="D10" s="20"/>
      <c r="E10" s="20"/>
      <c r="F10" s="43" t="s">
        <v>35</v>
      </c>
      <c r="G10" s="22"/>
      <c r="H10" s="44"/>
      <c r="I10" s="45" t="s">
        <v>36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ht="18.75" customHeight="1" x14ac:dyDescent="0.25">
      <c r="A12" s="336">
        <v>2</v>
      </c>
      <c r="B12" s="220" t="s">
        <v>2247</v>
      </c>
      <c r="C12" s="49"/>
      <c r="D12" s="220"/>
      <c r="E12" s="220" t="s">
        <v>86</v>
      </c>
      <c r="F12" s="223" t="s">
        <v>2248</v>
      </c>
      <c r="G12" s="220" t="s">
        <v>2249</v>
      </c>
      <c r="H12" s="416" t="s">
        <v>42</v>
      </c>
      <c r="I12" s="221">
        <v>5750</v>
      </c>
      <c r="J12" s="194" t="s">
        <v>255</v>
      </c>
      <c r="K12" s="79"/>
      <c r="L12" s="145" t="s">
        <v>43</v>
      </c>
    </row>
    <row r="13" spans="1:15" ht="21" customHeight="1" x14ac:dyDescent="0.25">
      <c r="A13" s="397">
        <v>9</v>
      </c>
      <c r="B13" s="220" t="s">
        <v>2289</v>
      </c>
      <c r="C13" s="49"/>
      <c r="D13" s="220"/>
      <c r="E13" s="220" t="s">
        <v>51</v>
      </c>
      <c r="F13" s="223" t="s">
        <v>2290</v>
      </c>
      <c r="G13" s="220" t="s">
        <v>2291</v>
      </c>
      <c r="H13" s="416" t="s">
        <v>42</v>
      </c>
      <c r="I13" s="221">
        <v>7000</v>
      </c>
      <c r="J13" s="194" t="s">
        <v>255</v>
      </c>
      <c r="K13" s="79"/>
      <c r="L13" s="145" t="s">
        <v>43</v>
      </c>
    </row>
    <row r="14" spans="1:15" ht="21" customHeight="1" x14ac:dyDescent="0.25">
      <c r="A14" s="417">
        <v>9</v>
      </c>
      <c r="B14" s="224" t="s">
        <v>2294</v>
      </c>
      <c r="C14" s="190"/>
      <c r="D14" s="239"/>
      <c r="E14" s="145" t="s">
        <v>72</v>
      </c>
      <c r="F14" s="240" t="s">
        <v>2295</v>
      </c>
      <c r="G14" s="415" t="s">
        <v>2296</v>
      </c>
      <c r="H14" s="192" t="s">
        <v>42</v>
      </c>
      <c r="I14" s="421">
        <v>4000</v>
      </c>
      <c r="J14" s="194" t="s">
        <v>255</v>
      </c>
      <c r="K14" s="79"/>
      <c r="L14" s="145" t="s">
        <v>43</v>
      </c>
      <c r="M14" s="132"/>
    </row>
    <row r="15" spans="1:15" ht="21" customHeight="1" x14ac:dyDescent="0.25">
      <c r="A15" s="418">
        <v>10</v>
      </c>
      <c r="B15" s="224" t="s">
        <v>1802</v>
      </c>
      <c r="C15" s="190"/>
      <c r="D15" s="239"/>
      <c r="E15" s="145" t="s">
        <v>59</v>
      </c>
      <c r="F15" s="240"/>
      <c r="G15" s="415" t="s">
        <v>1804</v>
      </c>
      <c r="H15" s="192" t="s">
        <v>42</v>
      </c>
      <c r="I15" s="421">
        <v>150</v>
      </c>
      <c r="J15" s="194" t="s">
        <v>255</v>
      </c>
      <c r="K15" s="79"/>
      <c r="L15" s="145" t="s">
        <v>43</v>
      </c>
      <c r="M15" s="132"/>
    </row>
    <row r="16" spans="1:15" ht="21.75" customHeight="1" x14ac:dyDescent="0.25">
      <c r="A16" s="417">
        <v>11</v>
      </c>
      <c r="B16" s="224" t="s">
        <v>2299</v>
      </c>
      <c r="C16" s="190"/>
      <c r="D16" s="145"/>
      <c r="E16" s="145" t="s">
        <v>84</v>
      </c>
      <c r="F16" s="191"/>
      <c r="G16" s="192" t="s">
        <v>2300</v>
      </c>
      <c r="H16" s="416" t="s">
        <v>42</v>
      </c>
      <c r="I16" s="242">
        <v>3000</v>
      </c>
      <c r="J16" s="194" t="s">
        <v>255</v>
      </c>
      <c r="K16" s="79"/>
      <c r="L16" s="145" t="s">
        <v>43</v>
      </c>
      <c r="M16" s="132"/>
      <c r="O16" s="57"/>
    </row>
    <row r="17" spans="1:15" ht="21.75" customHeight="1" x14ac:dyDescent="0.25">
      <c r="A17" s="417">
        <v>11</v>
      </c>
      <c r="B17" s="224" t="s">
        <v>2301</v>
      </c>
      <c r="C17" s="190"/>
      <c r="D17" s="192"/>
      <c r="E17" s="192" t="s">
        <v>69</v>
      </c>
      <c r="F17" s="206" t="s">
        <v>2369</v>
      </c>
      <c r="G17" s="192" t="s">
        <v>2302</v>
      </c>
      <c r="H17" s="420" t="s">
        <v>42</v>
      </c>
      <c r="I17" s="242">
        <v>2000</v>
      </c>
      <c r="J17" s="194" t="s">
        <v>255</v>
      </c>
      <c r="K17" s="80"/>
      <c r="L17" s="282" t="s">
        <v>43</v>
      </c>
      <c r="O17" s="57"/>
    </row>
    <row r="18" spans="1:15" ht="23.25" customHeight="1" x14ac:dyDescent="0.25">
      <c r="A18" s="417">
        <v>13</v>
      </c>
      <c r="B18" s="224" t="s">
        <v>2310</v>
      </c>
      <c r="C18" s="190"/>
      <c r="D18" s="192"/>
      <c r="E18" s="192" t="s">
        <v>44</v>
      </c>
      <c r="F18" s="206" t="s">
        <v>2322</v>
      </c>
      <c r="G18" s="192" t="s">
        <v>2311</v>
      </c>
      <c r="H18" s="420" t="s">
        <v>42</v>
      </c>
      <c r="I18" s="242">
        <v>4500</v>
      </c>
      <c r="J18" s="194" t="s">
        <v>255</v>
      </c>
      <c r="K18" s="80"/>
      <c r="L18" s="282" t="s">
        <v>43</v>
      </c>
      <c r="O18" s="57"/>
    </row>
    <row r="19" spans="1:15" ht="22.5" customHeight="1" x14ac:dyDescent="0.25">
      <c r="A19" s="422">
        <v>13</v>
      </c>
      <c r="B19" s="224" t="s">
        <v>1802</v>
      </c>
      <c r="C19" s="190"/>
      <c r="D19" s="239"/>
      <c r="E19" s="145" t="s">
        <v>59</v>
      </c>
      <c r="F19" s="240"/>
      <c r="G19" s="415" t="s">
        <v>1804</v>
      </c>
      <c r="H19" s="420" t="s">
        <v>42</v>
      </c>
      <c r="I19" s="419">
        <v>2500</v>
      </c>
      <c r="J19" s="225" t="s">
        <v>255</v>
      </c>
      <c r="K19" s="79"/>
      <c r="L19" s="79" t="s">
        <v>43</v>
      </c>
      <c r="O19" s="57"/>
    </row>
    <row r="20" spans="1:15" ht="16.5" customHeight="1" x14ac:dyDescent="0.25">
      <c r="A20" s="422">
        <v>20</v>
      </c>
      <c r="B20" s="224" t="s">
        <v>2408</v>
      </c>
      <c r="C20" s="192"/>
      <c r="D20" s="192"/>
      <c r="E20" s="192" t="s">
        <v>46</v>
      </c>
      <c r="F20" s="223" t="s">
        <v>2409</v>
      </c>
      <c r="G20" s="192" t="s">
        <v>2410</v>
      </c>
      <c r="H20" s="420" t="s">
        <v>42</v>
      </c>
      <c r="I20" s="419">
        <v>6000</v>
      </c>
      <c r="J20" s="225" t="s">
        <v>255</v>
      </c>
      <c r="K20" s="79"/>
      <c r="L20" s="79" t="s">
        <v>43</v>
      </c>
      <c r="O20" s="57"/>
    </row>
    <row r="21" spans="1:15" ht="29.25" customHeight="1" x14ac:dyDescent="0.25">
      <c r="A21" s="417">
        <v>24</v>
      </c>
      <c r="B21" s="224" t="s">
        <v>2430</v>
      </c>
      <c r="C21" s="192"/>
      <c r="D21" s="192"/>
      <c r="E21" s="192" t="s">
        <v>47</v>
      </c>
      <c r="F21" s="223" t="s">
        <v>830</v>
      </c>
      <c r="G21" s="300" t="s">
        <v>829</v>
      </c>
      <c r="H21" s="420" t="s">
        <v>42</v>
      </c>
      <c r="I21" s="419">
        <v>4000</v>
      </c>
      <c r="J21" s="225" t="s">
        <v>255</v>
      </c>
      <c r="K21" s="79"/>
      <c r="L21" s="79" t="s">
        <v>43</v>
      </c>
      <c r="O21" s="57"/>
    </row>
    <row r="22" spans="1:15" ht="30" customHeight="1" x14ac:dyDescent="0.25">
      <c r="A22" s="422">
        <v>25</v>
      </c>
      <c r="B22" s="224" t="s">
        <v>2437</v>
      </c>
      <c r="C22" s="192"/>
      <c r="D22" s="192"/>
      <c r="E22" s="192" t="s">
        <v>57</v>
      </c>
      <c r="F22" s="223" t="s">
        <v>1536</v>
      </c>
      <c r="G22" s="300" t="s">
        <v>1535</v>
      </c>
      <c r="H22" s="420" t="s">
        <v>42</v>
      </c>
      <c r="I22" s="419">
        <v>3000</v>
      </c>
      <c r="J22" s="225" t="s">
        <v>255</v>
      </c>
      <c r="K22" s="79"/>
      <c r="L22" s="79" t="s">
        <v>43</v>
      </c>
      <c r="O22" s="57"/>
    </row>
    <row r="23" spans="1:15" ht="27.75" customHeight="1" x14ac:dyDescent="0.25">
      <c r="A23" s="418">
        <v>27</v>
      </c>
      <c r="B23" s="224" t="s">
        <v>2454</v>
      </c>
      <c r="C23" s="192"/>
      <c r="D23" s="224" t="s">
        <v>2455</v>
      </c>
      <c r="E23" s="192" t="s">
        <v>89</v>
      </c>
      <c r="F23" s="223" t="s">
        <v>2456</v>
      </c>
      <c r="G23" s="192" t="s">
        <v>2457</v>
      </c>
      <c r="H23" s="420" t="s">
        <v>42</v>
      </c>
      <c r="I23" s="419">
        <v>21350</v>
      </c>
      <c r="J23" s="225" t="s">
        <v>255</v>
      </c>
      <c r="K23" s="79"/>
      <c r="L23" s="79" t="s">
        <v>43</v>
      </c>
      <c r="O23" s="57"/>
    </row>
    <row r="24" spans="1:15" ht="24.75" customHeight="1" x14ac:dyDescent="0.25">
      <c r="A24" s="418"/>
      <c r="B24" s="224"/>
      <c r="C24" s="192"/>
      <c r="D24" s="192"/>
      <c r="E24" s="192"/>
      <c r="F24" s="223"/>
      <c r="G24" s="192"/>
      <c r="H24" s="420"/>
      <c r="I24" s="419"/>
      <c r="J24" s="225"/>
      <c r="K24" s="79"/>
      <c r="L24" s="79"/>
      <c r="O24" s="57"/>
    </row>
    <row r="25" spans="1:15" ht="39.75" customHeight="1" x14ac:dyDescent="0.25">
      <c r="A25" s="189"/>
      <c r="B25" s="224"/>
      <c r="C25" s="189"/>
      <c r="D25" s="192"/>
      <c r="E25" s="192"/>
      <c r="F25" s="223"/>
      <c r="G25" s="192"/>
      <c r="H25" s="420"/>
      <c r="I25" s="419"/>
      <c r="J25" s="190"/>
      <c r="K25" s="79"/>
      <c r="L25" s="79"/>
      <c r="O25" s="57"/>
    </row>
    <row r="26" spans="1:15" x14ac:dyDescent="0.25">
      <c r="F26" s="25"/>
      <c r="I26" s="26"/>
      <c r="J26" s="26"/>
    </row>
    <row r="27" spans="1:15" x14ac:dyDescent="0.25">
      <c r="I27" s="51" t="s">
        <v>19</v>
      </c>
      <c r="J27" s="26"/>
    </row>
    <row r="28" spans="1:15" x14ac:dyDescent="0.25">
      <c r="I28" s="26" t="s">
        <v>114</v>
      </c>
      <c r="J28" s="402"/>
      <c r="L28" s="25">
        <f>SUM(I12:I23)</f>
        <v>63250</v>
      </c>
    </row>
    <row r="29" spans="1:15" x14ac:dyDescent="0.25">
      <c r="B29" t="s">
        <v>20</v>
      </c>
      <c r="E29" t="s">
        <v>21</v>
      </c>
      <c r="I29" s="26" t="s">
        <v>115</v>
      </c>
      <c r="J29" s="99">
        <v>12</v>
      </c>
    </row>
    <row r="30" spans="1:15" x14ac:dyDescent="0.25">
      <c r="I30" s="26" t="s">
        <v>184</v>
      </c>
      <c r="J30" s="99">
        <v>63250</v>
      </c>
      <c r="L30" s="25"/>
    </row>
    <row r="31" spans="1:15" x14ac:dyDescent="0.25">
      <c r="I31" s="26" t="s">
        <v>589</v>
      </c>
      <c r="J31" s="99"/>
    </row>
    <row r="32" spans="1:15" x14ac:dyDescent="0.25">
      <c r="I32" s="26" t="s">
        <v>116</v>
      </c>
      <c r="J32" s="99"/>
    </row>
    <row r="33" spans="2:12" x14ac:dyDescent="0.25">
      <c r="I33" s="26" t="s">
        <v>118</v>
      </c>
      <c r="J33" s="97"/>
    </row>
    <row r="34" spans="2:12" x14ac:dyDescent="0.25">
      <c r="B34" s="27" t="s">
        <v>538</v>
      </c>
      <c r="E34" s="521" t="s">
        <v>941</v>
      </c>
      <c r="F34" s="521"/>
      <c r="G34" s="521"/>
      <c r="H34" s="521"/>
      <c r="I34" s="26" t="s">
        <v>119</v>
      </c>
      <c r="J34" s="99"/>
      <c r="L34" s="57"/>
    </row>
    <row r="35" spans="2:12" x14ac:dyDescent="0.25">
      <c r="B35" t="s">
        <v>183</v>
      </c>
      <c r="E35" s="522" t="s">
        <v>942</v>
      </c>
      <c r="F35" s="522"/>
      <c r="G35" s="522"/>
      <c r="H35" s="522"/>
      <c r="I35" s="26" t="s">
        <v>120</v>
      </c>
      <c r="J35" s="97"/>
      <c r="L35" s="57"/>
    </row>
    <row r="36" spans="2:12" x14ac:dyDescent="0.25">
      <c r="I36" s="26" t="s">
        <v>23</v>
      </c>
      <c r="J36" s="98"/>
    </row>
    <row r="37" spans="2:12" x14ac:dyDescent="0.25">
      <c r="I37" s="3" t="s">
        <v>121</v>
      </c>
      <c r="J37" s="99"/>
    </row>
    <row r="38" spans="2:12" x14ac:dyDescent="0.25">
      <c r="I38" s="3" t="s">
        <v>91</v>
      </c>
      <c r="J38" s="99"/>
    </row>
  </sheetData>
  <mergeCells count="9">
    <mergeCell ref="A8:B8"/>
    <mergeCell ref="E34:H34"/>
    <mergeCell ref="E35:H35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85" orientation="landscape" r:id="rId1"/>
  <rowBreaks count="1" manualBreakCount="1">
    <brk id="34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2F1C-9BC0-41BA-B7B6-8BC314A2EA39}">
  <sheetPr>
    <tabColor theme="5"/>
  </sheetPr>
  <dimension ref="A1:S372"/>
  <sheetViews>
    <sheetView view="pageBreakPreview" topLeftCell="A169" zoomScale="106" zoomScaleNormal="100" zoomScaleSheetLayoutView="106" workbookViewId="0">
      <selection activeCell="H186" sqref="H186"/>
    </sheetView>
  </sheetViews>
  <sheetFormatPr defaultRowHeight="15" x14ac:dyDescent="0.25"/>
  <cols>
    <col min="1" max="1" width="4.7109375" style="183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91" customWidth="1"/>
    <col min="10" max="10" width="9.5703125" customWidth="1"/>
    <col min="11" max="11" width="17.85546875" customWidth="1"/>
    <col min="15" max="15" width="14.5703125" customWidth="1"/>
    <col min="16" max="16" width="20" customWidth="1"/>
  </cols>
  <sheetData>
    <row r="1" spans="1:19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</row>
    <row r="2" spans="1:19" ht="18" x14ac:dyDescent="0.25">
      <c r="A2" s="524" t="s">
        <v>2221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</row>
    <row r="3" spans="1:19" x14ac:dyDescent="0.25">
      <c r="B3" s="1"/>
      <c r="C3" s="3"/>
      <c r="D3" s="1"/>
      <c r="E3" s="1"/>
      <c r="G3" s="3"/>
      <c r="H3" s="67"/>
      <c r="I3" s="81"/>
      <c r="J3" s="82" t="s">
        <v>2452</v>
      </c>
      <c r="K3" s="83"/>
      <c r="P3" s="448">
        <f>SUM(I12:I22,I25:I32,I35:I38,I40:I41,I43:I46,I50:I67,I71,I73:I75,I77:I80,I82:I92,I93,I94:I106,I109:I122,I124:I154,I156:I173,I180:I181)</f>
        <v>96808</v>
      </c>
    </row>
    <row r="4" spans="1:19" x14ac:dyDescent="0.25">
      <c r="B4" s="1"/>
      <c r="C4" s="3"/>
      <c r="D4" s="1"/>
      <c r="E4" s="1"/>
      <c r="G4" s="3"/>
      <c r="H4" s="67"/>
      <c r="I4" s="84"/>
      <c r="J4" s="76" t="s">
        <v>93</v>
      </c>
      <c r="K4" s="96">
        <v>114</v>
      </c>
    </row>
    <row r="5" spans="1:19" x14ac:dyDescent="0.25">
      <c r="B5" s="1"/>
      <c r="C5" s="3"/>
      <c r="D5" s="1"/>
      <c r="E5" s="1"/>
      <c r="G5" s="3"/>
      <c r="H5" s="67"/>
      <c r="I5" s="84"/>
      <c r="J5" s="76" t="s">
        <v>95</v>
      </c>
      <c r="K5" s="96">
        <v>27</v>
      </c>
    </row>
    <row r="6" spans="1:19" x14ac:dyDescent="0.25">
      <c r="A6" s="534" t="s">
        <v>123</v>
      </c>
      <c r="B6" s="534"/>
      <c r="C6" s="3"/>
      <c r="D6" s="1"/>
      <c r="E6" s="4"/>
      <c r="G6" s="3"/>
      <c r="H6" s="67"/>
      <c r="I6" s="81"/>
      <c r="J6" s="80" t="s">
        <v>2218</v>
      </c>
      <c r="K6" s="85"/>
    </row>
    <row r="7" spans="1:19" x14ac:dyDescent="0.25">
      <c r="A7" s="6"/>
      <c r="B7" s="7"/>
      <c r="C7" s="64"/>
      <c r="D7" s="8"/>
      <c r="E7" s="8"/>
      <c r="F7" s="529" t="s">
        <v>1</v>
      </c>
      <c r="G7" s="535"/>
      <c r="H7" s="530"/>
      <c r="I7" s="86"/>
      <c r="J7" s="531" t="s">
        <v>2</v>
      </c>
      <c r="K7" s="532"/>
      <c r="P7" s="25"/>
    </row>
    <row r="8" spans="1:19" x14ac:dyDescent="0.25">
      <c r="A8" s="519" t="s">
        <v>3</v>
      </c>
      <c r="B8" s="520"/>
      <c r="C8" s="17" t="s">
        <v>4</v>
      </c>
      <c r="D8" s="184" t="s">
        <v>5</v>
      </c>
      <c r="E8" s="9" t="s">
        <v>6</v>
      </c>
      <c r="F8" s="10" t="s">
        <v>7</v>
      </c>
      <c r="G8" s="65"/>
      <c r="H8" s="11" t="s">
        <v>8</v>
      </c>
      <c r="I8" s="60" t="s">
        <v>9</v>
      </c>
      <c r="J8" s="77"/>
      <c r="K8" s="13"/>
    </row>
    <row r="9" spans="1:19" x14ac:dyDescent="0.25">
      <c r="A9" s="87"/>
      <c r="B9" s="14"/>
      <c r="C9" s="65"/>
      <c r="D9" s="15"/>
      <c r="E9" s="14"/>
      <c r="F9" s="16" t="s">
        <v>10</v>
      </c>
      <c r="G9" s="17" t="s">
        <v>11</v>
      </c>
      <c r="H9" s="11" t="s">
        <v>12</v>
      </c>
      <c r="I9" s="88"/>
      <c r="J9" s="184" t="s">
        <v>13</v>
      </c>
      <c r="K9" s="184" t="s">
        <v>14</v>
      </c>
      <c r="Q9" s="232"/>
    </row>
    <row r="10" spans="1:19" x14ac:dyDescent="0.25">
      <c r="A10" s="18"/>
      <c r="B10" s="19"/>
      <c r="C10" s="66"/>
      <c r="D10" s="20"/>
      <c r="E10" s="20"/>
      <c r="F10" s="21"/>
      <c r="G10" s="68"/>
      <c r="H10" s="69" t="s">
        <v>15</v>
      </c>
      <c r="I10" s="89"/>
      <c r="J10" s="21"/>
      <c r="K10" s="22" t="s">
        <v>16</v>
      </c>
      <c r="P10" s="232"/>
      <c r="Q10" s="232"/>
    </row>
    <row r="11" spans="1:19" x14ac:dyDescent="0.25">
      <c r="A11" s="47" t="s">
        <v>17</v>
      </c>
      <c r="B11" s="23"/>
      <c r="C11" s="23"/>
      <c r="D11" s="23"/>
      <c r="E11" s="23"/>
      <c r="F11" s="23"/>
      <c r="G11" s="23"/>
      <c r="H11" s="23"/>
      <c r="I11" s="61"/>
      <c r="J11" s="23"/>
      <c r="K11" s="23"/>
      <c r="O11" s="399" t="s">
        <v>2267</v>
      </c>
      <c r="P11" s="232"/>
      <c r="Q11" s="400" t="s">
        <v>2268</v>
      </c>
      <c r="R11" s="401" t="s">
        <v>48</v>
      </c>
      <c r="S11" t="s">
        <v>2315</v>
      </c>
    </row>
    <row r="12" spans="1:19" x14ac:dyDescent="0.25">
      <c r="A12" s="203">
        <v>2</v>
      </c>
      <c r="B12" s="205" t="s">
        <v>2222</v>
      </c>
      <c r="C12" s="205" t="s">
        <v>40</v>
      </c>
      <c r="D12" s="205" t="s">
        <v>451</v>
      </c>
      <c r="E12" s="205" t="s">
        <v>49</v>
      </c>
      <c r="F12" s="206" t="s">
        <v>2223</v>
      </c>
      <c r="G12" s="208" t="s">
        <v>42</v>
      </c>
      <c r="H12" s="207">
        <v>8000</v>
      </c>
      <c r="I12" s="204">
        <v>3200</v>
      </c>
      <c r="J12" s="205" t="s">
        <v>179</v>
      </c>
      <c r="K12" s="205" t="s">
        <v>43</v>
      </c>
      <c r="M12">
        <f t="shared" ref="M12:M181" si="0">H12/5</f>
        <v>1600</v>
      </c>
      <c r="O12" s="377" t="s">
        <v>42</v>
      </c>
      <c r="P12" s="232">
        <f>SUM(H12:H16,H23,H26:H27,H30:H31,H33,H35:H36,H39:H40,H42:H45,H47:H48)</f>
        <v>49570</v>
      </c>
      <c r="Q12">
        <v>14</v>
      </c>
      <c r="R12">
        <v>5</v>
      </c>
      <c r="S12" t="s">
        <v>2316</v>
      </c>
    </row>
    <row r="13" spans="1:19" x14ac:dyDescent="0.25">
      <c r="A13" s="203">
        <v>2</v>
      </c>
      <c r="B13" s="205" t="s">
        <v>2224</v>
      </c>
      <c r="C13" s="205" t="s">
        <v>40</v>
      </c>
      <c r="D13" s="205" t="s">
        <v>890</v>
      </c>
      <c r="E13" s="205" t="s">
        <v>60</v>
      </c>
      <c r="F13" s="206" t="s">
        <v>2225</v>
      </c>
      <c r="G13" s="208" t="s">
        <v>42</v>
      </c>
      <c r="H13" s="207">
        <v>500</v>
      </c>
      <c r="I13" s="204">
        <v>100</v>
      </c>
      <c r="J13" s="205" t="s">
        <v>179</v>
      </c>
      <c r="K13" s="205" t="s">
        <v>43</v>
      </c>
      <c r="M13">
        <f t="shared" si="0"/>
        <v>100</v>
      </c>
      <c r="O13" s="377" t="s">
        <v>1146</v>
      </c>
      <c r="P13" s="232">
        <v>220</v>
      </c>
      <c r="R13">
        <v>1</v>
      </c>
    </row>
    <row r="14" spans="1:19" x14ac:dyDescent="0.25">
      <c r="A14" s="203">
        <v>2</v>
      </c>
      <c r="B14" s="205" t="s">
        <v>2226</v>
      </c>
      <c r="C14" s="205" t="s">
        <v>40</v>
      </c>
      <c r="D14" s="205"/>
      <c r="E14" s="205" t="s">
        <v>50</v>
      </c>
      <c r="F14" s="206" t="s">
        <v>2227</v>
      </c>
      <c r="G14" s="208" t="s">
        <v>42</v>
      </c>
      <c r="H14" s="207">
        <v>6000</v>
      </c>
      <c r="I14" s="204">
        <v>2400</v>
      </c>
      <c r="J14" s="205" t="s">
        <v>179</v>
      </c>
      <c r="K14" s="205" t="s">
        <v>43</v>
      </c>
      <c r="M14">
        <f t="shared" si="0"/>
        <v>1200</v>
      </c>
      <c r="O14" s="377" t="s">
        <v>180</v>
      </c>
      <c r="P14" s="232">
        <f>SUM(H18,H21)</f>
        <v>700</v>
      </c>
      <c r="Q14">
        <v>2</v>
      </c>
    </row>
    <row r="15" spans="1:19" x14ac:dyDescent="0.25">
      <c r="A15" s="203">
        <v>2</v>
      </c>
      <c r="B15" s="205" t="s">
        <v>928</v>
      </c>
      <c r="C15" s="205" t="s">
        <v>40</v>
      </c>
      <c r="D15" s="205" t="s">
        <v>380</v>
      </c>
      <c r="E15" s="205" t="s">
        <v>45</v>
      </c>
      <c r="F15" s="206"/>
      <c r="G15" s="208" t="s">
        <v>42</v>
      </c>
      <c r="H15" s="207">
        <v>6000</v>
      </c>
      <c r="I15" s="204">
        <v>1200</v>
      </c>
      <c r="J15" s="205" t="s">
        <v>179</v>
      </c>
      <c r="K15" s="205" t="s">
        <v>43</v>
      </c>
      <c r="M15">
        <f t="shared" si="0"/>
        <v>1200</v>
      </c>
      <c r="O15" s="378" t="s">
        <v>163</v>
      </c>
      <c r="P15" s="232">
        <f>SUM(H17,H20,H22,H24:H25,H28:H29,H38,H41,H46,H49)</f>
        <v>10860</v>
      </c>
      <c r="Q15">
        <v>11</v>
      </c>
    </row>
    <row r="16" spans="1:19" x14ac:dyDescent="0.25">
      <c r="A16" s="203">
        <v>2</v>
      </c>
      <c r="B16" s="205" t="s">
        <v>1890</v>
      </c>
      <c r="C16" s="205" t="s">
        <v>40</v>
      </c>
      <c r="D16" s="205" t="s">
        <v>158</v>
      </c>
      <c r="E16" s="205" t="s">
        <v>57</v>
      </c>
      <c r="F16" s="206"/>
      <c r="G16" s="208" t="s">
        <v>42</v>
      </c>
      <c r="H16" s="207">
        <v>1000</v>
      </c>
      <c r="I16" s="204">
        <v>200</v>
      </c>
      <c r="J16" s="205" t="s">
        <v>179</v>
      </c>
      <c r="K16" s="205" t="s">
        <v>43</v>
      </c>
      <c r="M16">
        <f t="shared" si="0"/>
        <v>200</v>
      </c>
      <c r="O16" s="378" t="s">
        <v>162</v>
      </c>
      <c r="P16" s="232">
        <f>SUM(H19,H32,H37)</f>
        <v>94</v>
      </c>
      <c r="Q16">
        <v>2</v>
      </c>
      <c r="R16">
        <v>1</v>
      </c>
    </row>
    <row r="17" spans="1:19" x14ac:dyDescent="0.25">
      <c r="A17" s="203">
        <v>2</v>
      </c>
      <c r="B17" s="205" t="s">
        <v>1890</v>
      </c>
      <c r="C17" s="205" t="s">
        <v>40</v>
      </c>
      <c r="D17" s="205" t="s">
        <v>158</v>
      </c>
      <c r="E17" s="205" t="s">
        <v>57</v>
      </c>
      <c r="F17" s="206"/>
      <c r="G17" s="393" t="s">
        <v>163</v>
      </c>
      <c r="H17" s="207">
        <v>200</v>
      </c>
      <c r="I17" s="204">
        <v>200</v>
      </c>
      <c r="J17" s="205" t="s">
        <v>179</v>
      </c>
      <c r="K17" s="205" t="s">
        <v>43</v>
      </c>
      <c r="M17">
        <f t="shared" si="0"/>
        <v>40</v>
      </c>
      <c r="O17" s="399" t="s">
        <v>2314</v>
      </c>
      <c r="P17" s="232"/>
    </row>
    <row r="18" spans="1:19" x14ac:dyDescent="0.25">
      <c r="A18" s="203">
        <v>2</v>
      </c>
      <c r="B18" s="205" t="s">
        <v>2228</v>
      </c>
      <c r="C18" s="205" t="s">
        <v>40</v>
      </c>
      <c r="D18" s="205" t="s">
        <v>1412</v>
      </c>
      <c r="E18" s="205" t="s">
        <v>65</v>
      </c>
      <c r="F18" s="206" t="s">
        <v>2229</v>
      </c>
      <c r="G18" s="394" t="s">
        <v>180</v>
      </c>
      <c r="H18" s="207">
        <v>200</v>
      </c>
      <c r="I18" s="204">
        <v>100</v>
      </c>
      <c r="J18" s="205" t="s">
        <v>179</v>
      </c>
      <c r="K18" s="205" t="s">
        <v>43</v>
      </c>
      <c r="M18">
        <f t="shared" si="0"/>
        <v>40</v>
      </c>
      <c r="O18" s="377" t="s">
        <v>42</v>
      </c>
      <c r="P18" s="233">
        <v>41730</v>
      </c>
      <c r="Q18" s="25">
        <v>10</v>
      </c>
      <c r="R18">
        <v>4</v>
      </c>
      <c r="S18" t="s">
        <v>2317</v>
      </c>
    </row>
    <row r="19" spans="1:19" x14ac:dyDescent="0.25">
      <c r="A19" s="203">
        <v>2</v>
      </c>
      <c r="B19" s="205" t="s">
        <v>2228</v>
      </c>
      <c r="C19" s="205" t="s">
        <v>40</v>
      </c>
      <c r="D19" s="205" t="s">
        <v>1412</v>
      </c>
      <c r="E19" s="205" t="s">
        <v>65</v>
      </c>
      <c r="F19" s="206" t="s">
        <v>2229</v>
      </c>
      <c r="G19" s="395" t="s">
        <v>162</v>
      </c>
      <c r="H19" s="207">
        <v>50</v>
      </c>
      <c r="I19" s="204">
        <v>250</v>
      </c>
      <c r="J19" s="205" t="s">
        <v>179</v>
      </c>
      <c r="K19" s="205" t="s">
        <v>43</v>
      </c>
      <c r="M19">
        <f t="shared" si="0"/>
        <v>10</v>
      </c>
      <c r="O19" s="377" t="s">
        <v>180</v>
      </c>
      <c r="P19" s="232">
        <f>SUM(H54,H67,H73)</f>
        <v>1000</v>
      </c>
      <c r="Q19">
        <v>2</v>
      </c>
      <c r="R19">
        <v>1</v>
      </c>
    </row>
    <row r="20" spans="1:19" x14ac:dyDescent="0.25">
      <c r="A20" s="203">
        <v>2</v>
      </c>
      <c r="B20" s="205" t="s">
        <v>2228</v>
      </c>
      <c r="C20" s="205" t="s">
        <v>40</v>
      </c>
      <c r="D20" s="205" t="s">
        <v>1412</v>
      </c>
      <c r="E20" s="205" t="s">
        <v>65</v>
      </c>
      <c r="F20" s="206" t="s">
        <v>2229</v>
      </c>
      <c r="G20" s="393" t="s">
        <v>163</v>
      </c>
      <c r="H20" s="207">
        <v>150</v>
      </c>
      <c r="I20" s="204">
        <v>150</v>
      </c>
      <c r="J20" s="205" t="s">
        <v>179</v>
      </c>
      <c r="K20" s="205" t="s">
        <v>43</v>
      </c>
      <c r="M20">
        <f t="shared" si="0"/>
        <v>30</v>
      </c>
      <c r="O20" s="378" t="s">
        <v>163</v>
      </c>
      <c r="P20" s="232">
        <v>11750</v>
      </c>
      <c r="Q20">
        <v>12</v>
      </c>
      <c r="R20">
        <v>1</v>
      </c>
    </row>
    <row r="21" spans="1:19" x14ac:dyDescent="0.25">
      <c r="A21" s="203">
        <v>2</v>
      </c>
      <c r="B21" s="205" t="s">
        <v>2230</v>
      </c>
      <c r="C21" s="205" t="s">
        <v>40</v>
      </c>
      <c r="D21" s="205" t="s">
        <v>1176</v>
      </c>
      <c r="E21" s="205" t="s">
        <v>44</v>
      </c>
      <c r="F21" s="206" t="s">
        <v>2231</v>
      </c>
      <c r="G21" s="394" t="s">
        <v>180</v>
      </c>
      <c r="H21" s="207">
        <v>500</v>
      </c>
      <c r="I21" s="204">
        <v>250</v>
      </c>
      <c r="J21" s="205" t="s">
        <v>179</v>
      </c>
      <c r="K21" s="205" t="s">
        <v>43</v>
      </c>
      <c r="M21">
        <f t="shared" si="0"/>
        <v>100</v>
      </c>
      <c r="O21" s="378" t="s">
        <v>162</v>
      </c>
      <c r="P21" s="232">
        <v>5</v>
      </c>
      <c r="Q21">
        <v>1</v>
      </c>
    </row>
    <row r="22" spans="1:19" x14ac:dyDescent="0.25">
      <c r="A22" s="203">
        <v>2</v>
      </c>
      <c r="B22" s="205" t="s">
        <v>1978</v>
      </c>
      <c r="C22" s="205" t="s">
        <v>40</v>
      </c>
      <c r="D22" s="205" t="s">
        <v>1176</v>
      </c>
      <c r="E22" s="205" t="s">
        <v>59</v>
      </c>
      <c r="F22" s="206"/>
      <c r="G22" s="393" t="s">
        <v>163</v>
      </c>
      <c r="H22" s="207">
        <v>4000</v>
      </c>
      <c r="I22" s="204">
        <v>4000</v>
      </c>
      <c r="J22" s="205" t="s">
        <v>179</v>
      </c>
      <c r="K22" s="205" t="s">
        <v>43</v>
      </c>
      <c r="M22">
        <f t="shared" si="0"/>
        <v>800</v>
      </c>
      <c r="O22" s="377" t="s">
        <v>1146</v>
      </c>
      <c r="P22" s="232">
        <v>210</v>
      </c>
      <c r="Q22">
        <v>1</v>
      </c>
    </row>
    <row r="23" spans="1:19" x14ac:dyDescent="0.25">
      <c r="A23" s="203">
        <v>2</v>
      </c>
      <c r="B23" s="205" t="s">
        <v>2232</v>
      </c>
      <c r="C23" s="205" t="s">
        <v>40</v>
      </c>
      <c r="D23" s="205" t="s">
        <v>141</v>
      </c>
      <c r="E23" s="205" t="s">
        <v>45</v>
      </c>
      <c r="F23" s="206"/>
      <c r="G23" s="208" t="s">
        <v>42</v>
      </c>
      <c r="H23" s="207">
        <v>1000</v>
      </c>
      <c r="I23" s="204" t="s">
        <v>255</v>
      </c>
      <c r="J23" s="205" t="s">
        <v>179</v>
      </c>
      <c r="K23" s="205" t="s">
        <v>43</v>
      </c>
      <c r="M23">
        <f t="shared" si="0"/>
        <v>200</v>
      </c>
      <c r="O23" s="399" t="s">
        <v>2395</v>
      </c>
      <c r="P23" s="233"/>
    </row>
    <row r="24" spans="1:19" x14ac:dyDescent="0.25">
      <c r="A24" s="203">
        <v>2</v>
      </c>
      <c r="B24" s="205" t="s">
        <v>2232</v>
      </c>
      <c r="C24" s="205" t="s">
        <v>40</v>
      </c>
      <c r="D24" s="205" t="s">
        <v>141</v>
      </c>
      <c r="E24" s="205" t="s">
        <v>45</v>
      </c>
      <c r="F24" s="206"/>
      <c r="G24" s="393" t="s">
        <v>163</v>
      </c>
      <c r="H24" s="207">
        <v>1000</v>
      </c>
      <c r="I24" s="204" t="s">
        <v>255</v>
      </c>
      <c r="J24" s="205" t="s">
        <v>179</v>
      </c>
      <c r="K24" s="205" t="s">
        <v>43</v>
      </c>
      <c r="M24">
        <f t="shared" si="0"/>
        <v>200</v>
      </c>
      <c r="O24" s="377" t="s">
        <v>42</v>
      </c>
      <c r="P24" s="233">
        <f>SUM(H84,H87,H90,H92:H94,H96:H97,H99,H102:H103,H106:H112,H114,H116:H117,H121:H126,H128:H134,H136:H142,H144)</f>
        <v>123020</v>
      </c>
      <c r="Q24">
        <v>35</v>
      </c>
      <c r="R24">
        <v>7</v>
      </c>
    </row>
    <row r="25" spans="1:19" x14ac:dyDescent="0.25">
      <c r="A25" s="203">
        <v>2</v>
      </c>
      <c r="B25" s="205" t="s">
        <v>2233</v>
      </c>
      <c r="C25" s="205" t="s">
        <v>40</v>
      </c>
      <c r="D25" s="205" t="s">
        <v>1392</v>
      </c>
      <c r="E25" s="205" t="s">
        <v>59</v>
      </c>
      <c r="F25" s="206" t="s">
        <v>2234</v>
      </c>
      <c r="G25" s="393" t="s">
        <v>163</v>
      </c>
      <c r="H25" s="207">
        <v>500</v>
      </c>
      <c r="I25" s="204">
        <v>500</v>
      </c>
      <c r="J25" s="205" t="s">
        <v>179</v>
      </c>
      <c r="K25" s="205" t="s">
        <v>43</v>
      </c>
      <c r="M25">
        <f t="shared" si="0"/>
        <v>100</v>
      </c>
      <c r="O25" s="377" t="s">
        <v>180</v>
      </c>
      <c r="P25" s="25">
        <f>SUM(H85,H98,H104,H118,H135,H143,)</f>
        <v>5300</v>
      </c>
      <c r="Q25" s="25">
        <v>5</v>
      </c>
      <c r="R25">
        <v>1</v>
      </c>
    </row>
    <row r="26" spans="1:19" x14ac:dyDescent="0.25">
      <c r="A26" s="203">
        <v>2</v>
      </c>
      <c r="B26" s="205" t="s">
        <v>2235</v>
      </c>
      <c r="C26" s="205" t="s">
        <v>40</v>
      </c>
      <c r="D26" s="205" t="s">
        <v>380</v>
      </c>
      <c r="E26" s="205" t="s">
        <v>45</v>
      </c>
      <c r="F26" s="206"/>
      <c r="G26" s="208" t="s">
        <v>42</v>
      </c>
      <c r="H26" s="207">
        <v>500</v>
      </c>
      <c r="I26" s="204">
        <v>100</v>
      </c>
      <c r="J26" s="205" t="s">
        <v>179</v>
      </c>
      <c r="K26" s="205" t="s">
        <v>43</v>
      </c>
      <c r="M26">
        <f t="shared" si="0"/>
        <v>100</v>
      </c>
      <c r="O26" s="377" t="s">
        <v>163</v>
      </c>
      <c r="P26" s="25">
        <f>SUM(H82:H83,H86,H88:H89,H91,H95,H105,H115,H119:H120,H127)</f>
        <v>11250</v>
      </c>
      <c r="Q26" s="25">
        <v>10</v>
      </c>
      <c r="R26">
        <v>2</v>
      </c>
    </row>
    <row r="27" spans="1:19" x14ac:dyDescent="0.25">
      <c r="A27" s="203">
        <v>2</v>
      </c>
      <c r="B27" s="205" t="s">
        <v>2236</v>
      </c>
      <c r="C27" s="205" t="s">
        <v>40</v>
      </c>
      <c r="D27" s="205" t="s">
        <v>2091</v>
      </c>
      <c r="E27" s="205" t="s">
        <v>58</v>
      </c>
      <c r="F27" s="206"/>
      <c r="G27" s="208" t="s">
        <v>42</v>
      </c>
      <c r="H27" s="207">
        <v>1000</v>
      </c>
      <c r="I27" s="204">
        <v>200</v>
      </c>
      <c r="J27" s="205" t="s">
        <v>179</v>
      </c>
      <c r="K27" s="205" t="s">
        <v>43</v>
      </c>
      <c r="M27">
        <f t="shared" si="0"/>
        <v>200</v>
      </c>
      <c r="O27" s="380" t="s">
        <v>162</v>
      </c>
      <c r="P27" s="25">
        <f>SUM(H100:H101,H113,H145)</f>
        <v>185</v>
      </c>
      <c r="Q27">
        <v>2</v>
      </c>
      <c r="R27">
        <v>2</v>
      </c>
    </row>
    <row r="28" spans="1:19" x14ac:dyDescent="0.25">
      <c r="A28" s="203">
        <v>2</v>
      </c>
      <c r="B28" s="205" t="s">
        <v>2236</v>
      </c>
      <c r="C28" s="205" t="s">
        <v>40</v>
      </c>
      <c r="D28" s="205" t="s">
        <v>2091</v>
      </c>
      <c r="E28" s="205" t="s">
        <v>58</v>
      </c>
      <c r="F28" s="206"/>
      <c r="G28" s="393" t="s">
        <v>163</v>
      </c>
      <c r="H28" s="207">
        <v>10</v>
      </c>
      <c r="I28" s="204">
        <v>10</v>
      </c>
      <c r="J28" s="205" t="s">
        <v>179</v>
      </c>
      <c r="K28" s="205" t="s">
        <v>43</v>
      </c>
      <c r="M28">
        <f t="shared" si="0"/>
        <v>2</v>
      </c>
      <c r="O28" s="399" t="s">
        <v>2411</v>
      </c>
      <c r="P28" s="25"/>
    </row>
    <row r="29" spans="1:19" x14ac:dyDescent="0.25">
      <c r="A29" s="203">
        <v>2</v>
      </c>
      <c r="B29" s="205" t="s">
        <v>2237</v>
      </c>
      <c r="C29" s="205" t="s">
        <v>40</v>
      </c>
      <c r="D29" s="205"/>
      <c r="E29" s="205" t="s">
        <v>44</v>
      </c>
      <c r="F29" s="206"/>
      <c r="G29" s="393" t="s">
        <v>163</v>
      </c>
      <c r="H29" s="207">
        <v>1500</v>
      </c>
      <c r="I29" s="204">
        <v>1500</v>
      </c>
      <c r="J29" s="205" t="s">
        <v>179</v>
      </c>
      <c r="K29" s="205" t="s">
        <v>43</v>
      </c>
      <c r="M29">
        <f t="shared" si="0"/>
        <v>300</v>
      </c>
      <c r="O29" s="377" t="s">
        <v>42</v>
      </c>
      <c r="P29" s="57">
        <f>SUM(H146:H150,H152)</f>
        <v>13400</v>
      </c>
      <c r="Q29">
        <v>5</v>
      </c>
      <c r="R29">
        <v>1</v>
      </c>
      <c r="S29" t="s">
        <v>2316</v>
      </c>
    </row>
    <row r="30" spans="1:19" x14ac:dyDescent="0.25">
      <c r="A30" s="203">
        <v>2</v>
      </c>
      <c r="B30" s="205" t="s">
        <v>2238</v>
      </c>
      <c r="C30" s="205" t="s">
        <v>40</v>
      </c>
      <c r="D30" s="205" t="s">
        <v>1500</v>
      </c>
      <c r="E30" s="205" t="s">
        <v>44</v>
      </c>
      <c r="F30" s="206" t="s">
        <v>2239</v>
      </c>
      <c r="G30" s="208" t="s">
        <v>42</v>
      </c>
      <c r="H30" s="207">
        <v>1500</v>
      </c>
      <c r="I30" s="204">
        <v>300</v>
      </c>
      <c r="J30" s="205" t="s">
        <v>179</v>
      </c>
      <c r="K30" s="205" t="s">
        <v>43</v>
      </c>
      <c r="M30">
        <f t="shared" si="0"/>
        <v>300</v>
      </c>
      <c r="O30" s="376" t="s">
        <v>163</v>
      </c>
      <c r="P30" s="57">
        <v>500</v>
      </c>
      <c r="Q30">
        <v>1</v>
      </c>
    </row>
    <row r="31" spans="1:19" x14ac:dyDescent="0.25">
      <c r="A31" s="203">
        <v>2</v>
      </c>
      <c r="B31" s="205" t="s">
        <v>2240</v>
      </c>
      <c r="C31" s="396" t="s">
        <v>48</v>
      </c>
      <c r="D31" s="205" t="s">
        <v>488</v>
      </c>
      <c r="E31" s="205" t="s">
        <v>45</v>
      </c>
      <c r="F31" s="206" t="s">
        <v>2241</v>
      </c>
      <c r="G31" s="208" t="s">
        <v>42</v>
      </c>
      <c r="H31" s="207">
        <v>300</v>
      </c>
      <c r="I31" s="204">
        <v>60</v>
      </c>
      <c r="J31" s="205" t="s">
        <v>179</v>
      </c>
      <c r="K31" s="205" t="s">
        <v>43</v>
      </c>
      <c r="M31">
        <f t="shared" si="0"/>
        <v>60</v>
      </c>
      <c r="O31" s="399" t="s">
        <v>2446</v>
      </c>
      <c r="P31" s="57"/>
    </row>
    <row r="32" spans="1:19" x14ac:dyDescent="0.25">
      <c r="A32" s="203">
        <v>2</v>
      </c>
      <c r="B32" s="205" t="s">
        <v>2240</v>
      </c>
      <c r="C32" s="396" t="s">
        <v>48</v>
      </c>
      <c r="D32" s="205" t="s">
        <v>488</v>
      </c>
      <c r="E32" s="205" t="s">
        <v>45</v>
      </c>
      <c r="F32" s="206" t="s">
        <v>2241</v>
      </c>
      <c r="G32" s="395" t="s">
        <v>162</v>
      </c>
      <c r="H32" s="207">
        <v>24</v>
      </c>
      <c r="I32" s="204">
        <v>120</v>
      </c>
      <c r="J32" s="205" t="s">
        <v>179</v>
      </c>
      <c r="K32" s="205" t="s">
        <v>43</v>
      </c>
      <c r="M32">
        <f t="shared" si="0"/>
        <v>4.8</v>
      </c>
      <c r="O32" s="380" t="s">
        <v>42</v>
      </c>
      <c r="P32" s="25">
        <f>SUM(H153:H160,H162:H166,H168,H169:H181)</f>
        <v>61470</v>
      </c>
      <c r="Q32">
        <v>22</v>
      </c>
      <c r="R32">
        <v>2</v>
      </c>
      <c r="S32" t="s">
        <v>2447</v>
      </c>
    </row>
    <row r="33" spans="1:18" ht="16.5" customHeight="1" x14ac:dyDescent="0.25">
      <c r="A33" s="203">
        <v>2</v>
      </c>
      <c r="B33" s="205" t="s">
        <v>2242</v>
      </c>
      <c r="C33" s="205" t="s">
        <v>40</v>
      </c>
      <c r="D33" s="205" t="s">
        <v>2243</v>
      </c>
      <c r="E33" s="205" t="s">
        <v>64</v>
      </c>
      <c r="F33" s="206" t="s">
        <v>2244</v>
      </c>
      <c r="G33" s="208" t="s">
        <v>42</v>
      </c>
      <c r="H33" s="207">
        <v>500</v>
      </c>
      <c r="I33" s="204" t="s">
        <v>255</v>
      </c>
      <c r="J33" s="205" t="s">
        <v>179</v>
      </c>
      <c r="K33" s="205" t="s">
        <v>43</v>
      </c>
      <c r="M33">
        <f t="shared" si="0"/>
        <v>100</v>
      </c>
      <c r="O33" s="377" t="s">
        <v>180</v>
      </c>
      <c r="P33" s="57">
        <f>H161+H167</f>
        <v>1700</v>
      </c>
      <c r="Q33">
        <v>1</v>
      </c>
      <c r="R33">
        <v>1</v>
      </c>
    </row>
    <row r="34" spans="1:18" x14ac:dyDescent="0.25">
      <c r="A34" s="203">
        <v>2</v>
      </c>
      <c r="B34" s="205" t="s">
        <v>2245</v>
      </c>
      <c r="C34" s="396" t="s">
        <v>48</v>
      </c>
      <c r="D34" s="205" t="s">
        <v>1644</v>
      </c>
      <c r="E34" s="205" t="s">
        <v>46</v>
      </c>
      <c r="F34" s="206" t="s">
        <v>2246</v>
      </c>
      <c r="G34" s="294" t="s">
        <v>1146</v>
      </c>
      <c r="H34" s="207">
        <v>220</v>
      </c>
      <c r="I34" s="204" t="s">
        <v>255</v>
      </c>
      <c r="J34" s="205" t="s">
        <v>179</v>
      </c>
      <c r="K34" s="205" t="s">
        <v>43</v>
      </c>
      <c r="M34">
        <f t="shared" si="0"/>
        <v>44</v>
      </c>
      <c r="O34" s="380"/>
      <c r="P34" s="57"/>
    </row>
    <row r="35" spans="1:18" x14ac:dyDescent="0.25">
      <c r="A35" s="203">
        <v>2</v>
      </c>
      <c r="B35" s="205" t="s">
        <v>760</v>
      </c>
      <c r="C35" s="396" t="s">
        <v>48</v>
      </c>
      <c r="D35" s="205" t="s">
        <v>380</v>
      </c>
      <c r="E35" s="205" t="s">
        <v>45</v>
      </c>
      <c r="F35" s="206"/>
      <c r="G35" s="208" t="s">
        <v>42</v>
      </c>
      <c r="H35" s="207">
        <v>7000</v>
      </c>
      <c r="I35" s="204">
        <v>1400</v>
      </c>
      <c r="J35" s="205" t="s">
        <v>179</v>
      </c>
      <c r="K35" s="205" t="s">
        <v>43</v>
      </c>
      <c r="M35">
        <f t="shared" si="0"/>
        <v>1400</v>
      </c>
      <c r="O35" s="187"/>
      <c r="P35" s="57"/>
    </row>
    <row r="36" spans="1:18" x14ac:dyDescent="0.25">
      <c r="A36" s="203">
        <v>2</v>
      </c>
      <c r="B36" s="205" t="s">
        <v>2250</v>
      </c>
      <c r="C36" s="205" t="s">
        <v>40</v>
      </c>
      <c r="D36" s="205" t="s">
        <v>288</v>
      </c>
      <c r="E36" s="205" t="s">
        <v>63</v>
      </c>
      <c r="F36" s="206"/>
      <c r="G36" s="208" t="s">
        <v>42</v>
      </c>
      <c r="H36" s="207">
        <v>200</v>
      </c>
      <c r="I36" s="204">
        <v>40</v>
      </c>
      <c r="J36" s="205" t="s">
        <v>179</v>
      </c>
      <c r="K36" s="205" t="s">
        <v>43</v>
      </c>
      <c r="M36">
        <f t="shared" si="0"/>
        <v>40</v>
      </c>
      <c r="O36" s="187"/>
      <c r="P36" s="57"/>
    </row>
    <row r="37" spans="1:18" x14ac:dyDescent="0.25">
      <c r="A37" s="203">
        <v>2</v>
      </c>
      <c r="B37" s="205" t="s">
        <v>2250</v>
      </c>
      <c r="C37" s="205" t="s">
        <v>40</v>
      </c>
      <c r="D37" s="205" t="s">
        <v>288</v>
      </c>
      <c r="E37" s="205" t="s">
        <v>63</v>
      </c>
      <c r="F37" s="206"/>
      <c r="G37" s="395" t="s">
        <v>162</v>
      </c>
      <c r="H37" s="207">
        <v>20</v>
      </c>
      <c r="I37" s="204">
        <v>100</v>
      </c>
      <c r="J37" s="205" t="s">
        <v>179</v>
      </c>
      <c r="K37" s="205" t="s">
        <v>43</v>
      </c>
      <c r="M37">
        <f t="shared" si="0"/>
        <v>4</v>
      </c>
      <c r="O37" s="377"/>
      <c r="P37" s="57"/>
    </row>
    <row r="38" spans="1:18" x14ac:dyDescent="0.25">
      <c r="A38" s="203">
        <v>2</v>
      </c>
      <c r="B38" s="205" t="s">
        <v>2250</v>
      </c>
      <c r="C38" s="205" t="s">
        <v>40</v>
      </c>
      <c r="D38" s="205" t="s">
        <v>288</v>
      </c>
      <c r="E38" s="205" t="s">
        <v>63</v>
      </c>
      <c r="F38" s="206"/>
      <c r="G38" s="398" t="s">
        <v>163</v>
      </c>
      <c r="H38" s="211">
        <v>200</v>
      </c>
      <c r="I38" s="234">
        <v>200</v>
      </c>
      <c r="J38" s="205" t="s">
        <v>179</v>
      </c>
      <c r="K38" s="205" t="s">
        <v>43</v>
      </c>
      <c r="M38">
        <f t="shared" si="0"/>
        <v>40</v>
      </c>
      <c r="P38" s="57"/>
    </row>
    <row r="39" spans="1:18" x14ac:dyDescent="0.25">
      <c r="A39" s="203">
        <v>3</v>
      </c>
      <c r="B39" s="205" t="s">
        <v>2251</v>
      </c>
      <c r="C39" s="205" t="s">
        <v>40</v>
      </c>
      <c r="D39" s="205" t="s">
        <v>2252</v>
      </c>
      <c r="E39" s="205" t="s">
        <v>64</v>
      </c>
      <c r="F39" s="206" t="s">
        <v>2255</v>
      </c>
      <c r="G39" s="205" t="s">
        <v>42</v>
      </c>
      <c r="H39" s="211">
        <v>2000</v>
      </c>
      <c r="I39" s="234" t="s">
        <v>255</v>
      </c>
      <c r="J39" s="205" t="s">
        <v>179</v>
      </c>
      <c r="K39" s="205" t="s">
        <v>43</v>
      </c>
      <c r="M39">
        <f t="shared" si="0"/>
        <v>400</v>
      </c>
      <c r="P39" s="57"/>
    </row>
    <row r="40" spans="1:18" x14ac:dyDescent="0.25">
      <c r="A40" s="203">
        <v>5</v>
      </c>
      <c r="B40" s="205" t="s">
        <v>2253</v>
      </c>
      <c r="C40" s="396" t="s">
        <v>48</v>
      </c>
      <c r="D40" s="205"/>
      <c r="E40" s="205" t="s">
        <v>44</v>
      </c>
      <c r="F40" s="206" t="s">
        <v>2254</v>
      </c>
      <c r="G40" s="205" t="s">
        <v>42</v>
      </c>
      <c r="H40" s="211">
        <v>400</v>
      </c>
      <c r="I40" s="234">
        <v>80</v>
      </c>
      <c r="J40" s="205" t="s">
        <v>179</v>
      </c>
      <c r="K40" s="205" t="s">
        <v>43</v>
      </c>
      <c r="M40">
        <f t="shared" si="0"/>
        <v>80</v>
      </c>
      <c r="P40" s="57"/>
    </row>
    <row r="41" spans="1:18" x14ac:dyDescent="0.25">
      <c r="A41" s="203">
        <v>5</v>
      </c>
      <c r="B41" s="205" t="s">
        <v>1969</v>
      </c>
      <c r="C41" s="205" t="s">
        <v>40</v>
      </c>
      <c r="D41" s="205" t="s">
        <v>836</v>
      </c>
      <c r="E41" s="205" t="s">
        <v>51</v>
      </c>
      <c r="F41" s="206" t="s">
        <v>2256</v>
      </c>
      <c r="G41" s="398" t="s">
        <v>163</v>
      </c>
      <c r="H41" s="211">
        <v>1000</v>
      </c>
      <c r="I41" s="234">
        <v>1000</v>
      </c>
      <c r="J41" s="205" t="s">
        <v>179</v>
      </c>
      <c r="K41" s="205" t="s">
        <v>43</v>
      </c>
      <c r="M41">
        <f t="shared" si="0"/>
        <v>200</v>
      </c>
      <c r="O41" s="340"/>
      <c r="P41" s="57"/>
    </row>
    <row r="42" spans="1:18" x14ac:dyDescent="0.25">
      <c r="A42" s="203">
        <v>5</v>
      </c>
      <c r="B42" s="205" t="s">
        <v>2069</v>
      </c>
      <c r="C42" s="205" t="s">
        <v>40</v>
      </c>
      <c r="D42" s="205" t="s">
        <v>2070</v>
      </c>
      <c r="E42" s="205" t="s">
        <v>50</v>
      </c>
      <c r="F42" s="206" t="s">
        <v>2071</v>
      </c>
      <c r="G42" s="205" t="s">
        <v>42</v>
      </c>
      <c r="H42" s="211">
        <v>70</v>
      </c>
      <c r="I42" s="234" t="s">
        <v>255</v>
      </c>
      <c r="J42" s="205" t="s">
        <v>179</v>
      </c>
      <c r="K42" s="205" t="s">
        <v>43</v>
      </c>
      <c r="M42">
        <f t="shared" si="0"/>
        <v>14</v>
      </c>
      <c r="P42" s="57"/>
    </row>
    <row r="43" spans="1:18" x14ac:dyDescent="0.25">
      <c r="A43" s="203">
        <v>5</v>
      </c>
      <c r="B43" s="205" t="s">
        <v>2069</v>
      </c>
      <c r="C43" s="205" t="s">
        <v>40</v>
      </c>
      <c r="D43" s="205" t="s">
        <v>2070</v>
      </c>
      <c r="E43" s="205" t="s">
        <v>50</v>
      </c>
      <c r="F43" s="206" t="s">
        <v>2071</v>
      </c>
      <c r="G43" s="205" t="s">
        <v>42</v>
      </c>
      <c r="H43" s="211">
        <v>1000</v>
      </c>
      <c r="I43" s="234">
        <v>200</v>
      </c>
      <c r="J43" s="205" t="s">
        <v>179</v>
      </c>
      <c r="K43" s="205" t="s">
        <v>43</v>
      </c>
      <c r="M43">
        <f t="shared" si="0"/>
        <v>200</v>
      </c>
    </row>
    <row r="44" spans="1:18" x14ac:dyDescent="0.25">
      <c r="A44" s="203">
        <v>5</v>
      </c>
      <c r="B44" s="205" t="s">
        <v>2257</v>
      </c>
      <c r="C44" s="205" t="s">
        <v>40</v>
      </c>
      <c r="D44" s="205" t="s">
        <v>144</v>
      </c>
      <c r="E44" s="205" t="s">
        <v>60</v>
      </c>
      <c r="F44" s="206" t="s">
        <v>2258</v>
      </c>
      <c r="G44" s="205" t="s">
        <v>42</v>
      </c>
      <c r="H44" s="211">
        <v>200</v>
      </c>
      <c r="I44" s="234">
        <v>40</v>
      </c>
      <c r="J44" s="205" t="s">
        <v>179</v>
      </c>
      <c r="K44" s="205" t="s">
        <v>43</v>
      </c>
      <c r="M44">
        <f t="shared" si="0"/>
        <v>40</v>
      </c>
      <c r="O44" s="340"/>
    </row>
    <row r="45" spans="1:18" x14ac:dyDescent="0.25">
      <c r="A45" s="203">
        <v>5</v>
      </c>
      <c r="B45" s="205" t="s">
        <v>2259</v>
      </c>
      <c r="C45" s="396" t="s">
        <v>48</v>
      </c>
      <c r="D45" s="205" t="s">
        <v>899</v>
      </c>
      <c r="E45" s="205" t="s">
        <v>57</v>
      </c>
      <c r="F45" s="206" t="s">
        <v>2260</v>
      </c>
      <c r="G45" s="205" t="s">
        <v>42</v>
      </c>
      <c r="H45" s="211">
        <v>5000</v>
      </c>
      <c r="I45" s="234">
        <v>1000</v>
      </c>
      <c r="J45" s="205" t="s">
        <v>179</v>
      </c>
      <c r="K45" s="205" t="s">
        <v>43</v>
      </c>
      <c r="M45">
        <f t="shared" si="0"/>
        <v>1000</v>
      </c>
      <c r="P45" s="342"/>
    </row>
    <row r="46" spans="1:18" x14ac:dyDescent="0.25">
      <c r="A46" s="203">
        <v>5</v>
      </c>
      <c r="B46" s="205" t="s">
        <v>2261</v>
      </c>
      <c r="C46" s="205" t="s">
        <v>40</v>
      </c>
      <c r="D46" s="205" t="s">
        <v>60</v>
      </c>
      <c r="E46" s="205" t="s">
        <v>47</v>
      </c>
      <c r="F46" s="206" t="s">
        <v>2262</v>
      </c>
      <c r="G46" s="398" t="s">
        <v>163</v>
      </c>
      <c r="H46" s="211">
        <v>800</v>
      </c>
      <c r="I46" s="234">
        <v>800</v>
      </c>
      <c r="J46" s="205" t="s">
        <v>179</v>
      </c>
      <c r="K46" s="205" t="s">
        <v>43</v>
      </c>
      <c r="M46">
        <f t="shared" si="0"/>
        <v>160</v>
      </c>
    </row>
    <row r="47" spans="1:18" x14ac:dyDescent="0.25">
      <c r="A47" s="203">
        <v>5</v>
      </c>
      <c r="B47" s="205" t="s">
        <v>2263</v>
      </c>
      <c r="C47" s="205" t="s">
        <v>40</v>
      </c>
      <c r="D47" s="205" t="s">
        <v>144</v>
      </c>
      <c r="E47" s="205" t="s">
        <v>63</v>
      </c>
      <c r="F47" s="206" t="s">
        <v>2264</v>
      </c>
      <c r="G47" s="205" t="s">
        <v>42</v>
      </c>
      <c r="H47" s="211">
        <v>400</v>
      </c>
      <c r="I47" s="234" t="s">
        <v>255</v>
      </c>
      <c r="J47" s="205" t="s">
        <v>179</v>
      </c>
      <c r="K47" s="205" t="s">
        <v>43</v>
      </c>
      <c r="M47">
        <f t="shared" si="0"/>
        <v>80</v>
      </c>
      <c r="O47" s="340"/>
    </row>
    <row r="48" spans="1:18" x14ac:dyDescent="0.25">
      <c r="A48" s="203">
        <v>5</v>
      </c>
      <c r="B48" s="205" t="s">
        <v>2265</v>
      </c>
      <c r="C48" s="396" t="s">
        <v>48</v>
      </c>
      <c r="D48" s="205" t="s">
        <v>297</v>
      </c>
      <c r="E48" s="205" t="s">
        <v>46</v>
      </c>
      <c r="F48" s="206" t="s">
        <v>2266</v>
      </c>
      <c r="G48" s="205" t="s">
        <v>42</v>
      </c>
      <c r="H48" s="211">
        <v>7000</v>
      </c>
      <c r="I48" s="234" t="s">
        <v>255</v>
      </c>
      <c r="J48" s="205" t="s">
        <v>179</v>
      </c>
      <c r="K48" s="205" t="s">
        <v>43</v>
      </c>
      <c r="M48">
        <f t="shared" si="0"/>
        <v>1400</v>
      </c>
      <c r="P48" s="342"/>
    </row>
    <row r="49" spans="1:16" x14ac:dyDescent="0.25">
      <c r="A49" s="321">
        <v>5</v>
      </c>
      <c r="B49" s="205" t="s">
        <v>670</v>
      </c>
      <c r="C49" s="205" t="s">
        <v>40</v>
      </c>
      <c r="D49" s="205" t="s">
        <v>671</v>
      </c>
      <c r="E49" s="205" t="s">
        <v>49</v>
      </c>
      <c r="F49" s="206"/>
      <c r="G49" s="398" t="s">
        <v>163</v>
      </c>
      <c r="H49" s="211">
        <v>1500</v>
      </c>
      <c r="I49" s="234" t="s">
        <v>255</v>
      </c>
      <c r="J49" s="205" t="s">
        <v>179</v>
      </c>
      <c r="K49" s="205" t="s">
        <v>43</v>
      </c>
      <c r="M49">
        <f t="shared" si="0"/>
        <v>300</v>
      </c>
      <c r="O49" t="s">
        <v>165</v>
      </c>
      <c r="P49" s="25">
        <f>SUM(H12:H16,H23,H26:H27,H30:H31,H33,H35:H36,H39:H40,H42:H45,H47:H48,H50:H53,H56:H57,H60,H62,H64,H66,H68,H71,H76,H78,H84,H87,H90,H92:H94,H96:H97,H99,H102:H103,H106:H112,H114,H116:H117,H121:H126,H128:H134,H136:H142,H144,H146:H150,H152:H160,H162:H166,H168:H176,H180:H181)</f>
        <v>289190</v>
      </c>
    </row>
    <row r="50" spans="1:16" x14ac:dyDescent="0.25">
      <c r="A50" s="203">
        <v>9</v>
      </c>
      <c r="B50" s="205" t="s">
        <v>2269</v>
      </c>
      <c r="C50" s="205" t="s">
        <v>40</v>
      </c>
      <c r="D50" s="205" t="s">
        <v>2106</v>
      </c>
      <c r="E50" s="205" t="s">
        <v>44</v>
      </c>
      <c r="F50" s="206" t="s">
        <v>2270</v>
      </c>
      <c r="G50" s="205" t="s">
        <v>42</v>
      </c>
      <c r="H50" s="211">
        <v>1500</v>
      </c>
      <c r="I50" s="234">
        <v>300</v>
      </c>
      <c r="J50" s="205" t="s">
        <v>179</v>
      </c>
      <c r="K50" s="205" t="s">
        <v>43</v>
      </c>
      <c r="M50">
        <f t="shared" si="0"/>
        <v>300</v>
      </c>
      <c r="O50" s="340" t="s">
        <v>1129</v>
      </c>
      <c r="P50" s="25">
        <f>SUM(H19,H32,H37,H69,H100:H101,H113,H145)</f>
        <v>284</v>
      </c>
    </row>
    <row r="51" spans="1:16" x14ac:dyDescent="0.25">
      <c r="A51" s="203">
        <v>9</v>
      </c>
      <c r="B51" s="205" t="s">
        <v>2271</v>
      </c>
      <c r="C51" s="205" t="s">
        <v>40</v>
      </c>
      <c r="D51" s="205" t="s">
        <v>1041</v>
      </c>
      <c r="E51" s="205" t="s">
        <v>83</v>
      </c>
      <c r="F51" s="206" t="s">
        <v>2272</v>
      </c>
      <c r="G51" s="205" t="s">
        <v>42</v>
      </c>
      <c r="H51" s="211">
        <v>1500</v>
      </c>
      <c r="I51" s="234">
        <v>300</v>
      </c>
      <c r="J51" s="205" t="s">
        <v>179</v>
      </c>
      <c r="K51" s="205" t="s">
        <v>43</v>
      </c>
      <c r="M51">
        <f t="shared" si="0"/>
        <v>300</v>
      </c>
      <c r="O51" t="s">
        <v>163</v>
      </c>
      <c r="P51" s="57">
        <f>SUM(H17,H20,H22,H24:H25,H28:H29,H38,H41,H46,H49,H55,H58:H59,H61,H63,H65,H70,H74:H75,H77,H79:H83,H86,H88:H89,H91,H95,H105,H115,H119:H120,H127,H151)</f>
        <v>34360</v>
      </c>
    </row>
    <row r="52" spans="1:16" x14ac:dyDescent="0.25">
      <c r="A52" s="203">
        <v>9</v>
      </c>
      <c r="B52" s="205" t="s">
        <v>2273</v>
      </c>
      <c r="C52" s="205" t="s">
        <v>40</v>
      </c>
      <c r="D52" s="205" t="s">
        <v>2274</v>
      </c>
      <c r="E52" s="205" t="s">
        <v>61</v>
      </c>
      <c r="F52" s="206"/>
      <c r="G52" s="205" t="s">
        <v>42</v>
      </c>
      <c r="H52" s="211">
        <v>19000</v>
      </c>
      <c r="I52" s="234">
        <v>3800</v>
      </c>
      <c r="J52" s="205" t="s">
        <v>179</v>
      </c>
      <c r="K52" s="205" t="s">
        <v>43</v>
      </c>
      <c r="M52">
        <f t="shared" si="0"/>
        <v>3800</v>
      </c>
      <c r="O52" t="s">
        <v>1607</v>
      </c>
      <c r="P52" s="25">
        <f>SUM(H18,H21,H54,H67,H73,H85,H98,H104,H118,H135,H143,H161,H167)</f>
        <v>8700</v>
      </c>
    </row>
    <row r="53" spans="1:16" x14ac:dyDescent="0.25">
      <c r="A53" s="203">
        <v>9</v>
      </c>
      <c r="B53" s="205" t="s">
        <v>2275</v>
      </c>
      <c r="C53" s="396" t="s">
        <v>48</v>
      </c>
      <c r="D53" s="205" t="s">
        <v>1301</v>
      </c>
      <c r="E53" s="205" t="s">
        <v>67</v>
      </c>
      <c r="F53" s="206" t="s">
        <v>2276</v>
      </c>
      <c r="G53" s="205" t="s">
        <v>42</v>
      </c>
      <c r="H53" s="211">
        <v>800</v>
      </c>
      <c r="I53" s="234">
        <v>160</v>
      </c>
      <c r="J53" s="205" t="s">
        <v>179</v>
      </c>
      <c r="K53" s="205" t="s">
        <v>43</v>
      </c>
      <c r="M53">
        <f t="shared" si="0"/>
        <v>160</v>
      </c>
    </row>
    <row r="54" spans="1:16" x14ac:dyDescent="0.25">
      <c r="A54" s="203">
        <v>9</v>
      </c>
      <c r="B54" s="205" t="s">
        <v>2275</v>
      </c>
      <c r="C54" s="396" t="s">
        <v>48</v>
      </c>
      <c r="D54" s="205" t="s">
        <v>1301</v>
      </c>
      <c r="E54" s="205" t="s">
        <v>67</v>
      </c>
      <c r="F54" s="206" t="s">
        <v>2276</v>
      </c>
      <c r="G54" s="413" t="s">
        <v>180</v>
      </c>
      <c r="H54" s="211">
        <v>500</v>
      </c>
      <c r="I54" s="234">
        <v>250</v>
      </c>
      <c r="J54" s="205" t="s">
        <v>179</v>
      </c>
      <c r="K54" s="205" t="s">
        <v>43</v>
      </c>
      <c r="M54">
        <f t="shared" si="0"/>
        <v>100</v>
      </c>
      <c r="P54" s="25"/>
    </row>
    <row r="55" spans="1:16" x14ac:dyDescent="0.25">
      <c r="A55" s="203">
        <v>9</v>
      </c>
      <c r="B55" s="205" t="s">
        <v>2275</v>
      </c>
      <c r="C55" s="396" t="s">
        <v>48</v>
      </c>
      <c r="D55" s="205" t="s">
        <v>1301</v>
      </c>
      <c r="E55" s="205" t="s">
        <v>67</v>
      </c>
      <c r="F55" s="206" t="s">
        <v>2276</v>
      </c>
      <c r="G55" s="414" t="s">
        <v>163</v>
      </c>
      <c r="H55" s="211">
        <v>1000</v>
      </c>
      <c r="I55" s="234">
        <v>1000</v>
      </c>
      <c r="J55" s="205" t="s">
        <v>179</v>
      </c>
      <c r="K55" s="205" t="s">
        <v>43</v>
      </c>
      <c r="M55">
        <f t="shared" si="0"/>
        <v>200</v>
      </c>
    </row>
    <row r="56" spans="1:16" x14ac:dyDescent="0.25">
      <c r="A56" s="203">
        <v>9</v>
      </c>
      <c r="B56" s="205" t="s">
        <v>2277</v>
      </c>
      <c r="C56" s="396" t="s">
        <v>48</v>
      </c>
      <c r="D56" s="205" t="s">
        <v>2278</v>
      </c>
      <c r="E56" s="205" t="s">
        <v>50</v>
      </c>
      <c r="F56" s="206"/>
      <c r="G56" s="205" t="s">
        <v>42</v>
      </c>
      <c r="H56" s="211">
        <v>300</v>
      </c>
      <c r="I56" s="234">
        <v>600</v>
      </c>
      <c r="J56" s="205" t="s">
        <v>179</v>
      </c>
      <c r="K56" s="205" t="s">
        <v>43</v>
      </c>
      <c r="M56">
        <f t="shared" si="0"/>
        <v>60</v>
      </c>
    </row>
    <row r="57" spans="1:16" x14ac:dyDescent="0.25">
      <c r="A57" s="203">
        <v>9</v>
      </c>
      <c r="B57" s="205" t="s">
        <v>2279</v>
      </c>
      <c r="C57" s="205" t="s">
        <v>40</v>
      </c>
      <c r="D57" s="205" t="s">
        <v>2091</v>
      </c>
      <c r="E57" s="205" t="s">
        <v>58</v>
      </c>
      <c r="F57" s="206"/>
      <c r="G57" s="205" t="s">
        <v>42</v>
      </c>
      <c r="H57" s="211">
        <v>1000</v>
      </c>
      <c r="I57" s="234">
        <v>200</v>
      </c>
      <c r="J57" s="205" t="s">
        <v>179</v>
      </c>
      <c r="K57" s="205" t="s">
        <v>43</v>
      </c>
      <c r="M57">
        <f t="shared" si="0"/>
        <v>200</v>
      </c>
    </row>
    <row r="58" spans="1:16" x14ac:dyDescent="0.25">
      <c r="A58" s="203">
        <v>9</v>
      </c>
      <c r="B58" s="205" t="s">
        <v>2279</v>
      </c>
      <c r="C58" s="205" t="s">
        <v>40</v>
      </c>
      <c r="D58" s="205" t="s">
        <v>2091</v>
      </c>
      <c r="E58" s="205" t="s">
        <v>58</v>
      </c>
      <c r="F58" s="206"/>
      <c r="G58" s="398" t="s">
        <v>163</v>
      </c>
      <c r="H58" s="211">
        <v>50</v>
      </c>
      <c r="I58" s="234">
        <v>50</v>
      </c>
      <c r="J58" s="205" t="s">
        <v>179</v>
      </c>
      <c r="K58" s="205" t="s">
        <v>43</v>
      </c>
      <c r="M58">
        <f t="shared" si="0"/>
        <v>10</v>
      </c>
    </row>
    <row r="59" spans="1:16" x14ac:dyDescent="0.25">
      <c r="A59" s="203">
        <v>9</v>
      </c>
      <c r="B59" s="205" t="s">
        <v>2280</v>
      </c>
      <c r="C59" s="205" t="s">
        <v>40</v>
      </c>
      <c r="D59" s="205" t="s">
        <v>402</v>
      </c>
      <c r="E59" s="205" t="s">
        <v>57</v>
      </c>
      <c r="F59" s="206"/>
      <c r="G59" s="398" t="s">
        <v>163</v>
      </c>
      <c r="H59" s="211">
        <v>200</v>
      </c>
      <c r="I59" s="234">
        <v>200</v>
      </c>
      <c r="J59" s="205" t="s">
        <v>179</v>
      </c>
      <c r="K59" s="205" t="s">
        <v>43</v>
      </c>
      <c r="M59">
        <f t="shared" si="0"/>
        <v>40</v>
      </c>
    </row>
    <row r="60" spans="1:16" x14ac:dyDescent="0.25">
      <c r="A60" s="203">
        <v>9</v>
      </c>
      <c r="B60" s="205" t="s">
        <v>2281</v>
      </c>
      <c r="C60" s="205" t="s">
        <v>40</v>
      </c>
      <c r="D60" s="205" t="s">
        <v>144</v>
      </c>
      <c r="E60" s="205" t="s">
        <v>47</v>
      </c>
      <c r="F60" s="206" t="s">
        <v>2282</v>
      </c>
      <c r="G60" s="205" t="s">
        <v>42</v>
      </c>
      <c r="H60" s="211">
        <v>10000</v>
      </c>
      <c r="I60" s="234">
        <v>2000</v>
      </c>
      <c r="J60" s="205" t="s">
        <v>179</v>
      </c>
      <c r="K60" s="205" t="s">
        <v>43</v>
      </c>
      <c r="M60">
        <f t="shared" si="0"/>
        <v>2000</v>
      </c>
    </row>
    <row r="61" spans="1:16" x14ac:dyDescent="0.25">
      <c r="A61" s="203">
        <v>9</v>
      </c>
      <c r="B61" s="205" t="s">
        <v>2281</v>
      </c>
      <c r="C61" s="205" t="s">
        <v>40</v>
      </c>
      <c r="D61" s="205" t="s">
        <v>144</v>
      </c>
      <c r="E61" s="205" t="s">
        <v>47</v>
      </c>
      <c r="F61" s="206" t="s">
        <v>2282</v>
      </c>
      <c r="G61" s="398" t="s">
        <v>163</v>
      </c>
      <c r="H61" s="211">
        <v>3000</v>
      </c>
      <c r="I61" s="234">
        <v>3000</v>
      </c>
      <c r="J61" s="205" t="s">
        <v>179</v>
      </c>
      <c r="K61" s="205" t="s">
        <v>43</v>
      </c>
      <c r="M61">
        <f t="shared" si="0"/>
        <v>600</v>
      </c>
    </row>
    <row r="62" spans="1:16" x14ac:dyDescent="0.25">
      <c r="A62" s="203">
        <v>9</v>
      </c>
      <c r="B62" s="205" t="s">
        <v>2283</v>
      </c>
      <c r="C62" s="205" t="s">
        <v>40</v>
      </c>
      <c r="D62" s="205" t="s">
        <v>2284</v>
      </c>
      <c r="E62" s="205" t="s">
        <v>63</v>
      </c>
      <c r="F62" s="206" t="s">
        <v>2285</v>
      </c>
      <c r="G62" s="205" t="s">
        <v>42</v>
      </c>
      <c r="H62" s="211">
        <v>500</v>
      </c>
      <c r="I62" s="234">
        <v>100</v>
      </c>
      <c r="J62" s="205" t="s">
        <v>179</v>
      </c>
      <c r="K62" s="205" t="s">
        <v>43</v>
      </c>
      <c r="M62">
        <f t="shared" si="0"/>
        <v>100</v>
      </c>
    </row>
    <row r="63" spans="1:16" x14ac:dyDescent="0.25">
      <c r="A63" s="203">
        <v>9</v>
      </c>
      <c r="B63" s="205" t="s">
        <v>2283</v>
      </c>
      <c r="C63" s="205" t="s">
        <v>40</v>
      </c>
      <c r="D63" s="205" t="s">
        <v>2284</v>
      </c>
      <c r="E63" s="205" t="s">
        <v>63</v>
      </c>
      <c r="F63" s="206" t="s">
        <v>2285</v>
      </c>
      <c r="G63" s="398" t="s">
        <v>163</v>
      </c>
      <c r="H63" s="211">
        <v>100</v>
      </c>
      <c r="I63" s="234">
        <v>100</v>
      </c>
      <c r="J63" s="205" t="s">
        <v>179</v>
      </c>
      <c r="K63" s="205" t="s">
        <v>43</v>
      </c>
      <c r="M63">
        <f t="shared" si="0"/>
        <v>20</v>
      </c>
    </row>
    <row r="64" spans="1:16" x14ac:dyDescent="0.25">
      <c r="A64" s="203">
        <v>9</v>
      </c>
      <c r="B64" s="205" t="s">
        <v>2286</v>
      </c>
      <c r="C64" s="205" t="s">
        <v>40</v>
      </c>
      <c r="D64" s="205" t="s">
        <v>609</v>
      </c>
      <c r="E64" s="205" t="s">
        <v>72</v>
      </c>
      <c r="F64" s="206"/>
      <c r="G64" s="205" t="s">
        <v>42</v>
      </c>
      <c r="H64" s="211">
        <v>1600</v>
      </c>
      <c r="I64" s="234">
        <v>320</v>
      </c>
      <c r="J64" s="205" t="s">
        <v>179</v>
      </c>
      <c r="K64" s="205" t="s">
        <v>43</v>
      </c>
      <c r="M64">
        <f t="shared" si="0"/>
        <v>320</v>
      </c>
    </row>
    <row r="65" spans="1:16" x14ac:dyDescent="0.25">
      <c r="A65" s="203">
        <v>9</v>
      </c>
      <c r="B65" s="205" t="s">
        <v>2287</v>
      </c>
      <c r="C65" s="205" t="s">
        <v>40</v>
      </c>
      <c r="D65" s="205" t="s">
        <v>1578</v>
      </c>
      <c r="E65" s="205" t="s">
        <v>67</v>
      </c>
      <c r="F65" s="206"/>
      <c r="G65" s="398" t="s">
        <v>163</v>
      </c>
      <c r="H65" s="211">
        <v>150</v>
      </c>
      <c r="I65" s="234">
        <v>150</v>
      </c>
      <c r="J65" s="205" t="s">
        <v>179</v>
      </c>
      <c r="K65" s="205" t="s">
        <v>43</v>
      </c>
      <c r="M65">
        <f t="shared" si="0"/>
        <v>30</v>
      </c>
    </row>
    <row r="66" spans="1:16" x14ac:dyDescent="0.25">
      <c r="A66" s="203">
        <v>9</v>
      </c>
      <c r="B66" s="205" t="s">
        <v>2288</v>
      </c>
      <c r="C66" s="205" t="s">
        <v>40</v>
      </c>
      <c r="D66" s="205" t="s">
        <v>144</v>
      </c>
      <c r="E66" s="205" t="s">
        <v>44</v>
      </c>
      <c r="F66" s="206"/>
      <c r="G66" s="205" t="s">
        <v>42</v>
      </c>
      <c r="H66" s="211">
        <v>2000</v>
      </c>
      <c r="I66" s="234">
        <v>400</v>
      </c>
      <c r="J66" s="205" t="s">
        <v>179</v>
      </c>
      <c r="K66" s="205" t="s">
        <v>43</v>
      </c>
      <c r="M66">
        <f t="shared" si="0"/>
        <v>400</v>
      </c>
    </row>
    <row r="67" spans="1:16" x14ac:dyDescent="0.25">
      <c r="A67" s="203">
        <v>9</v>
      </c>
      <c r="B67" s="205" t="s">
        <v>2288</v>
      </c>
      <c r="C67" s="205" t="s">
        <v>40</v>
      </c>
      <c r="D67" s="205" t="s">
        <v>144</v>
      </c>
      <c r="E67" s="205" t="s">
        <v>44</v>
      </c>
      <c r="F67" s="206"/>
      <c r="G67" s="413" t="s">
        <v>180</v>
      </c>
      <c r="H67" s="211">
        <v>300</v>
      </c>
      <c r="I67" s="234">
        <v>150</v>
      </c>
      <c r="J67" s="205" t="s">
        <v>179</v>
      </c>
      <c r="K67" s="205" t="s">
        <v>43</v>
      </c>
      <c r="M67">
        <f t="shared" si="0"/>
        <v>60</v>
      </c>
    </row>
    <row r="68" spans="1:16" x14ac:dyDescent="0.25">
      <c r="A68" s="203">
        <v>9</v>
      </c>
      <c r="B68" s="205" t="s">
        <v>2292</v>
      </c>
      <c r="C68" s="205" t="s">
        <v>40</v>
      </c>
      <c r="D68" s="205" t="s">
        <v>1088</v>
      </c>
      <c r="E68" s="205" t="s">
        <v>50</v>
      </c>
      <c r="F68" s="206" t="s">
        <v>2293</v>
      </c>
      <c r="G68" s="205" t="s">
        <v>42</v>
      </c>
      <c r="H68" s="211">
        <v>30</v>
      </c>
      <c r="I68" s="234" t="s">
        <v>255</v>
      </c>
      <c r="J68" s="205" t="s">
        <v>179</v>
      </c>
      <c r="K68" s="205" t="s">
        <v>43</v>
      </c>
      <c r="M68">
        <f t="shared" si="0"/>
        <v>6</v>
      </c>
    </row>
    <row r="69" spans="1:16" x14ac:dyDescent="0.25">
      <c r="A69" s="203">
        <v>9</v>
      </c>
      <c r="B69" s="205" t="s">
        <v>2292</v>
      </c>
      <c r="C69" s="205" t="s">
        <v>40</v>
      </c>
      <c r="D69" s="205" t="s">
        <v>1088</v>
      </c>
      <c r="E69" s="205" t="s">
        <v>50</v>
      </c>
      <c r="F69" s="206" t="s">
        <v>2293</v>
      </c>
      <c r="G69" s="395" t="s">
        <v>162</v>
      </c>
      <c r="H69" s="211">
        <v>5</v>
      </c>
      <c r="I69" s="234" t="s">
        <v>255</v>
      </c>
      <c r="J69" s="205" t="s">
        <v>179</v>
      </c>
      <c r="K69" s="205" t="s">
        <v>43</v>
      </c>
      <c r="M69">
        <f t="shared" si="0"/>
        <v>1</v>
      </c>
    </row>
    <row r="70" spans="1:16" x14ac:dyDescent="0.25">
      <c r="A70" s="203">
        <v>9</v>
      </c>
      <c r="B70" s="205" t="s">
        <v>2292</v>
      </c>
      <c r="C70" s="205" t="s">
        <v>40</v>
      </c>
      <c r="D70" s="205" t="s">
        <v>1088</v>
      </c>
      <c r="E70" s="205" t="s">
        <v>50</v>
      </c>
      <c r="F70" s="206" t="s">
        <v>2293</v>
      </c>
      <c r="G70" s="398" t="s">
        <v>163</v>
      </c>
      <c r="H70" s="211">
        <v>50</v>
      </c>
      <c r="I70" s="234" t="s">
        <v>255</v>
      </c>
      <c r="J70" s="205" t="s">
        <v>179</v>
      </c>
      <c r="K70" s="205" t="s">
        <v>43</v>
      </c>
      <c r="M70">
        <f t="shared" si="0"/>
        <v>10</v>
      </c>
    </row>
    <row r="71" spans="1:16" x14ac:dyDescent="0.25">
      <c r="A71" s="203">
        <v>9</v>
      </c>
      <c r="B71" s="205" t="s">
        <v>2297</v>
      </c>
      <c r="C71" s="396" t="s">
        <v>48</v>
      </c>
      <c r="D71" s="205" t="s">
        <v>1036</v>
      </c>
      <c r="E71" s="205" t="s">
        <v>60</v>
      </c>
      <c r="F71" s="206" t="s">
        <v>2298</v>
      </c>
      <c r="G71" s="205" t="s">
        <v>42</v>
      </c>
      <c r="H71" s="211">
        <v>2000</v>
      </c>
      <c r="I71" s="234">
        <v>400</v>
      </c>
      <c r="J71" s="205" t="s">
        <v>179</v>
      </c>
      <c r="K71" s="205" t="s">
        <v>43</v>
      </c>
      <c r="M71">
        <f t="shared" si="0"/>
        <v>400</v>
      </c>
    </row>
    <row r="72" spans="1:16" x14ac:dyDescent="0.25">
      <c r="A72" s="203">
        <v>10</v>
      </c>
      <c r="B72" s="205" t="s">
        <v>1145</v>
      </c>
      <c r="C72" s="205" t="s">
        <v>40</v>
      </c>
      <c r="D72" s="205" t="s">
        <v>2303</v>
      </c>
      <c r="E72" s="205" t="s">
        <v>72</v>
      </c>
      <c r="F72" s="206"/>
      <c r="G72" s="295" t="s">
        <v>1146</v>
      </c>
      <c r="H72" s="211">
        <v>210</v>
      </c>
      <c r="I72" s="234" t="s">
        <v>255</v>
      </c>
      <c r="J72" s="205" t="s">
        <v>179</v>
      </c>
      <c r="K72" s="205" t="s">
        <v>43</v>
      </c>
      <c r="M72">
        <f t="shared" si="0"/>
        <v>42</v>
      </c>
    </row>
    <row r="73" spans="1:16" x14ac:dyDescent="0.25">
      <c r="A73" s="203">
        <v>11</v>
      </c>
      <c r="B73" s="205" t="s">
        <v>2304</v>
      </c>
      <c r="C73" s="205" t="s">
        <v>40</v>
      </c>
      <c r="D73" s="205" t="s">
        <v>471</v>
      </c>
      <c r="E73" s="205" t="s">
        <v>47</v>
      </c>
      <c r="F73" s="206"/>
      <c r="G73" s="413" t="s">
        <v>180</v>
      </c>
      <c r="H73" s="211">
        <v>200</v>
      </c>
      <c r="I73" s="234">
        <v>100</v>
      </c>
      <c r="J73" s="205" t="s">
        <v>179</v>
      </c>
      <c r="K73" s="205" t="s">
        <v>43</v>
      </c>
      <c r="M73">
        <f t="shared" si="0"/>
        <v>40</v>
      </c>
    </row>
    <row r="74" spans="1:16" x14ac:dyDescent="0.25">
      <c r="A74" s="203">
        <v>11</v>
      </c>
      <c r="B74" s="205" t="s">
        <v>2305</v>
      </c>
      <c r="C74" s="205" t="s">
        <v>40</v>
      </c>
      <c r="D74" s="205" t="s">
        <v>725</v>
      </c>
      <c r="E74" s="205" t="s">
        <v>45</v>
      </c>
      <c r="F74" s="206"/>
      <c r="G74" s="398" t="s">
        <v>163</v>
      </c>
      <c r="H74" s="211">
        <v>1000</v>
      </c>
      <c r="I74" s="234">
        <v>1000</v>
      </c>
      <c r="J74" s="205" t="s">
        <v>179</v>
      </c>
      <c r="K74" s="205" t="s">
        <v>43</v>
      </c>
      <c r="M74">
        <f t="shared" si="0"/>
        <v>200</v>
      </c>
    </row>
    <row r="75" spans="1:16" x14ac:dyDescent="0.25">
      <c r="A75" s="203">
        <v>11</v>
      </c>
      <c r="B75" s="205" t="s">
        <v>1206</v>
      </c>
      <c r="C75" s="205" t="s">
        <v>40</v>
      </c>
      <c r="D75" s="205" t="s">
        <v>2385</v>
      </c>
      <c r="E75" s="205" t="s">
        <v>50</v>
      </c>
      <c r="F75" s="206"/>
      <c r="G75" s="398" t="s">
        <v>163</v>
      </c>
      <c r="H75" s="211">
        <v>500</v>
      </c>
      <c r="I75" s="234">
        <v>500</v>
      </c>
      <c r="J75" s="205" t="s">
        <v>179</v>
      </c>
      <c r="K75" s="205" t="s">
        <v>43</v>
      </c>
      <c r="M75">
        <f t="shared" si="0"/>
        <v>100</v>
      </c>
    </row>
    <row r="76" spans="1:16" x14ac:dyDescent="0.25">
      <c r="A76" s="203">
        <v>11</v>
      </c>
      <c r="B76" s="205" t="s">
        <v>2306</v>
      </c>
      <c r="C76" s="205" t="s">
        <v>40</v>
      </c>
      <c r="D76" s="205" t="s">
        <v>2303</v>
      </c>
      <c r="E76" s="205" t="s">
        <v>72</v>
      </c>
      <c r="F76" s="206" t="s">
        <v>2307</v>
      </c>
      <c r="G76" s="205" t="s">
        <v>42</v>
      </c>
      <c r="H76" s="211">
        <v>1000</v>
      </c>
      <c r="I76" s="234" t="s">
        <v>255</v>
      </c>
      <c r="J76" s="205" t="s">
        <v>179</v>
      </c>
      <c r="K76" s="205" t="s">
        <v>43</v>
      </c>
      <c r="M76">
        <f t="shared" si="0"/>
        <v>200</v>
      </c>
    </row>
    <row r="77" spans="1:16" x14ac:dyDescent="0.25">
      <c r="A77" s="203">
        <v>11</v>
      </c>
      <c r="B77" s="205" t="s">
        <v>2000</v>
      </c>
      <c r="C77" s="205" t="s">
        <v>40</v>
      </c>
      <c r="D77" s="205" t="s">
        <v>2001</v>
      </c>
      <c r="E77" s="205" t="s">
        <v>70</v>
      </c>
      <c r="F77" s="206"/>
      <c r="G77" s="398" t="s">
        <v>163</v>
      </c>
      <c r="H77" s="211">
        <v>1000</v>
      </c>
      <c r="I77" s="234">
        <v>1000</v>
      </c>
      <c r="J77" s="205" t="s">
        <v>179</v>
      </c>
      <c r="K77" s="205" t="s">
        <v>43</v>
      </c>
      <c r="M77">
        <f t="shared" si="0"/>
        <v>200</v>
      </c>
    </row>
    <row r="78" spans="1:16" x14ac:dyDescent="0.25">
      <c r="A78" s="203">
        <v>11</v>
      </c>
      <c r="B78" s="205" t="s">
        <v>2300</v>
      </c>
      <c r="C78" s="396" t="s">
        <v>48</v>
      </c>
      <c r="D78" s="205"/>
      <c r="E78" s="205" t="s">
        <v>84</v>
      </c>
      <c r="F78" s="206"/>
      <c r="G78" s="205" t="s">
        <v>42</v>
      </c>
      <c r="H78" s="211">
        <v>500</v>
      </c>
      <c r="I78" s="234">
        <v>150</v>
      </c>
      <c r="J78" s="205" t="s">
        <v>179</v>
      </c>
      <c r="K78" s="205" t="s">
        <v>43</v>
      </c>
      <c r="M78">
        <f t="shared" si="0"/>
        <v>100</v>
      </c>
    </row>
    <row r="79" spans="1:16" x14ac:dyDescent="0.25">
      <c r="A79" s="203">
        <v>11</v>
      </c>
      <c r="B79" s="205" t="s">
        <v>2308</v>
      </c>
      <c r="C79" s="205" t="s">
        <v>40</v>
      </c>
      <c r="D79" s="205" t="s">
        <v>1578</v>
      </c>
      <c r="E79" s="205" t="s">
        <v>67</v>
      </c>
      <c r="F79" s="206"/>
      <c r="G79" s="398" t="s">
        <v>163</v>
      </c>
      <c r="H79" s="211">
        <v>1500</v>
      </c>
      <c r="I79" s="234">
        <v>1500</v>
      </c>
      <c r="J79" s="205" t="s">
        <v>179</v>
      </c>
      <c r="K79" s="205" t="s">
        <v>43</v>
      </c>
      <c r="M79">
        <f t="shared" si="0"/>
        <v>300</v>
      </c>
      <c r="P79" s="57"/>
    </row>
    <row r="80" spans="1:16" x14ac:dyDescent="0.25">
      <c r="A80" s="203">
        <v>11</v>
      </c>
      <c r="B80" s="205" t="s">
        <v>2309</v>
      </c>
      <c r="C80" s="205" t="s">
        <v>40</v>
      </c>
      <c r="D80" s="205" t="s">
        <v>793</v>
      </c>
      <c r="E80" s="205" t="s">
        <v>58</v>
      </c>
      <c r="F80" s="206"/>
      <c r="G80" s="398" t="s">
        <v>163</v>
      </c>
      <c r="H80" s="211">
        <v>3000</v>
      </c>
      <c r="I80" s="234">
        <v>3000</v>
      </c>
      <c r="J80" s="205" t="s">
        <v>179</v>
      </c>
      <c r="K80" s="205" t="s">
        <v>43</v>
      </c>
      <c r="M80">
        <f t="shared" si="0"/>
        <v>600</v>
      </c>
    </row>
    <row r="81" spans="1:16" s="187" customFormat="1" x14ac:dyDescent="0.25">
      <c r="A81" s="293">
        <v>13</v>
      </c>
      <c r="B81" s="205" t="s">
        <v>2312</v>
      </c>
      <c r="C81" s="205" t="s">
        <v>40</v>
      </c>
      <c r="D81" s="205" t="s">
        <v>402</v>
      </c>
      <c r="E81" s="205" t="s">
        <v>56</v>
      </c>
      <c r="F81" s="206" t="s">
        <v>2313</v>
      </c>
      <c r="G81" s="398" t="s">
        <v>163</v>
      </c>
      <c r="H81" s="211">
        <v>200</v>
      </c>
      <c r="I81" s="234" t="s">
        <v>255</v>
      </c>
      <c r="J81" s="205" t="s">
        <v>179</v>
      </c>
      <c r="K81" s="205" t="s">
        <v>43</v>
      </c>
      <c r="M81" s="187">
        <f t="shared" si="0"/>
        <v>40</v>
      </c>
    </row>
    <row r="82" spans="1:16" x14ac:dyDescent="0.25">
      <c r="A82" s="203">
        <v>16</v>
      </c>
      <c r="B82" s="205" t="s">
        <v>2318</v>
      </c>
      <c r="C82" s="205" t="s">
        <v>40</v>
      </c>
      <c r="D82" s="205" t="s">
        <v>2319</v>
      </c>
      <c r="E82" s="205" t="s">
        <v>47</v>
      </c>
      <c r="F82" s="206"/>
      <c r="G82" s="398" t="s">
        <v>163</v>
      </c>
      <c r="H82" s="211">
        <v>2000</v>
      </c>
      <c r="I82" s="234">
        <v>2000</v>
      </c>
      <c r="J82" s="205" t="s">
        <v>179</v>
      </c>
      <c r="K82" s="205" t="s">
        <v>43</v>
      </c>
      <c r="M82">
        <f t="shared" si="0"/>
        <v>400</v>
      </c>
    </row>
    <row r="83" spans="1:16" x14ac:dyDescent="0.25">
      <c r="A83" s="203">
        <v>16</v>
      </c>
      <c r="B83" s="205" t="s">
        <v>2320</v>
      </c>
      <c r="C83" s="205" t="s">
        <v>40</v>
      </c>
      <c r="D83" s="205" t="s">
        <v>488</v>
      </c>
      <c r="E83" s="206" t="s">
        <v>44</v>
      </c>
      <c r="F83" s="206" t="s">
        <v>2321</v>
      </c>
      <c r="G83" s="398" t="s">
        <v>163</v>
      </c>
      <c r="H83" s="211">
        <v>2000</v>
      </c>
      <c r="I83" s="234">
        <v>2000</v>
      </c>
      <c r="J83" s="205" t="s">
        <v>179</v>
      </c>
      <c r="K83" s="205" t="s">
        <v>43</v>
      </c>
      <c r="M83">
        <f t="shared" si="0"/>
        <v>400</v>
      </c>
    </row>
    <row r="84" spans="1:16" x14ac:dyDescent="0.25">
      <c r="A84" s="203">
        <v>16</v>
      </c>
      <c r="B84" s="205" t="s">
        <v>427</v>
      </c>
      <c r="C84" s="205" t="s">
        <v>40</v>
      </c>
      <c r="D84" s="205" t="s">
        <v>288</v>
      </c>
      <c r="E84" s="205" t="s">
        <v>57</v>
      </c>
      <c r="F84" s="206" t="s">
        <v>1628</v>
      </c>
      <c r="G84" s="205" t="s">
        <v>42</v>
      </c>
      <c r="H84" s="211">
        <v>7000</v>
      </c>
      <c r="I84" s="234">
        <v>1400</v>
      </c>
      <c r="J84" s="205" t="s">
        <v>179</v>
      </c>
      <c r="K84" s="205" t="s">
        <v>43</v>
      </c>
      <c r="M84">
        <f t="shared" si="0"/>
        <v>1400</v>
      </c>
    </row>
    <row r="85" spans="1:16" x14ac:dyDescent="0.25">
      <c r="A85" s="203">
        <v>16</v>
      </c>
      <c r="B85" s="205" t="s">
        <v>2311</v>
      </c>
      <c r="C85" s="396" t="s">
        <v>48</v>
      </c>
      <c r="D85" s="205" t="s">
        <v>1712</v>
      </c>
      <c r="E85" s="205" t="s">
        <v>44</v>
      </c>
      <c r="F85" s="206" t="s">
        <v>2322</v>
      </c>
      <c r="G85" s="413" t="s">
        <v>180</v>
      </c>
      <c r="H85" s="211">
        <v>2000</v>
      </c>
      <c r="I85" s="234">
        <v>1000</v>
      </c>
      <c r="J85" s="205" t="s">
        <v>179</v>
      </c>
      <c r="K85" s="205" t="s">
        <v>43</v>
      </c>
      <c r="M85">
        <f t="shared" si="0"/>
        <v>400</v>
      </c>
    </row>
    <row r="86" spans="1:16" x14ac:dyDescent="0.25">
      <c r="A86" s="203">
        <v>16</v>
      </c>
      <c r="B86" s="205" t="s">
        <v>2311</v>
      </c>
      <c r="C86" s="396" t="s">
        <v>48</v>
      </c>
      <c r="D86" s="205" t="s">
        <v>1712</v>
      </c>
      <c r="E86" s="205" t="s">
        <v>44</v>
      </c>
      <c r="F86" s="206" t="s">
        <v>2322</v>
      </c>
      <c r="G86" s="398" t="s">
        <v>163</v>
      </c>
      <c r="H86" s="211">
        <v>500</v>
      </c>
      <c r="I86" s="234">
        <v>500</v>
      </c>
      <c r="J86" s="205" t="s">
        <v>179</v>
      </c>
      <c r="K86" s="205" t="s">
        <v>43</v>
      </c>
      <c r="M86">
        <f t="shared" si="0"/>
        <v>100</v>
      </c>
    </row>
    <row r="87" spans="1:16" x14ac:dyDescent="0.25">
      <c r="A87" s="203">
        <v>16</v>
      </c>
      <c r="B87" s="205" t="s">
        <v>2323</v>
      </c>
      <c r="C87" s="205" t="s">
        <v>40</v>
      </c>
      <c r="D87" s="205" t="s">
        <v>2319</v>
      </c>
      <c r="E87" s="205" t="s">
        <v>56</v>
      </c>
      <c r="F87" s="206" t="s">
        <v>2324</v>
      </c>
      <c r="G87" s="205" t="s">
        <v>42</v>
      </c>
      <c r="H87" s="211">
        <v>300</v>
      </c>
      <c r="I87" s="234">
        <v>60</v>
      </c>
      <c r="J87" s="205" t="s">
        <v>179</v>
      </c>
      <c r="K87" s="205" t="s">
        <v>43</v>
      </c>
      <c r="M87">
        <f t="shared" si="0"/>
        <v>60</v>
      </c>
    </row>
    <row r="88" spans="1:16" x14ac:dyDescent="0.25">
      <c r="A88" s="203">
        <v>16</v>
      </c>
      <c r="B88" s="205" t="s">
        <v>2323</v>
      </c>
      <c r="C88" s="205" t="s">
        <v>40</v>
      </c>
      <c r="D88" s="205" t="s">
        <v>2319</v>
      </c>
      <c r="E88" s="205" t="s">
        <v>56</v>
      </c>
      <c r="F88" s="206" t="s">
        <v>2324</v>
      </c>
      <c r="G88" s="398" t="s">
        <v>163</v>
      </c>
      <c r="H88" s="211">
        <v>300</v>
      </c>
      <c r="I88" s="234">
        <v>300</v>
      </c>
      <c r="J88" s="205" t="s">
        <v>179</v>
      </c>
      <c r="K88" s="205" t="s">
        <v>43</v>
      </c>
      <c r="M88">
        <f t="shared" si="0"/>
        <v>60</v>
      </c>
      <c r="P88" s="57"/>
    </row>
    <row r="89" spans="1:16" x14ac:dyDescent="0.25">
      <c r="A89" s="203">
        <v>16</v>
      </c>
      <c r="B89" s="205" t="s">
        <v>2325</v>
      </c>
      <c r="C89" s="205" t="s">
        <v>40</v>
      </c>
      <c r="D89" s="205" t="s">
        <v>2326</v>
      </c>
      <c r="E89" s="205" t="s">
        <v>71</v>
      </c>
      <c r="F89" s="206" t="s">
        <v>2327</v>
      </c>
      <c r="G89" s="398" t="s">
        <v>163</v>
      </c>
      <c r="H89" s="211">
        <v>2000</v>
      </c>
      <c r="I89" s="234">
        <v>2000</v>
      </c>
      <c r="J89" s="205" t="s">
        <v>179</v>
      </c>
      <c r="K89" s="205" t="s">
        <v>43</v>
      </c>
      <c r="M89">
        <f t="shared" si="0"/>
        <v>400</v>
      </c>
    </row>
    <row r="90" spans="1:16" x14ac:dyDescent="0.25">
      <c r="A90" s="203">
        <v>16</v>
      </c>
      <c r="B90" s="205" t="s">
        <v>1891</v>
      </c>
      <c r="C90" s="205" t="s">
        <v>40</v>
      </c>
      <c r="D90" s="205" t="s">
        <v>852</v>
      </c>
      <c r="E90" s="205" t="s">
        <v>45</v>
      </c>
      <c r="F90" s="206"/>
      <c r="G90" s="205" t="s">
        <v>42</v>
      </c>
      <c r="H90" s="211">
        <v>500</v>
      </c>
      <c r="I90" s="234">
        <v>100</v>
      </c>
      <c r="J90" s="205" t="s">
        <v>179</v>
      </c>
      <c r="K90" s="205" t="s">
        <v>43</v>
      </c>
      <c r="M90">
        <f t="shared" si="0"/>
        <v>100</v>
      </c>
    </row>
    <row r="91" spans="1:16" x14ac:dyDescent="0.25">
      <c r="A91" s="203">
        <v>16</v>
      </c>
      <c r="B91" s="205" t="s">
        <v>2328</v>
      </c>
      <c r="C91" s="205" t="s">
        <v>40</v>
      </c>
      <c r="D91" s="205" t="s">
        <v>2303</v>
      </c>
      <c r="E91" s="205" t="s">
        <v>56</v>
      </c>
      <c r="F91" s="206"/>
      <c r="G91" s="398" t="s">
        <v>163</v>
      </c>
      <c r="H91" s="211">
        <v>200</v>
      </c>
      <c r="I91" s="234">
        <v>200</v>
      </c>
      <c r="J91" s="205" t="s">
        <v>179</v>
      </c>
      <c r="K91" s="205" t="s">
        <v>43</v>
      </c>
      <c r="M91">
        <f t="shared" si="0"/>
        <v>40</v>
      </c>
    </row>
    <row r="92" spans="1:16" x14ac:dyDescent="0.25">
      <c r="A92" s="203">
        <v>16</v>
      </c>
      <c r="B92" s="205" t="s">
        <v>2329</v>
      </c>
      <c r="C92" s="396" t="s">
        <v>48</v>
      </c>
      <c r="D92" s="205" t="s">
        <v>699</v>
      </c>
      <c r="E92" s="205" t="s">
        <v>50</v>
      </c>
      <c r="F92" s="206" t="s">
        <v>2330</v>
      </c>
      <c r="G92" s="205" t="s">
        <v>42</v>
      </c>
      <c r="H92" s="211">
        <v>500</v>
      </c>
      <c r="I92" s="234">
        <v>100</v>
      </c>
      <c r="J92" s="205" t="s">
        <v>179</v>
      </c>
      <c r="K92" s="205" t="s">
        <v>43</v>
      </c>
      <c r="M92">
        <f t="shared" si="0"/>
        <v>100</v>
      </c>
    </row>
    <row r="93" spans="1:16" x14ac:dyDescent="0.25">
      <c r="A93" s="203">
        <v>16</v>
      </c>
      <c r="B93" s="205" t="s">
        <v>2331</v>
      </c>
      <c r="C93" s="205" t="s">
        <v>40</v>
      </c>
      <c r="D93" s="205" t="s">
        <v>402</v>
      </c>
      <c r="E93" s="205" t="s">
        <v>57</v>
      </c>
      <c r="F93" s="206"/>
      <c r="G93" s="205" t="s">
        <v>42</v>
      </c>
      <c r="H93" s="211">
        <v>2000</v>
      </c>
      <c r="I93" s="298">
        <v>400</v>
      </c>
      <c r="J93" s="205" t="s">
        <v>179</v>
      </c>
      <c r="K93" s="205" t="s">
        <v>43</v>
      </c>
      <c r="M93">
        <f t="shared" si="0"/>
        <v>400</v>
      </c>
    </row>
    <row r="94" spans="1:16" x14ac:dyDescent="0.25">
      <c r="A94" s="203">
        <v>16</v>
      </c>
      <c r="B94" s="205" t="s">
        <v>2332</v>
      </c>
      <c r="C94" s="205" t="s">
        <v>40</v>
      </c>
      <c r="D94" s="205" t="s">
        <v>2333</v>
      </c>
      <c r="E94" s="205" t="s">
        <v>62</v>
      </c>
      <c r="F94" s="206"/>
      <c r="G94" s="205" t="s">
        <v>42</v>
      </c>
      <c r="H94" s="211">
        <v>4000</v>
      </c>
      <c r="I94" s="234">
        <v>800</v>
      </c>
      <c r="J94" s="205" t="s">
        <v>179</v>
      </c>
      <c r="K94" s="205" t="s">
        <v>43</v>
      </c>
      <c r="M94">
        <f t="shared" si="0"/>
        <v>800</v>
      </c>
    </row>
    <row r="95" spans="1:16" x14ac:dyDescent="0.25">
      <c r="A95" s="203">
        <v>16</v>
      </c>
      <c r="B95" s="205" t="s">
        <v>2334</v>
      </c>
      <c r="C95" s="205" t="s">
        <v>40</v>
      </c>
      <c r="D95" s="205" t="s">
        <v>1013</v>
      </c>
      <c r="E95" s="205" t="s">
        <v>52</v>
      </c>
      <c r="F95" s="206" t="s">
        <v>2335</v>
      </c>
      <c r="G95" s="398" t="s">
        <v>163</v>
      </c>
      <c r="H95" s="211">
        <v>500</v>
      </c>
      <c r="I95" s="234">
        <v>500</v>
      </c>
      <c r="J95" s="205" t="s">
        <v>179</v>
      </c>
      <c r="K95" s="205" t="s">
        <v>43</v>
      </c>
      <c r="M95">
        <f t="shared" si="0"/>
        <v>100</v>
      </c>
    </row>
    <row r="96" spans="1:16" x14ac:dyDescent="0.25">
      <c r="A96" s="203">
        <v>16</v>
      </c>
      <c r="B96" s="205" t="s">
        <v>2336</v>
      </c>
      <c r="C96" s="205" t="s">
        <v>40</v>
      </c>
      <c r="D96" s="205" t="s">
        <v>402</v>
      </c>
      <c r="E96" s="205" t="s">
        <v>57</v>
      </c>
      <c r="F96" s="206" t="s">
        <v>2337</v>
      </c>
      <c r="G96" s="205" t="s">
        <v>42</v>
      </c>
      <c r="H96" s="211">
        <v>1500</v>
      </c>
      <c r="I96" s="234">
        <v>300</v>
      </c>
      <c r="J96" s="205" t="s">
        <v>179</v>
      </c>
      <c r="K96" s="205" t="s">
        <v>43</v>
      </c>
      <c r="M96">
        <f t="shared" si="0"/>
        <v>300</v>
      </c>
    </row>
    <row r="97" spans="1:16" x14ac:dyDescent="0.25">
      <c r="A97" s="203">
        <v>16</v>
      </c>
      <c r="B97" s="205" t="s">
        <v>2338</v>
      </c>
      <c r="C97" s="205" t="s">
        <v>40</v>
      </c>
      <c r="D97" s="205" t="s">
        <v>793</v>
      </c>
      <c r="E97" s="205" t="s">
        <v>58</v>
      </c>
      <c r="F97" s="206" t="s">
        <v>2339</v>
      </c>
      <c r="G97" s="205" t="s">
        <v>42</v>
      </c>
      <c r="H97" s="211">
        <v>1000</v>
      </c>
      <c r="I97" s="234">
        <v>200</v>
      </c>
      <c r="J97" s="205" t="s">
        <v>179</v>
      </c>
      <c r="K97" s="205" t="s">
        <v>43</v>
      </c>
      <c r="M97">
        <f t="shared" si="0"/>
        <v>200</v>
      </c>
    </row>
    <row r="98" spans="1:16" x14ac:dyDescent="0.25">
      <c r="A98" s="203">
        <v>16</v>
      </c>
      <c r="B98" s="205" t="s">
        <v>2338</v>
      </c>
      <c r="C98" s="205" t="s">
        <v>40</v>
      </c>
      <c r="D98" s="205" t="s">
        <v>793</v>
      </c>
      <c r="E98" s="205" t="s">
        <v>58</v>
      </c>
      <c r="F98" s="206" t="s">
        <v>2339</v>
      </c>
      <c r="G98" s="413" t="s">
        <v>180</v>
      </c>
      <c r="H98" s="211">
        <v>200</v>
      </c>
      <c r="I98" s="234">
        <v>100</v>
      </c>
      <c r="J98" s="205" t="s">
        <v>179</v>
      </c>
      <c r="K98" s="205" t="s">
        <v>43</v>
      </c>
      <c r="M98">
        <f t="shared" si="0"/>
        <v>40</v>
      </c>
    </row>
    <row r="99" spans="1:16" x14ac:dyDescent="0.25">
      <c r="A99" s="203">
        <v>16</v>
      </c>
      <c r="B99" s="205" t="s">
        <v>2340</v>
      </c>
      <c r="C99" s="205" t="s">
        <v>40</v>
      </c>
      <c r="D99" s="205" t="s">
        <v>430</v>
      </c>
      <c r="E99" s="205" t="s">
        <v>45</v>
      </c>
      <c r="F99" s="206"/>
      <c r="G99" s="205" t="s">
        <v>42</v>
      </c>
      <c r="H99" s="211">
        <v>100</v>
      </c>
      <c r="I99" s="234">
        <v>20</v>
      </c>
      <c r="J99" s="205" t="s">
        <v>179</v>
      </c>
      <c r="K99" s="205" t="s">
        <v>43</v>
      </c>
      <c r="M99">
        <f t="shared" si="0"/>
        <v>20</v>
      </c>
      <c r="P99" s="57"/>
    </row>
    <row r="100" spans="1:16" x14ac:dyDescent="0.25">
      <c r="A100" s="203">
        <v>16</v>
      </c>
      <c r="B100" s="205" t="s">
        <v>2341</v>
      </c>
      <c r="C100" s="205" t="s">
        <v>40</v>
      </c>
      <c r="D100" s="205" t="s">
        <v>893</v>
      </c>
      <c r="E100" s="205" t="s">
        <v>50</v>
      </c>
      <c r="F100" s="206"/>
      <c r="G100" s="395" t="s">
        <v>162</v>
      </c>
      <c r="H100" s="211">
        <v>40</v>
      </c>
      <c r="I100" s="234">
        <v>200</v>
      </c>
      <c r="J100" s="205" t="s">
        <v>179</v>
      </c>
      <c r="K100" s="205" t="s">
        <v>43</v>
      </c>
      <c r="M100">
        <f t="shared" si="0"/>
        <v>8</v>
      </c>
    </row>
    <row r="101" spans="1:16" x14ac:dyDescent="0.25">
      <c r="A101" s="203">
        <v>16</v>
      </c>
      <c r="B101" s="205" t="s">
        <v>2342</v>
      </c>
      <c r="C101" s="396" t="s">
        <v>48</v>
      </c>
      <c r="D101" s="205" t="s">
        <v>144</v>
      </c>
      <c r="E101" s="205" t="s">
        <v>47</v>
      </c>
      <c r="F101" s="206"/>
      <c r="G101" s="395" t="s">
        <v>162</v>
      </c>
      <c r="H101" s="211">
        <v>5</v>
      </c>
      <c r="I101" s="234">
        <v>25</v>
      </c>
      <c r="J101" s="205" t="s">
        <v>179</v>
      </c>
      <c r="K101" s="205" t="s">
        <v>43</v>
      </c>
      <c r="M101">
        <f t="shared" si="0"/>
        <v>1</v>
      </c>
    </row>
    <row r="102" spans="1:16" x14ac:dyDescent="0.25">
      <c r="A102" s="203">
        <v>16</v>
      </c>
      <c r="B102" s="205" t="s">
        <v>2343</v>
      </c>
      <c r="C102" s="396" t="s">
        <v>48</v>
      </c>
      <c r="D102" s="205" t="s">
        <v>372</v>
      </c>
      <c r="E102" s="205" t="s">
        <v>44</v>
      </c>
      <c r="F102" s="206"/>
      <c r="G102" s="205" t="s">
        <v>42</v>
      </c>
      <c r="H102" s="211">
        <v>2000</v>
      </c>
      <c r="I102" s="234">
        <v>400</v>
      </c>
      <c r="J102" s="205" t="s">
        <v>179</v>
      </c>
      <c r="K102" s="205" t="s">
        <v>43</v>
      </c>
      <c r="M102">
        <f t="shared" si="0"/>
        <v>400</v>
      </c>
    </row>
    <row r="103" spans="1:16" x14ac:dyDescent="0.25">
      <c r="A103" s="203">
        <v>16</v>
      </c>
      <c r="B103" s="205" t="s">
        <v>2344</v>
      </c>
      <c r="C103" s="205" t="s">
        <v>40</v>
      </c>
      <c r="D103" s="205" t="s">
        <v>1776</v>
      </c>
      <c r="E103" s="205" t="s">
        <v>45</v>
      </c>
      <c r="F103" s="206"/>
      <c r="G103" s="205" t="s">
        <v>42</v>
      </c>
      <c r="H103" s="211">
        <v>1000</v>
      </c>
      <c r="I103" s="234">
        <v>200</v>
      </c>
      <c r="J103" s="205" t="s">
        <v>179</v>
      </c>
      <c r="K103" s="205" t="s">
        <v>43</v>
      </c>
      <c r="M103">
        <f t="shared" si="0"/>
        <v>200</v>
      </c>
    </row>
    <row r="104" spans="1:16" x14ac:dyDescent="0.25">
      <c r="A104" s="203">
        <v>16</v>
      </c>
      <c r="B104" s="205" t="s">
        <v>2344</v>
      </c>
      <c r="C104" s="205" t="s">
        <v>40</v>
      </c>
      <c r="D104" s="205" t="s">
        <v>1776</v>
      </c>
      <c r="E104" s="205" t="s">
        <v>45</v>
      </c>
      <c r="F104" s="206"/>
      <c r="G104" s="413" t="s">
        <v>180</v>
      </c>
      <c r="H104" s="211">
        <v>500</v>
      </c>
      <c r="I104" s="234">
        <v>250</v>
      </c>
      <c r="J104" s="205" t="s">
        <v>179</v>
      </c>
      <c r="K104" s="205" t="s">
        <v>43</v>
      </c>
      <c r="M104">
        <f t="shared" si="0"/>
        <v>100</v>
      </c>
    </row>
    <row r="105" spans="1:16" x14ac:dyDescent="0.25">
      <c r="A105" s="203">
        <v>16</v>
      </c>
      <c r="B105" s="369" t="s">
        <v>2345</v>
      </c>
      <c r="C105" s="205" t="s">
        <v>40</v>
      </c>
      <c r="D105" s="205" t="s">
        <v>658</v>
      </c>
      <c r="E105" s="205" t="s">
        <v>50</v>
      </c>
      <c r="F105" s="206"/>
      <c r="G105" s="398" t="s">
        <v>163</v>
      </c>
      <c r="H105" s="211">
        <v>400</v>
      </c>
      <c r="I105" s="234">
        <v>400</v>
      </c>
      <c r="J105" s="205" t="s">
        <v>179</v>
      </c>
      <c r="K105" s="205" t="s">
        <v>43</v>
      </c>
      <c r="M105">
        <f t="shared" si="0"/>
        <v>80</v>
      </c>
      <c r="P105" s="25"/>
    </row>
    <row r="106" spans="1:16" x14ac:dyDescent="0.25">
      <c r="A106" s="203">
        <v>16</v>
      </c>
      <c r="B106" s="205" t="s">
        <v>2346</v>
      </c>
      <c r="C106" s="205" t="s">
        <v>40</v>
      </c>
      <c r="D106" s="205" t="s">
        <v>302</v>
      </c>
      <c r="E106" s="205" t="s">
        <v>57</v>
      </c>
      <c r="F106" s="206"/>
      <c r="G106" s="205" t="s">
        <v>42</v>
      </c>
      <c r="H106" s="211">
        <v>3000</v>
      </c>
      <c r="I106" s="234">
        <v>600</v>
      </c>
      <c r="J106" s="205" t="s">
        <v>179</v>
      </c>
      <c r="K106" s="205" t="s">
        <v>43</v>
      </c>
      <c r="M106">
        <f t="shared" si="0"/>
        <v>600</v>
      </c>
      <c r="P106" s="57"/>
    </row>
    <row r="107" spans="1:16" x14ac:dyDescent="0.25">
      <c r="A107" s="203">
        <v>16</v>
      </c>
      <c r="B107" s="205" t="s">
        <v>2347</v>
      </c>
      <c r="C107" s="396" t="s">
        <v>48</v>
      </c>
      <c r="D107" s="205" t="s">
        <v>2348</v>
      </c>
      <c r="E107" s="205" t="s">
        <v>86</v>
      </c>
      <c r="F107" s="206" t="s">
        <v>2350</v>
      </c>
      <c r="G107" s="205" t="s">
        <v>42</v>
      </c>
      <c r="H107" s="211">
        <v>100</v>
      </c>
      <c r="I107" s="234" t="s">
        <v>255</v>
      </c>
      <c r="J107" s="205" t="s">
        <v>179</v>
      </c>
      <c r="K107" s="205" t="s">
        <v>43</v>
      </c>
      <c r="M107">
        <f t="shared" si="0"/>
        <v>20</v>
      </c>
      <c r="P107" s="57"/>
    </row>
    <row r="108" spans="1:16" x14ac:dyDescent="0.25">
      <c r="A108" s="203">
        <v>16</v>
      </c>
      <c r="B108" s="205" t="s">
        <v>2349</v>
      </c>
      <c r="C108" s="205" t="s">
        <v>40</v>
      </c>
      <c r="D108" s="205" t="s">
        <v>1500</v>
      </c>
      <c r="E108" s="205" t="s">
        <v>64</v>
      </c>
      <c r="F108" s="206" t="s">
        <v>2351</v>
      </c>
      <c r="G108" s="205" t="s">
        <v>42</v>
      </c>
      <c r="H108" s="211">
        <v>1000</v>
      </c>
      <c r="I108" s="234" t="s">
        <v>255</v>
      </c>
      <c r="J108" s="205" t="s">
        <v>179</v>
      </c>
      <c r="K108" s="205" t="s">
        <v>43</v>
      </c>
      <c r="M108">
        <f t="shared" si="0"/>
        <v>200</v>
      </c>
      <c r="P108" s="57"/>
    </row>
    <row r="109" spans="1:16" x14ac:dyDescent="0.25">
      <c r="A109" s="203">
        <v>16</v>
      </c>
      <c r="B109" s="205" t="s">
        <v>2349</v>
      </c>
      <c r="C109" s="205" t="s">
        <v>40</v>
      </c>
      <c r="D109" s="205" t="s">
        <v>1500</v>
      </c>
      <c r="E109" s="205" t="s">
        <v>64</v>
      </c>
      <c r="F109" s="206" t="s">
        <v>2351</v>
      </c>
      <c r="G109" s="205" t="s">
        <v>42</v>
      </c>
      <c r="H109" s="211">
        <v>20</v>
      </c>
      <c r="I109" s="234">
        <v>8</v>
      </c>
      <c r="J109" s="205"/>
      <c r="K109" s="205"/>
      <c r="M109">
        <f t="shared" si="0"/>
        <v>4</v>
      </c>
      <c r="P109" s="57"/>
    </row>
    <row r="110" spans="1:16" x14ac:dyDescent="0.25">
      <c r="A110" s="203">
        <v>16</v>
      </c>
      <c r="B110" s="205" t="s">
        <v>2352</v>
      </c>
      <c r="C110" s="396" t="s">
        <v>48</v>
      </c>
      <c r="D110" s="205" t="s">
        <v>1578</v>
      </c>
      <c r="E110" s="205" t="s">
        <v>67</v>
      </c>
      <c r="F110" s="206" t="s">
        <v>2353</v>
      </c>
      <c r="G110" s="205" t="s">
        <v>42</v>
      </c>
      <c r="H110" s="211">
        <v>2000</v>
      </c>
      <c r="I110" s="234">
        <v>400</v>
      </c>
      <c r="J110" s="205" t="s">
        <v>179</v>
      </c>
      <c r="K110" s="205" t="s">
        <v>43</v>
      </c>
      <c r="M110">
        <f t="shared" si="0"/>
        <v>400</v>
      </c>
      <c r="P110" s="57"/>
    </row>
    <row r="111" spans="1:16" x14ac:dyDescent="0.25">
      <c r="A111" s="203">
        <v>16</v>
      </c>
      <c r="B111" s="205" t="s">
        <v>2354</v>
      </c>
      <c r="C111" s="205" t="s">
        <v>40</v>
      </c>
      <c r="D111" s="205" t="s">
        <v>1776</v>
      </c>
      <c r="E111" s="205" t="s">
        <v>45</v>
      </c>
      <c r="F111" s="206" t="s">
        <v>1846</v>
      </c>
      <c r="G111" s="205" t="s">
        <v>42</v>
      </c>
      <c r="H111" s="211">
        <v>1500</v>
      </c>
      <c r="I111" s="234">
        <v>300</v>
      </c>
      <c r="J111" s="205" t="s">
        <v>179</v>
      </c>
      <c r="K111" s="205" t="s">
        <v>43</v>
      </c>
      <c r="M111">
        <f t="shared" si="0"/>
        <v>300</v>
      </c>
      <c r="P111" s="57"/>
    </row>
    <row r="112" spans="1:16" x14ac:dyDescent="0.25">
      <c r="A112" s="203">
        <v>16</v>
      </c>
      <c r="B112" s="205" t="s">
        <v>2355</v>
      </c>
      <c r="C112" s="205" t="s">
        <v>40</v>
      </c>
      <c r="D112" s="205" t="s">
        <v>266</v>
      </c>
      <c r="E112" s="205" t="s">
        <v>64</v>
      </c>
      <c r="F112" s="206" t="s">
        <v>2356</v>
      </c>
      <c r="G112" s="205" t="s">
        <v>42</v>
      </c>
      <c r="H112" s="211">
        <v>100</v>
      </c>
      <c r="I112" s="234">
        <v>40</v>
      </c>
      <c r="J112" s="205" t="s">
        <v>179</v>
      </c>
      <c r="K112" s="205" t="s">
        <v>43</v>
      </c>
      <c r="M112">
        <f t="shared" si="0"/>
        <v>20</v>
      </c>
      <c r="P112" s="57"/>
    </row>
    <row r="113" spans="1:16" x14ac:dyDescent="0.25">
      <c r="A113" s="203">
        <v>16</v>
      </c>
      <c r="B113" s="205" t="s">
        <v>2355</v>
      </c>
      <c r="C113" s="205" t="s">
        <v>40</v>
      </c>
      <c r="D113" s="205" t="s">
        <v>266</v>
      </c>
      <c r="E113" s="205" t="s">
        <v>64</v>
      </c>
      <c r="F113" s="206" t="s">
        <v>2356</v>
      </c>
      <c r="G113" s="395" t="s">
        <v>162</v>
      </c>
      <c r="H113" s="211">
        <v>100</v>
      </c>
      <c r="I113" s="234">
        <v>1000</v>
      </c>
      <c r="J113" s="205" t="s">
        <v>179</v>
      </c>
      <c r="K113" s="205" t="s">
        <v>43</v>
      </c>
      <c r="M113">
        <f t="shared" si="0"/>
        <v>20</v>
      </c>
      <c r="P113" s="57"/>
    </row>
    <row r="114" spans="1:16" x14ac:dyDescent="0.25">
      <c r="A114" s="203">
        <v>16</v>
      </c>
      <c r="B114" s="205" t="s">
        <v>2357</v>
      </c>
      <c r="C114" s="205" t="s">
        <v>40</v>
      </c>
      <c r="D114" s="205" t="s">
        <v>1041</v>
      </c>
      <c r="E114" s="205" t="s">
        <v>46</v>
      </c>
      <c r="F114" s="206"/>
      <c r="G114" s="205" t="s">
        <v>42</v>
      </c>
      <c r="H114" s="211">
        <v>10000</v>
      </c>
      <c r="I114" s="234">
        <v>2000</v>
      </c>
      <c r="J114" s="205" t="s">
        <v>179</v>
      </c>
      <c r="K114" s="205" t="s">
        <v>43</v>
      </c>
      <c r="M114">
        <f t="shared" si="0"/>
        <v>2000</v>
      </c>
      <c r="P114" s="57"/>
    </row>
    <row r="115" spans="1:16" x14ac:dyDescent="0.25">
      <c r="A115" s="203">
        <v>16</v>
      </c>
      <c r="B115" s="205" t="s">
        <v>2357</v>
      </c>
      <c r="C115" s="205" t="s">
        <v>40</v>
      </c>
      <c r="D115" s="205" t="s">
        <v>1041</v>
      </c>
      <c r="E115" s="205" t="s">
        <v>46</v>
      </c>
      <c r="F115" s="206"/>
      <c r="G115" s="398" t="s">
        <v>163</v>
      </c>
      <c r="H115" s="211">
        <v>200</v>
      </c>
      <c r="I115" s="234">
        <v>200</v>
      </c>
      <c r="J115" s="205" t="s">
        <v>179</v>
      </c>
      <c r="K115" s="205" t="s">
        <v>43</v>
      </c>
      <c r="M115">
        <f t="shared" si="0"/>
        <v>40</v>
      </c>
      <c r="P115" s="57"/>
    </row>
    <row r="116" spans="1:16" x14ac:dyDescent="0.25">
      <c r="A116" s="203">
        <v>16</v>
      </c>
      <c r="B116" s="205" t="s">
        <v>2358</v>
      </c>
      <c r="C116" s="205" t="s">
        <v>40</v>
      </c>
      <c r="D116" s="205" t="s">
        <v>699</v>
      </c>
      <c r="E116" s="205" t="s">
        <v>59</v>
      </c>
      <c r="F116" s="206"/>
      <c r="G116" s="205" t="s">
        <v>42</v>
      </c>
      <c r="H116" s="211">
        <v>100</v>
      </c>
      <c r="I116" s="234">
        <v>20</v>
      </c>
      <c r="J116" s="205" t="s">
        <v>179</v>
      </c>
      <c r="K116" s="205" t="s">
        <v>43</v>
      </c>
      <c r="M116">
        <f t="shared" si="0"/>
        <v>20</v>
      </c>
      <c r="P116" s="57"/>
    </row>
    <row r="117" spans="1:16" x14ac:dyDescent="0.25">
      <c r="A117" s="203">
        <v>16</v>
      </c>
      <c r="B117" s="205" t="s">
        <v>969</v>
      </c>
      <c r="C117" s="205" t="s">
        <v>40</v>
      </c>
      <c r="D117" s="205" t="s">
        <v>1578</v>
      </c>
      <c r="E117" s="205" t="s">
        <v>67</v>
      </c>
      <c r="F117" s="206"/>
      <c r="G117" s="205" t="s">
        <v>42</v>
      </c>
      <c r="H117" s="211">
        <v>3000</v>
      </c>
      <c r="I117" s="234">
        <v>600</v>
      </c>
      <c r="J117" s="205" t="s">
        <v>179</v>
      </c>
      <c r="K117" s="205" t="s">
        <v>43</v>
      </c>
      <c r="M117">
        <f t="shared" si="0"/>
        <v>600</v>
      </c>
      <c r="P117" s="57"/>
    </row>
    <row r="118" spans="1:16" x14ac:dyDescent="0.25">
      <c r="A118" s="203">
        <v>16</v>
      </c>
      <c r="B118" s="205" t="s">
        <v>969</v>
      </c>
      <c r="C118" s="205" t="s">
        <v>40</v>
      </c>
      <c r="D118" s="205" t="s">
        <v>1578</v>
      </c>
      <c r="E118" s="205" t="s">
        <v>67</v>
      </c>
      <c r="F118" s="206"/>
      <c r="G118" s="413" t="s">
        <v>180</v>
      </c>
      <c r="H118" s="211">
        <v>700</v>
      </c>
      <c r="I118" s="234">
        <v>350</v>
      </c>
      <c r="J118" s="205" t="s">
        <v>179</v>
      </c>
      <c r="K118" s="205" t="s">
        <v>43</v>
      </c>
      <c r="M118">
        <f t="shared" si="0"/>
        <v>140</v>
      </c>
      <c r="P118" s="57"/>
    </row>
    <row r="119" spans="1:16" x14ac:dyDescent="0.25">
      <c r="A119" s="203">
        <v>16</v>
      </c>
      <c r="B119" s="205" t="s">
        <v>969</v>
      </c>
      <c r="C119" s="205" t="s">
        <v>40</v>
      </c>
      <c r="D119" s="205" t="s">
        <v>1578</v>
      </c>
      <c r="E119" s="205" t="s">
        <v>67</v>
      </c>
      <c r="F119" s="206"/>
      <c r="G119" s="398" t="s">
        <v>163</v>
      </c>
      <c r="H119" s="211">
        <v>1300</v>
      </c>
      <c r="I119" s="234">
        <v>1300</v>
      </c>
      <c r="J119" s="205" t="s">
        <v>179</v>
      </c>
      <c r="K119" s="205" t="s">
        <v>43</v>
      </c>
      <c r="M119">
        <f t="shared" si="0"/>
        <v>260</v>
      </c>
      <c r="P119" s="57"/>
    </row>
    <row r="120" spans="1:16" x14ac:dyDescent="0.25">
      <c r="A120" s="203">
        <v>16</v>
      </c>
      <c r="B120" s="205" t="s">
        <v>1023</v>
      </c>
      <c r="C120" s="205" t="s">
        <v>40</v>
      </c>
      <c r="D120" s="205" t="s">
        <v>725</v>
      </c>
      <c r="E120" s="205" t="s">
        <v>45</v>
      </c>
      <c r="F120" s="206" t="s">
        <v>1025</v>
      </c>
      <c r="G120" s="398" t="s">
        <v>163</v>
      </c>
      <c r="H120" s="211">
        <v>1600</v>
      </c>
      <c r="I120" s="234">
        <v>1600</v>
      </c>
      <c r="J120" s="205" t="s">
        <v>179</v>
      </c>
      <c r="K120" s="205" t="s">
        <v>43</v>
      </c>
      <c r="M120">
        <f t="shared" si="0"/>
        <v>320</v>
      </c>
      <c r="P120" s="57"/>
    </row>
    <row r="121" spans="1:16" x14ac:dyDescent="0.25">
      <c r="A121" s="203">
        <v>16</v>
      </c>
      <c r="B121" s="205" t="s">
        <v>2359</v>
      </c>
      <c r="C121" s="205" t="s">
        <v>40</v>
      </c>
      <c r="D121" s="205" t="s">
        <v>145</v>
      </c>
      <c r="E121" s="205" t="s">
        <v>50</v>
      </c>
      <c r="F121" s="206"/>
      <c r="G121" s="205" t="s">
        <v>42</v>
      </c>
      <c r="H121" s="211">
        <v>100</v>
      </c>
      <c r="I121" s="234">
        <v>20</v>
      </c>
      <c r="J121" s="205" t="s">
        <v>179</v>
      </c>
      <c r="K121" s="205" t="s">
        <v>43</v>
      </c>
      <c r="M121">
        <f t="shared" si="0"/>
        <v>20</v>
      </c>
      <c r="P121" s="57"/>
    </row>
    <row r="122" spans="1:16" x14ac:dyDescent="0.25">
      <c r="A122" s="203">
        <v>17</v>
      </c>
      <c r="B122" s="205" t="s">
        <v>2360</v>
      </c>
      <c r="C122" s="396" t="s">
        <v>48</v>
      </c>
      <c r="D122" s="205" t="s">
        <v>890</v>
      </c>
      <c r="E122" s="205" t="s">
        <v>67</v>
      </c>
      <c r="F122" s="206" t="s">
        <v>2361</v>
      </c>
      <c r="G122" s="205" t="s">
        <v>42</v>
      </c>
      <c r="H122" s="211">
        <v>4000</v>
      </c>
      <c r="I122" s="234">
        <v>800</v>
      </c>
      <c r="J122" s="205" t="s">
        <v>179</v>
      </c>
      <c r="K122" s="205" t="s">
        <v>43</v>
      </c>
      <c r="M122">
        <f t="shared" si="0"/>
        <v>800</v>
      </c>
      <c r="P122" s="57"/>
    </row>
    <row r="123" spans="1:16" x14ac:dyDescent="0.25">
      <c r="A123" s="203">
        <v>17</v>
      </c>
      <c r="B123" s="205" t="s">
        <v>2362</v>
      </c>
      <c r="C123" s="205" t="s">
        <v>40</v>
      </c>
      <c r="D123" s="205" t="s">
        <v>2033</v>
      </c>
      <c r="E123" s="205" t="s">
        <v>51</v>
      </c>
      <c r="F123" s="206"/>
      <c r="G123" s="205" t="s">
        <v>42</v>
      </c>
      <c r="H123" s="211">
        <v>1000</v>
      </c>
      <c r="I123" s="234" t="s">
        <v>255</v>
      </c>
      <c r="J123" s="205" t="s">
        <v>179</v>
      </c>
      <c r="K123" s="205" t="s">
        <v>43</v>
      </c>
      <c r="M123">
        <f t="shared" si="0"/>
        <v>200</v>
      </c>
      <c r="P123" s="57"/>
    </row>
    <row r="124" spans="1:16" x14ac:dyDescent="0.25">
      <c r="A124" s="203">
        <v>18</v>
      </c>
      <c r="B124" s="205" t="s">
        <v>2363</v>
      </c>
      <c r="C124" s="205" t="s">
        <v>40</v>
      </c>
      <c r="D124" s="205" t="s">
        <v>899</v>
      </c>
      <c r="E124" s="205" t="s">
        <v>57</v>
      </c>
      <c r="F124" s="206" t="s">
        <v>2364</v>
      </c>
      <c r="G124" s="205" t="s">
        <v>42</v>
      </c>
      <c r="H124" s="211">
        <v>500</v>
      </c>
      <c r="I124" s="234">
        <v>100</v>
      </c>
      <c r="J124" s="205" t="s">
        <v>179</v>
      </c>
      <c r="K124" s="205" t="s">
        <v>43</v>
      </c>
      <c r="M124">
        <f t="shared" si="0"/>
        <v>100</v>
      </c>
      <c r="P124" s="57"/>
    </row>
    <row r="125" spans="1:16" x14ac:dyDescent="0.25">
      <c r="A125" s="203">
        <v>18</v>
      </c>
      <c r="B125" s="205" t="s">
        <v>2365</v>
      </c>
      <c r="C125" s="205" t="s">
        <v>40</v>
      </c>
      <c r="D125" s="205" t="s">
        <v>815</v>
      </c>
      <c r="E125" s="205" t="s">
        <v>45</v>
      </c>
      <c r="F125" s="206" t="s">
        <v>2366</v>
      </c>
      <c r="G125" s="205" t="s">
        <v>42</v>
      </c>
      <c r="H125" s="211">
        <v>500</v>
      </c>
      <c r="I125" s="234">
        <v>100</v>
      </c>
      <c r="J125" s="205" t="s">
        <v>179</v>
      </c>
      <c r="K125" s="205" t="s">
        <v>43</v>
      </c>
      <c r="M125">
        <f t="shared" si="0"/>
        <v>100</v>
      </c>
      <c r="P125" s="57"/>
    </row>
    <row r="126" spans="1:16" x14ac:dyDescent="0.25">
      <c r="A126" s="203">
        <v>18</v>
      </c>
      <c r="B126" s="205" t="s">
        <v>2367</v>
      </c>
      <c r="C126" s="205" t="s">
        <v>40</v>
      </c>
      <c r="D126" s="205" t="s">
        <v>2203</v>
      </c>
      <c r="E126" s="205" t="s">
        <v>57</v>
      </c>
      <c r="F126" s="206"/>
      <c r="G126" s="205" t="s">
        <v>42</v>
      </c>
      <c r="H126" s="211">
        <v>3000</v>
      </c>
      <c r="I126" s="234">
        <v>600</v>
      </c>
      <c r="J126" s="205" t="s">
        <v>179</v>
      </c>
      <c r="K126" s="205" t="s">
        <v>43</v>
      </c>
      <c r="M126">
        <f t="shared" si="0"/>
        <v>600</v>
      </c>
      <c r="P126" s="57"/>
    </row>
    <row r="127" spans="1:16" x14ac:dyDescent="0.25">
      <c r="A127" s="203">
        <v>18</v>
      </c>
      <c r="B127" s="205" t="s">
        <v>2302</v>
      </c>
      <c r="C127" s="396" t="s">
        <v>48</v>
      </c>
      <c r="D127" s="205"/>
      <c r="E127" s="205" t="s">
        <v>2368</v>
      </c>
      <c r="F127" s="206" t="s">
        <v>2369</v>
      </c>
      <c r="G127" s="398" t="s">
        <v>163</v>
      </c>
      <c r="H127" s="211">
        <v>250</v>
      </c>
      <c r="I127" s="234">
        <v>250</v>
      </c>
      <c r="J127" s="205" t="s">
        <v>179</v>
      </c>
      <c r="K127" s="205" t="s">
        <v>43</v>
      </c>
      <c r="M127">
        <f t="shared" si="0"/>
        <v>50</v>
      </c>
      <c r="P127" s="57"/>
    </row>
    <row r="128" spans="1:16" x14ac:dyDescent="0.25">
      <c r="A128" s="203">
        <v>18</v>
      </c>
      <c r="B128" s="205" t="s">
        <v>2370</v>
      </c>
      <c r="C128" s="205" t="s">
        <v>40</v>
      </c>
      <c r="D128" s="205" t="s">
        <v>2371</v>
      </c>
      <c r="E128" s="205" t="s">
        <v>61</v>
      </c>
      <c r="F128" s="206" t="s">
        <v>2372</v>
      </c>
      <c r="G128" s="205" t="s">
        <v>42</v>
      </c>
      <c r="H128" s="211">
        <v>4000</v>
      </c>
      <c r="I128" s="234">
        <v>800</v>
      </c>
      <c r="J128" s="205" t="s">
        <v>179</v>
      </c>
      <c r="K128" s="205" t="s">
        <v>43</v>
      </c>
      <c r="M128">
        <f t="shared" si="0"/>
        <v>800</v>
      </c>
      <c r="P128" s="57"/>
    </row>
    <row r="129" spans="1:17" x14ac:dyDescent="0.25">
      <c r="A129" s="203">
        <v>18</v>
      </c>
      <c r="B129" s="205" t="s">
        <v>2373</v>
      </c>
      <c r="C129" s="205" t="s">
        <v>40</v>
      </c>
      <c r="D129" s="205" t="s">
        <v>927</v>
      </c>
      <c r="E129" s="205" t="s">
        <v>57</v>
      </c>
      <c r="F129" s="206" t="s">
        <v>2374</v>
      </c>
      <c r="G129" s="205" t="s">
        <v>42</v>
      </c>
      <c r="H129" s="211">
        <v>1000</v>
      </c>
      <c r="I129" s="234">
        <v>200</v>
      </c>
      <c r="J129" s="205" t="s">
        <v>179</v>
      </c>
      <c r="K129" s="205" t="s">
        <v>43</v>
      </c>
      <c r="M129">
        <f t="shared" si="0"/>
        <v>200</v>
      </c>
      <c r="P129" s="57"/>
    </row>
    <row r="130" spans="1:17" x14ac:dyDescent="0.25">
      <c r="A130" s="203">
        <v>18</v>
      </c>
      <c r="B130" s="205" t="s">
        <v>2375</v>
      </c>
      <c r="C130" s="205" t="s">
        <v>40</v>
      </c>
      <c r="D130" s="205" t="s">
        <v>1176</v>
      </c>
      <c r="E130" s="205" t="s">
        <v>44</v>
      </c>
      <c r="F130" s="206" t="s">
        <v>2376</v>
      </c>
      <c r="G130" s="205" t="s">
        <v>42</v>
      </c>
      <c r="H130" s="211">
        <v>200</v>
      </c>
      <c r="I130" s="234">
        <v>40</v>
      </c>
      <c r="J130" s="205" t="s">
        <v>179</v>
      </c>
      <c r="K130" s="205" t="s">
        <v>43</v>
      </c>
      <c r="M130">
        <f t="shared" si="0"/>
        <v>40</v>
      </c>
      <c r="P130" s="57"/>
    </row>
    <row r="131" spans="1:17" x14ac:dyDescent="0.25">
      <c r="A131" s="203">
        <v>18</v>
      </c>
      <c r="B131" s="205" t="s">
        <v>412</v>
      </c>
      <c r="C131" s="205" t="s">
        <v>40</v>
      </c>
      <c r="D131" s="205" t="s">
        <v>380</v>
      </c>
      <c r="E131" s="205" t="s">
        <v>45</v>
      </c>
      <c r="F131" s="206"/>
      <c r="G131" s="205" t="s">
        <v>42</v>
      </c>
      <c r="H131" s="211">
        <v>12000</v>
      </c>
      <c r="I131" s="234">
        <v>2400</v>
      </c>
      <c r="J131" s="205" t="s">
        <v>179</v>
      </c>
      <c r="K131" s="205" t="s">
        <v>43</v>
      </c>
      <c r="M131">
        <f t="shared" si="0"/>
        <v>2400</v>
      </c>
      <c r="P131" s="57"/>
    </row>
    <row r="132" spans="1:17" x14ac:dyDescent="0.25">
      <c r="A132" s="203">
        <v>18</v>
      </c>
      <c r="B132" s="205" t="s">
        <v>1005</v>
      </c>
      <c r="C132" s="396" t="s">
        <v>48</v>
      </c>
      <c r="D132" s="205" t="s">
        <v>1006</v>
      </c>
      <c r="E132" s="205" t="s">
        <v>56</v>
      </c>
      <c r="F132" s="206" t="s">
        <v>1750</v>
      </c>
      <c r="G132" s="205" t="s">
        <v>42</v>
      </c>
      <c r="H132" s="211">
        <v>5000</v>
      </c>
      <c r="I132" s="234">
        <v>1000</v>
      </c>
      <c r="J132" s="205" t="s">
        <v>179</v>
      </c>
      <c r="K132" s="205" t="s">
        <v>43</v>
      </c>
      <c r="M132">
        <f t="shared" si="0"/>
        <v>1000</v>
      </c>
      <c r="P132" s="57"/>
    </row>
    <row r="133" spans="1:17" x14ac:dyDescent="0.25">
      <c r="A133" s="203">
        <v>18</v>
      </c>
      <c r="B133" s="205" t="s">
        <v>2377</v>
      </c>
      <c r="C133" s="205" t="s">
        <v>40</v>
      </c>
      <c r="D133" s="205" t="s">
        <v>2378</v>
      </c>
      <c r="E133" s="205" t="s">
        <v>57</v>
      </c>
      <c r="F133" s="206"/>
      <c r="G133" s="205" t="s">
        <v>42</v>
      </c>
      <c r="H133" s="211">
        <v>2500</v>
      </c>
      <c r="I133" s="234">
        <v>500</v>
      </c>
      <c r="J133" s="205" t="s">
        <v>179</v>
      </c>
      <c r="K133" s="205" t="s">
        <v>43</v>
      </c>
      <c r="M133">
        <f t="shared" si="0"/>
        <v>500</v>
      </c>
      <c r="P133" s="57"/>
      <c r="Q133">
        <v>42</v>
      </c>
    </row>
    <row r="134" spans="1:17" x14ac:dyDescent="0.25">
      <c r="A134" s="203">
        <v>18</v>
      </c>
      <c r="B134" s="205" t="s">
        <v>2379</v>
      </c>
      <c r="C134" s="205" t="s">
        <v>40</v>
      </c>
      <c r="D134" s="205" t="s">
        <v>2380</v>
      </c>
      <c r="E134" s="205" t="s">
        <v>47</v>
      </c>
      <c r="F134" s="206" t="s">
        <v>2381</v>
      </c>
      <c r="G134" s="205" t="s">
        <v>42</v>
      </c>
      <c r="H134" s="211">
        <v>2500</v>
      </c>
      <c r="I134" s="234">
        <v>500</v>
      </c>
      <c r="J134" s="205" t="s">
        <v>179</v>
      </c>
      <c r="K134" s="205" t="s">
        <v>43</v>
      </c>
      <c r="M134">
        <f t="shared" si="0"/>
        <v>500</v>
      </c>
      <c r="P134" s="57"/>
    </row>
    <row r="135" spans="1:17" x14ac:dyDescent="0.25">
      <c r="A135" s="203">
        <v>18</v>
      </c>
      <c r="B135" s="205" t="s">
        <v>2379</v>
      </c>
      <c r="C135" s="205" t="s">
        <v>40</v>
      </c>
      <c r="D135" s="205" t="s">
        <v>2380</v>
      </c>
      <c r="E135" s="205" t="s">
        <v>47</v>
      </c>
      <c r="F135" s="206" t="s">
        <v>2381</v>
      </c>
      <c r="G135" s="413" t="s">
        <v>180</v>
      </c>
      <c r="H135" s="211">
        <v>1500</v>
      </c>
      <c r="I135" s="234">
        <v>750</v>
      </c>
      <c r="J135" s="205" t="s">
        <v>179</v>
      </c>
      <c r="K135" s="205" t="s">
        <v>43</v>
      </c>
      <c r="M135">
        <f t="shared" si="0"/>
        <v>300</v>
      </c>
      <c r="P135" s="57"/>
    </row>
    <row r="136" spans="1:17" x14ac:dyDescent="0.25">
      <c r="A136" s="203">
        <v>18</v>
      </c>
      <c r="B136" s="205" t="s">
        <v>2382</v>
      </c>
      <c r="C136" s="396" t="s">
        <v>48</v>
      </c>
      <c r="D136" s="205" t="s">
        <v>2383</v>
      </c>
      <c r="E136" s="205" t="s">
        <v>50</v>
      </c>
      <c r="F136" s="206"/>
      <c r="G136" s="205" t="s">
        <v>42</v>
      </c>
      <c r="H136" s="211">
        <v>500</v>
      </c>
      <c r="I136" s="234">
        <v>100</v>
      </c>
      <c r="J136" s="205" t="s">
        <v>179</v>
      </c>
      <c r="K136" s="205" t="s">
        <v>43</v>
      </c>
      <c r="M136">
        <f t="shared" si="0"/>
        <v>100</v>
      </c>
      <c r="P136" s="57"/>
    </row>
    <row r="137" spans="1:17" x14ac:dyDescent="0.25">
      <c r="A137" s="203">
        <v>18</v>
      </c>
      <c r="B137" s="205" t="s">
        <v>2384</v>
      </c>
      <c r="C137" s="205" t="s">
        <v>40</v>
      </c>
      <c r="D137" s="205" t="s">
        <v>852</v>
      </c>
      <c r="E137" s="205" t="s">
        <v>45</v>
      </c>
      <c r="F137" s="206"/>
      <c r="G137" s="205" t="s">
        <v>42</v>
      </c>
      <c r="H137" s="211">
        <v>2000</v>
      </c>
      <c r="I137" s="234">
        <v>400</v>
      </c>
      <c r="J137" s="205" t="s">
        <v>179</v>
      </c>
      <c r="K137" s="205" t="s">
        <v>43</v>
      </c>
      <c r="M137">
        <f t="shared" si="0"/>
        <v>400</v>
      </c>
      <c r="P137" s="57"/>
    </row>
    <row r="138" spans="1:17" x14ac:dyDescent="0.25">
      <c r="A138" s="203">
        <v>18</v>
      </c>
      <c r="B138" s="205" t="s">
        <v>1206</v>
      </c>
      <c r="C138" s="205" t="s">
        <v>40</v>
      </c>
      <c r="D138" s="205" t="s">
        <v>2385</v>
      </c>
      <c r="E138" s="205" t="s">
        <v>50</v>
      </c>
      <c r="F138" s="206" t="s">
        <v>2386</v>
      </c>
      <c r="G138" s="205" t="s">
        <v>42</v>
      </c>
      <c r="H138" s="211">
        <v>2000</v>
      </c>
      <c r="I138" s="234">
        <v>400</v>
      </c>
      <c r="J138" s="205" t="s">
        <v>179</v>
      </c>
      <c r="K138" s="205" t="s">
        <v>43</v>
      </c>
      <c r="M138">
        <f t="shared" si="0"/>
        <v>400</v>
      </c>
      <c r="P138" s="57"/>
    </row>
    <row r="139" spans="1:17" x14ac:dyDescent="0.25">
      <c r="A139" s="203">
        <v>18</v>
      </c>
      <c r="B139" s="205" t="s">
        <v>2387</v>
      </c>
      <c r="C139" s="205" t="s">
        <v>40</v>
      </c>
      <c r="D139" s="205" t="s">
        <v>2303</v>
      </c>
      <c r="E139" s="205" t="s">
        <v>57</v>
      </c>
      <c r="F139" s="206" t="s">
        <v>2388</v>
      </c>
      <c r="G139" s="205" t="s">
        <v>42</v>
      </c>
      <c r="H139" s="211">
        <v>3000</v>
      </c>
      <c r="I139" s="234">
        <v>600</v>
      </c>
      <c r="J139" s="205" t="s">
        <v>179</v>
      </c>
      <c r="K139" s="205" t="s">
        <v>43</v>
      </c>
      <c r="M139">
        <f t="shared" si="0"/>
        <v>600</v>
      </c>
      <c r="P139" s="57"/>
    </row>
    <row r="140" spans="1:17" x14ac:dyDescent="0.25">
      <c r="A140" s="203">
        <v>18</v>
      </c>
      <c r="B140" s="205" t="s">
        <v>2389</v>
      </c>
      <c r="C140" s="205" t="s">
        <v>40</v>
      </c>
      <c r="D140" s="205" t="s">
        <v>144</v>
      </c>
      <c r="E140" s="205" t="s">
        <v>57</v>
      </c>
      <c r="F140" s="206" t="s">
        <v>2390</v>
      </c>
      <c r="G140" s="205" t="s">
        <v>42</v>
      </c>
      <c r="H140" s="211">
        <v>5000</v>
      </c>
      <c r="I140" s="234">
        <v>1000</v>
      </c>
      <c r="J140" s="205" t="s">
        <v>179</v>
      </c>
      <c r="K140" s="205" t="s">
        <v>43</v>
      </c>
      <c r="M140">
        <f t="shared" si="0"/>
        <v>1000</v>
      </c>
      <c r="P140" s="57"/>
    </row>
    <row r="141" spans="1:17" x14ac:dyDescent="0.25">
      <c r="A141" s="203">
        <v>18</v>
      </c>
      <c r="B141" s="205" t="s">
        <v>2222</v>
      </c>
      <c r="C141" s="205" t="s">
        <v>40</v>
      </c>
      <c r="D141" s="205" t="s">
        <v>451</v>
      </c>
      <c r="E141" s="205" t="s">
        <v>49</v>
      </c>
      <c r="F141" s="206" t="s">
        <v>2223</v>
      </c>
      <c r="G141" s="205" t="s">
        <v>42</v>
      </c>
      <c r="H141" s="211">
        <v>15000</v>
      </c>
      <c r="I141" s="234">
        <v>3000</v>
      </c>
      <c r="J141" s="205" t="s">
        <v>179</v>
      </c>
      <c r="K141" s="205" t="s">
        <v>43</v>
      </c>
      <c r="M141">
        <f t="shared" si="0"/>
        <v>3000</v>
      </c>
      <c r="P141" s="57"/>
    </row>
    <row r="142" spans="1:17" x14ac:dyDescent="0.25">
      <c r="A142" s="203">
        <v>18</v>
      </c>
      <c r="B142" s="205" t="s">
        <v>2391</v>
      </c>
      <c r="C142" s="205" t="s">
        <v>40</v>
      </c>
      <c r="D142" s="205" t="s">
        <v>1578</v>
      </c>
      <c r="E142" s="205" t="s">
        <v>67</v>
      </c>
      <c r="F142" s="206"/>
      <c r="G142" s="205" t="s">
        <v>42</v>
      </c>
      <c r="H142" s="211">
        <v>14000</v>
      </c>
      <c r="I142" s="234">
        <v>2800</v>
      </c>
      <c r="J142" s="205" t="s">
        <v>179</v>
      </c>
      <c r="K142" s="205" t="s">
        <v>43</v>
      </c>
      <c r="M142">
        <f t="shared" si="0"/>
        <v>2800</v>
      </c>
      <c r="P142" s="57"/>
    </row>
    <row r="143" spans="1:17" x14ac:dyDescent="0.25">
      <c r="A143" s="203">
        <v>18</v>
      </c>
      <c r="B143" s="205" t="s">
        <v>2392</v>
      </c>
      <c r="C143" s="205" t="s">
        <v>40</v>
      </c>
      <c r="D143" s="205" t="s">
        <v>1578</v>
      </c>
      <c r="E143" s="205" t="s">
        <v>67</v>
      </c>
      <c r="F143" s="206"/>
      <c r="G143" s="413" t="s">
        <v>180</v>
      </c>
      <c r="H143" s="211">
        <v>400</v>
      </c>
      <c r="I143" s="234">
        <v>200</v>
      </c>
      <c r="J143" s="205" t="s">
        <v>179</v>
      </c>
      <c r="K143" s="205" t="s">
        <v>43</v>
      </c>
      <c r="M143">
        <f t="shared" si="0"/>
        <v>80</v>
      </c>
      <c r="P143" s="57"/>
    </row>
    <row r="144" spans="1:17" x14ac:dyDescent="0.25">
      <c r="A144" s="203">
        <v>18</v>
      </c>
      <c r="B144" s="205" t="s">
        <v>2318</v>
      </c>
      <c r="C144" s="205" t="s">
        <v>40</v>
      </c>
      <c r="D144" s="205"/>
      <c r="E144" s="205" t="s">
        <v>47</v>
      </c>
      <c r="F144" s="206" t="s">
        <v>2393</v>
      </c>
      <c r="G144" s="205" t="s">
        <v>42</v>
      </c>
      <c r="H144" s="211">
        <v>4500</v>
      </c>
      <c r="I144" s="234">
        <v>900</v>
      </c>
      <c r="J144" s="205" t="s">
        <v>179</v>
      </c>
      <c r="K144" s="205" t="s">
        <v>43</v>
      </c>
      <c r="M144">
        <f t="shared" si="0"/>
        <v>900</v>
      </c>
      <c r="P144" s="57"/>
    </row>
    <row r="145" spans="1:16" x14ac:dyDescent="0.25">
      <c r="A145" s="321">
        <v>18</v>
      </c>
      <c r="B145" s="205" t="s">
        <v>1640</v>
      </c>
      <c r="C145" s="396" t="s">
        <v>48</v>
      </c>
      <c r="D145" s="205" t="s">
        <v>815</v>
      </c>
      <c r="E145" s="205" t="s">
        <v>45</v>
      </c>
      <c r="F145" s="206" t="s">
        <v>2394</v>
      </c>
      <c r="G145" s="395" t="s">
        <v>162</v>
      </c>
      <c r="H145" s="211">
        <v>40</v>
      </c>
      <c r="I145" s="234">
        <v>200</v>
      </c>
      <c r="J145" s="205" t="s">
        <v>179</v>
      </c>
      <c r="K145" s="205" t="s">
        <v>43</v>
      </c>
      <c r="M145">
        <f t="shared" si="0"/>
        <v>8</v>
      </c>
      <c r="P145" s="57"/>
    </row>
    <row r="146" spans="1:16" x14ac:dyDescent="0.25">
      <c r="A146" s="203">
        <v>20</v>
      </c>
      <c r="B146" s="205" t="s">
        <v>2396</v>
      </c>
      <c r="C146" s="205" t="s">
        <v>40</v>
      </c>
      <c r="D146" s="205" t="s">
        <v>2397</v>
      </c>
      <c r="E146" s="205" t="s">
        <v>50</v>
      </c>
      <c r="F146" s="206"/>
      <c r="G146" s="205" t="s">
        <v>42</v>
      </c>
      <c r="H146" s="211">
        <v>300</v>
      </c>
      <c r="I146" s="234">
        <v>60</v>
      </c>
      <c r="J146" s="205" t="s">
        <v>179</v>
      </c>
      <c r="K146" s="205" t="s">
        <v>43</v>
      </c>
      <c r="M146">
        <f t="shared" si="0"/>
        <v>60</v>
      </c>
      <c r="P146" s="57"/>
    </row>
    <row r="147" spans="1:16" x14ac:dyDescent="0.25">
      <c r="A147" s="203">
        <v>20</v>
      </c>
      <c r="B147" s="205" t="s">
        <v>2398</v>
      </c>
      <c r="C147" s="205" t="s">
        <v>40</v>
      </c>
      <c r="D147" s="205" t="s">
        <v>2399</v>
      </c>
      <c r="E147" s="205" t="s">
        <v>51</v>
      </c>
      <c r="F147" s="206"/>
      <c r="G147" s="205" t="s">
        <v>42</v>
      </c>
      <c r="H147" s="211">
        <v>500</v>
      </c>
      <c r="I147" s="234">
        <v>100</v>
      </c>
      <c r="J147" s="205" t="s">
        <v>179</v>
      </c>
      <c r="K147" s="205" t="s">
        <v>43</v>
      </c>
      <c r="M147">
        <f t="shared" si="0"/>
        <v>100</v>
      </c>
      <c r="P147" s="57"/>
    </row>
    <row r="148" spans="1:16" x14ac:dyDescent="0.25">
      <c r="A148" s="203">
        <v>20</v>
      </c>
      <c r="B148" s="205" t="s">
        <v>2400</v>
      </c>
      <c r="C148" s="205" t="s">
        <v>40</v>
      </c>
      <c r="D148" s="205" t="s">
        <v>2401</v>
      </c>
      <c r="E148" s="205" t="s">
        <v>50</v>
      </c>
      <c r="F148" s="206"/>
      <c r="G148" s="205" t="s">
        <v>42</v>
      </c>
      <c r="H148" s="211">
        <v>500</v>
      </c>
      <c r="I148" s="234">
        <v>100</v>
      </c>
      <c r="J148" s="205" t="s">
        <v>179</v>
      </c>
      <c r="K148" s="205" t="s">
        <v>43</v>
      </c>
      <c r="M148">
        <f t="shared" si="0"/>
        <v>100</v>
      </c>
      <c r="P148" s="57"/>
    </row>
    <row r="149" spans="1:16" x14ac:dyDescent="0.25">
      <c r="A149" s="203">
        <v>20</v>
      </c>
      <c r="B149" s="205" t="s">
        <v>2402</v>
      </c>
      <c r="C149" s="396" t="s">
        <v>48</v>
      </c>
      <c r="D149" s="205" t="s">
        <v>806</v>
      </c>
      <c r="E149" s="205" t="s">
        <v>44</v>
      </c>
      <c r="F149" s="206"/>
      <c r="G149" s="205" t="s">
        <v>42</v>
      </c>
      <c r="H149" s="211">
        <v>3000</v>
      </c>
      <c r="I149" s="234">
        <v>600</v>
      </c>
      <c r="J149" s="205" t="s">
        <v>179</v>
      </c>
      <c r="K149" s="205" t="s">
        <v>43</v>
      </c>
      <c r="M149">
        <f t="shared" si="0"/>
        <v>600</v>
      </c>
      <c r="P149" s="57"/>
    </row>
    <row r="150" spans="1:16" x14ac:dyDescent="0.25">
      <c r="A150" s="203">
        <v>20</v>
      </c>
      <c r="B150" s="205" t="s">
        <v>2403</v>
      </c>
      <c r="C150" s="205" t="s">
        <v>40</v>
      </c>
      <c r="D150" s="205" t="s">
        <v>2404</v>
      </c>
      <c r="E150" s="205" t="s">
        <v>53</v>
      </c>
      <c r="F150" s="206" t="s">
        <v>2405</v>
      </c>
      <c r="G150" s="205" t="s">
        <v>42</v>
      </c>
      <c r="H150" s="211">
        <v>9000</v>
      </c>
      <c r="I150" s="234">
        <v>1800</v>
      </c>
      <c r="J150" s="205" t="s">
        <v>179</v>
      </c>
      <c r="K150" s="205" t="s">
        <v>43</v>
      </c>
      <c r="M150">
        <f t="shared" si="0"/>
        <v>1800</v>
      </c>
      <c r="P150" s="57"/>
    </row>
    <row r="151" spans="1:16" x14ac:dyDescent="0.25">
      <c r="A151" s="203">
        <v>20</v>
      </c>
      <c r="B151" s="205" t="s">
        <v>1206</v>
      </c>
      <c r="C151" s="205" t="s">
        <v>40</v>
      </c>
      <c r="D151" s="205" t="s">
        <v>1207</v>
      </c>
      <c r="E151" s="205" t="s">
        <v>50</v>
      </c>
      <c r="F151" s="206"/>
      <c r="G151" s="398" t="s">
        <v>163</v>
      </c>
      <c r="H151" s="211">
        <v>500</v>
      </c>
      <c r="I151" s="234">
        <v>500</v>
      </c>
      <c r="J151" s="205" t="s">
        <v>179</v>
      </c>
      <c r="K151" s="205" t="s">
        <v>43</v>
      </c>
      <c r="M151">
        <f t="shared" si="0"/>
        <v>100</v>
      </c>
      <c r="P151" s="57"/>
    </row>
    <row r="152" spans="1:16" x14ac:dyDescent="0.25">
      <c r="A152" s="321">
        <v>20</v>
      </c>
      <c r="B152" s="205" t="s">
        <v>2406</v>
      </c>
      <c r="C152" s="205" t="s">
        <v>40</v>
      </c>
      <c r="D152" s="205" t="s">
        <v>699</v>
      </c>
      <c r="E152" s="205" t="s">
        <v>59</v>
      </c>
      <c r="F152" s="206" t="s">
        <v>2407</v>
      </c>
      <c r="G152" s="205" t="s">
        <v>42</v>
      </c>
      <c r="H152" s="211">
        <v>100</v>
      </c>
      <c r="I152" s="234">
        <v>20</v>
      </c>
      <c r="J152" s="205" t="s">
        <v>179</v>
      </c>
      <c r="K152" s="205" t="s">
        <v>43</v>
      </c>
      <c r="M152">
        <f t="shared" si="0"/>
        <v>20</v>
      </c>
      <c r="P152" s="57"/>
    </row>
    <row r="153" spans="1:16" x14ac:dyDescent="0.25">
      <c r="A153" s="203">
        <v>23</v>
      </c>
      <c r="B153" s="205" t="s">
        <v>2400</v>
      </c>
      <c r="C153" s="205" t="s">
        <v>40</v>
      </c>
      <c r="D153" s="205" t="s">
        <v>2401</v>
      </c>
      <c r="E153" s="205" t="s">
        <v>50</v>
      </c>
      <c r="F153" s="206"/>
      <c r="G153" s="205" t="s">
        <v>42</v>
      </c>
      <c r="H153" s="211">
        <v>500</v>
      </c>
      <c r="I153" s="234">
        <v>100</v>
      </c>
      <c r="J153" s="205" t="s">
        <v>179</v>
      </c>
      <c r="K153" s="205" t="s">
        <v>43</v>
      </c>
      <c r="M153">
        <f t="shared" si="0"/>
        <v>100</v>
      </c>
      <c r="P153" s="57"/>
    </row>
    <row r="154" spans="1:16" x14ac:dyDescent="0.25">
      <c r="A154" s="203">
        <v>23</v>
      </c>
      <c r="B154" s="205" t="s">
        <v>2346</v>
      </c>
      <c r="C154" s="205" t="s">
        <v>40</v>
      </c>
      <c r="D154" s="205" t="s">
        <v>302</v>
      </c>
      <c r="E154" s="205" t="s">
        <v>57</v>
      </c>
      <c r="F154" s="206"/>
      <c r="G154" s="205" t="s">
        <v>42</v>
      </c>
      <c r="H154" s="211">
        <v>1500</v>
      </c>
      <c r="I154" s="234">
        <v>300</v>
      </c>
      <c r="J154" s="205" t="s">
        <v>179</v>
      </c>
      <c r="K154" s="205" t="s">
        <v>43</v>
      </c>
      <c r="M154">
        <f t="shared" si="0"/>
        <v>300</v>
      </c>
      <c r="P154" s="57"/>
    </row>
    <row r="155" spans="1:16" x14ac:dyDescent="0.25">
      <c r="A155" s="203">
        <v>23</v>
      </c>
      <c r="B155" s="205" t="s">
        <v>2412</v>
      </c>
      <c r="C155" s="205" t="s">
        <v>40</v>
      </c>
      <c r="D155" s="205"/>
      <c r="E155" s="205" t="s">
        <v>47</v>
      </c>
      <c r="F155" s="206" t="s">
        <v>2413</v>
      </c>
      <c r="G155" s="205" t="s">
        <v>42</v>
      </c>
      <c r="H155" s="211">
        <v>20</v>
      </c>
      <c r="I155" s="234" t="s">
        <v>255</v>
      </c>
      <c r="J155" s="205" t="s">
        <v>179</v>
      </c>
      <c r="K155" s="205" t="s">
        <v>43</v>
      </c>
      <c r="M155">
        <f t="shared" si="0"/>
        <v>4</v>
      </c>
      <c r="P155" s="57"/>
    </row>
    <row r="156" spans="1:16" x14ac:dyDescent="0.25">
      <c r="A156" s="203">
        <v>23</v>
      </c>
      <c r="B156" s="205" t="s">
        <v>2414</v>
      </c>
      <c r="C156" s="205" t="s">
        <v>40</v>
      </c>
      <c r="D156" s="205" t="s">
        <v>1336</v>
      </c>
      <c r="E156" s="205" t="s">
        <v>67</v>
      </c>
      <c r="F156" s="206"/>
      <c r="G156" s="205" t="s">
        <v>42</v>
      </c>
      <c r="H156" s="211">
        <v>2000</v>
      </c>
      <c r="I156" s="234">
        <v>400</v>
      </c>
      <c r="J156" s="205" t="s">
        <v>179</v>
      </c>
      <c r="K156" s="205" t="s">
        <v>43</v>
      </c>
      <c r="M156">
        <f t="shared" si="0"/>
        <v>400</v>
      </c>
      <c r="P156" s="57"/>
    </row>
    <row r="157" spans="1:16" x14ac:dyDescent="0.25">
      <c r="A157" s="203">
        <v>23</v>
      </c>
      <c r="B157" s="205" t="s">
        <v>2415</v>
      </c>
      <c r="C157" s="205" t="s">
        <v>40</v>
      </c>
      <c r="D157" s="205" t="s">
        <v>2303</v>
      </c>
      <c r="E157" s="205" t="s">
        <v>57</v>
      </c>
      <c r="F157" s="206" t="s">
        <v>2416</v>
      </c>
      <c r="G157" s="205" t="s">
        <v>42</v>
      </c>
      <c r="H157" s="211">
        <v>1000</v>
      </c>
      <c r="I157" s="234">
        <v>200</v>
      </c>
      <c r="J157" s="205" t="s">
        <v>179</v>
      </c>
      <c r="K157" s="205" t="s">
        <v>43</v>
      </c>
      <c r="M157">
        <f t="shared" si="0"/>
        <v>200</v>
      </c>
      <c r="P157" s="57"/>
    </row>
    <row r="158" spans="1:16" x14ac:dyDescent="0.25">
      <c r="A158" s="203">
        <v>23</v>
      </c>
      <c r="B158" s="205" t="s">
        <v>2417</v>
      </c>
      <c r="C158" s="205" t="s">
        <v>40</v>
      </c>
      <c r="D158" s="205" t="s">
        <v>2418</v>
      </c>
      <c r="E158" s="205" t="s">
        <v>44</v>
      </c>
      <c r="F158" s="206" t="s">
        <v>2419</v>
      </c>
      <c r="G158" s="205" t="s">
        <v>42</v>
      </c>
      <c r="H158" s="211">
        <v>500</v>
      </c>
      <c r="I158" s="234">
        <v>100</v>
      </c>
      <c r="J158" s="205" t="s">
        <v>179</v>
      </c>
      <c r="K158" s="205" t="s">
        <v>43</v>
      </c>
      <c r="M158">
        <f t="shared" si="0"/>
        <v>100</v>
      </c>
      <c r="P158" s="57"/>
    </row>
    <row r="159" spans="1:16" x14ac:dyDescent="0.25">
      <c r="A159" s="203">
        <v>23</v>
      </c>
      <c r="B159" s="205" t="s">
        <v>744</v>
      </c>
      <c r="C159" s="396" t="s">
        <v>48</v>
      </c>
      <c r="D159" s="205" t="s">
        <v>658</v>
      </c>
      <c r="E159" s="205" t="s">
        <v>50</v>
      </c>
      <c r="F159" s="206" t="s">
        <v>2420</v>
      </c>
      <c r="G159" s="205" t="s">
        <v>42</v>
      </c>
      <c r="H159" s="211">
        <v>1000</v>
      </c>
      <c r="I159" s="234">
        <v>200</v>
      </c>
      <c r="J159" s="205" t="s">
        <v>179</v>
      </c>
      <c r="K159" s="205" t="s">
        <v>43</v>
      </c>
      <c r="M159">
        <f t="shared" si="0"/>
        <v>200</v>
      </c>
      <c r="P159" s="57"/>
    </row>
    <row r="160" spans="1:16" x14ac:dyDescent="0.25">
      <c r="A160" s="203">
        <v>23</v>
      </c>
      <c r="B160" s="205" t="s">
        <v>2421</v>
      </c>
      <c r="C160" s="205" t="s">
        <v>40</v>
      </c>
      <c r="D160" s="205" t="s">
        <v>899</v>
      </c>
      <c r="E160" s="205" t="s">
        <v>44</v>
      </c>
      <c r="F160" s="206"/>
      <c r="G160" s="205" t="s">
        <v>42</v>
      </c>
      <c r="H160" s="211">
        <v>2500</v>
      </c>
      <c r="I160" s="234">
        <v>500</v>
      </c>
      <c r="J160" s="205" t="s">
        <v>179</v>
      </c>
      <c r="K160" s="205" t="s">
        <v>43</v>
      </c>
      <c r="M160">
        <f t="shared" si="0"/>
        <v>500</v>
      </c>
      <c r="P160" s="57"/>
    </row>
    <row r="161" spans="1:16" x14ac:dyDescent="0.25">
      <c r="A161" s="203">
        <v>23</v>
      </c>
      <c r="B161" s="205" t="s">
        <v>2421</v>
      </c>
      <c r="C161" s="205" t="s">
        <v>40</v>
      </c>
      <c r="D161" s="205" t="s">
        <v>899</v>
      </c>
      <c r="E161" s="205" t="s">
        <v>44</v>
      </c>
      <c r="F161" s="206"/>
      <c r="G161" s="413" t="s">
        <v>180</v>
      </c>
      <c r="H161" s="211">
        <v>500</v>
      </c>
      <c r="I161" s="234">
        <v>250</v>
      </c>
      <c r="J161" s="205" t="s">
        <v>179</v>
      </c>
      <c r="K161" s="205" t="s">
        <v>43</v>
      </c>
      <c r="M161">
        <f t="shared" si="0"/>
        <v>100</v>
      </c>
      <c r="P161" s="57"/>
    </row>
    <row r="162" spans="1:16" x14ac:dyDescent="0.25">
      <c r="A162" s="203">
        <v>23</v>
      </c>
      <c r="B162" s="205" t="s">
        <v>1016</v>
      </c>
      <c r="C162" s="205" t="s">
        <v>40</v>
      </c>
      <c r="D162" s="205" t="s">
        <v>141</v>
      </c>
      <c r="E162" s="205" t="s">
        <v>45</v>
      </c>
      <c r="F162" s="206"/>
      <c r="G162" s="205" t="s">
        <v>42</v>
      </c>
      <c r="H162" s="211">
        <v>5000</v>
      </c>
      <c r="I162" s="234">
        <v>1000</v>
      </c>
      <c r="J162" s="205" t="s">
        <v>179</v>
      </c>
      <c r="K162" s="205" t="s">
        <v>43</v>
      </c>
      <c r="M162">
        <f t="shared" si="0"/>
        <v>1000</v>
      </c>
      <c r="P162" s="57"/>
    </row>
    <row r="163" spans="1:16" x14ac:dyDescent="0.25">
      <c r="A163" s="203">
        <v>24</v>
      </c>
      <c r="B163" s="205" t="s">
        <v>2422</v>
      </c>
      <c r="C163" s="396" t="s">
        <v>48</v>
      </c>
      <c r="D163" s="205" t="s">
        <v>380</v>
      </c>
      <c r="E163" s="205" t="s">
        <v>45</v>
      </c>
      <c r="F163" s="206"/>
      <c r="G163" s="205" t="s">
        <v>42</v>
      </c>
      <c r="H163" s="211">
        <v>6000</v>
      </c>
      <c r="I163" s="234">
        <v>1800</v>
      </c>
      <c r="J163" s="205" t="s">
        <v>179</v>
      </c>
      <c r="K163" s="205" t="s">
        <v>43</v>
      </c>
      <c r="M163">
        <f t="shared" si="0"/>
        <v>1200</v>
      </c>
      <c r="P163" s="57"/>
    </row>
    <row r="164" spans="1:16" x14ac:dyDescent="0.25">
      <c r="A164" s="203">
        <v>24</v>
      </c>
      <c r="B164" s="205" t="s">
        <v>2423</v>
      </c>
      <c r="C164" s="205" t="s">
        <v>40</v>
      </c>
      <c r="D164" s="205" t="s">
        <v>2424</v>
      </c>
      <c r="E164" s="205" t="s">
        <v>64</v>
      </c>
      <c r="F164" s="206"/>
      <c r="G164" s="205" t="s">
        <v>42</v>
      </c>
      <c r="H164" s="211">
        <v>3000</v>
      </c>
      <c r="I164" s="234">
        <v>900</v>
      </c>
      <c r="J164" s="205" t="s">
        <v>179</v>
      </c>
      <c r="K164" s="205" t="s">
        <v>43</v>
      </c>
      <c r="M164">
        <f t="shared" si="0"/>
        <v>600</v>
      </c>
      <c r="P164" s="57"/>
    </row>
    <row r="165" spans="1:16" x14ac:dyDescent="0.25">
      <c r="A165" s="203">
        <v>24</v>
      </c>
      <c r="B165" s="205" t="s">
        <v>2423</v>
      </c>
      <c r="C165" s="205" t="s">
        <v>40</v>
      </c>
      <c r="D165" s="205" t="s">
        <v>2424</v>
      </c>
      <c r="E165" s="205" t="s">
        <v>64</v>
      </c>
      <c r="F165" s="206"/>
      <c r="G165" s="205" t="s">
        <v>42</v>
      </c>
      <c r="H165" s="211">
        <v>7000</v>
      </c>
      <c r="I165" s="234">
        <v>1400</v>
      </c>
      <c r="J165" s="205" t="s">
        <v>179</v>
      </c>
      <c r="K165" s="205" t="s">
        <v>43</v>
      </c>
      <c r="M165">
        <f t="shared" si="0"/>
        <v>1400</v>
      </c>
      <c r="P165" s="57"/>
    </row>
    <row r="166" spans="1:16" x14ac:dyDescent="0.25">
      <c r="A166" s="203">
        <v>24</v>
      </c>
      <c r="B166" s="205" t="s">
        <v>2425</v>
      </c>
      <c r="C166" s="205" t="s">
        <v>40</v>
      </c>
      <c r="D166" s="205" t="s">
        <v>1006</v>
      </c>
      <c r="E166" s="205" t="s">
        <v>56</v>
      </c>
      <c r="F166" s="206" t="s">
        <v>2426</v>
      </c>
      <c r="G166" s="205" t="s">
        <v>42</v>
      </c>
      <c r="H166" s="211">
        <v>15000</v>
      </c>
      <c r="I166" s="234">
        <v>3000</v>
      </c>
      <c r="J166" s="205" t="s">
        <v>179</v>
      </c>
      <c r="K166" s="205" t="s">
        <v>43</v>
      </c>
      <c r="M166">
        <f t="shared" si="0"/>
        <v>3000</v>
      </c>
      <c r="P166" s="57">
        <v>24</v>
      </c>
    </row>
    <row r="167" spans="1:16" x14ac:dyDescent="0.25">
      <c r="A167" s="203">
        <v>24</v>
      </c>
      <c r="B167" s="205" t="s">
        <v>2427</v>
      </c>
      <c r="C167" s="396" t="s">
        <v>48</v>
      </c>
      <c r="D167" s="205" t="s">
        <v>372</v>
      </c>
      <c r="E167" s="205" t="s">
        <v>44</v>
      </c>
      <c r="F167" s="206"/>
      <c r="G167" s="413" t="s">
        <v>180</v>
      </c>
      <c r="H167" s="211">
        <v>1200</v>
      </c>
      <c r="I167" s="234">
        <v>600</v>
      </c>
      <c r="J167" s="205" t="s">
        <v>179</v>
      </c>
      <c r="K167" s="205" t="s">
        <v>43</v>
      </c>
      <c r="M167">
        <f t="shared" si="0"/>
        <v>240</v>
      </c>
      <c r="P167" s="57"/>
    </row>
    <row r="168" spans="1:16" x14ac:dyDescent="0.25">
      <c r="A168" s="321">
        <v>24</v>
      </c>
      <c r="B168" s="205" t="s">
        <v>2428</v>
      </c>
      <c r="C168" s="205" t="s">
        <v>40</v>
      </c>
      <c r="D168" s="205" t="s">
        <v>899</v>
      </c>
      <c r="E168" s="205" t="s">
        <v>44</v>
      </c>
      <c r="F168" s="206" t="s">
        <v>2429</v>
      </c>
      <c r="G168" s="205" t="s">
        <v>42</v>
      </c>
      <c r="H168" s="211">
        <v>2000</v>
      </c>
      <c r="I168" s="234">
        <v>400</v>
      </c>
      <c r="J168" s="205" t="s">
        <v>179</v>
      </c>
      <c r="K168" s="205" t="s">
        <v>43</v>
      </c>
      <c r="M168">
        <f t="shared" si="0"/>
        <v>400</v>
      </c>
      <c r="P168" s="57"/>
    </row>
    <row r="169" spans="1:16" x14ac:dyDescent="0.25">
      <c r="A169" s="203">
        <v>25</v>
      </c>
      <c r="B169" s="205" t="s">
        <v>332</v>
      </c>
      <c r="C169" s="205" t="s">
        <v>40</v>
      </c>
      <c r="D169" s="205" t="s">
        <v>2431</v>
      </c>
      <c r="E169" s="205" t="s">
        <v>58</v>
      </c>
      <c r="F169" s="206"/>
      <c r="G169" s="205" t="s">
        <v>42</v>
      </c>
      <c r="H169" s="211">
        <v>3000</v>
      </c>
      <c r="I169" s="234">
        <v>600</v>
      </c>
      <c r="J169" s="205" t="s">
        <v>179</v>
      </c>
      <c r="K169" s="205" t="s">
        <v>43</v>
      </c>
      <c r="M169">
        <f t="shared" si="0"/>
        <v>600</v>
      </c>
      <c r="P169" s="57"/>
    </row>
    <row r="170" spans="1:16" x14ac:dyDescent="0.25">
      <c r="A170" s="203">
        <v>25</v>
      </c>
      <c r="B170" s="205" t="s">
        <v>2432</v>
      </c>
      <c r="C170" s="205" t="s">
        <v>40</v>
      </c>
      <c r="D170" s="205" t="s">
        <v>1179</v>
      </c>
      <c r="E170" s="205" t="s">
        <v>52</v>
      </c>
      <c r="F170" s="206"/>
      <c r="G170" s="205" t="s">
        <v>42</v>
      </c>
      <c r="H170" s="211">
        <v>2000</v>
      </c>
      <c r="I170" s="234">
        <v>400</v>
      </c>
      <c r="J170" s="205" t="s">
        <v>179</v>
      </c>
      <c r="K170" s="205" t="s">
        <v>43</v>
      </c>
      <c r="M170">
        <f t="shared" si="0"/>
        <v>400</v>
      </c>
      <c r="P170" s="57"/>
    </row>
    <row r="171" spans="1:16" x14ac:dyDescent="0.25">
      <c r="A171" s="203">
        <v>25</v>
      </c>
      <c r="B171" s="205" t="s">
        <v>2433</v>
      </c>
      <c r="C171" s="205" t="s">
        <v>40</v>
      </c>
      <c r="D171" s="205" t="s">
        <v>521</v>
      </c>
      <c r="E171" s="205" t="s">
        <v>72</v>
      </c>
      <c r="F171" s="206"/>
      <c r="G171" s="205" t="s">
        <v>42</v>
      </c>
      <c r="H171" s="211">
        <v>600</v>
      </c>
      <c r="I171" s="234">
        <v>120</v>
      </c>
      <c r="J171" s="205" t="s">
        <v>179</v>
      </c>
      <c r="K171" s="205" t="s">
        <v>43</v>
      </c>
      <c r="M171">
        <f t="shared" si="0"/>
        <v>120</v>
      </c>
      <c r="P171" s="57"/>
    </row>
    <row r="172" spans="1:16" x14ac:dyDescent="0.25">
      <c r="A172" s="203">
        <v>25</v>
      </c>
      <c r="B172" s="205" t="s">
        <v>2434</v>
      </c>
      <c r="C172" s="205" t="s">
        <v>40</v>
      </c>
      <c r="D172" s="205" t="s">
        <v>372</v>
      </c>
      <c r="E172" s="205" t="s">
        <v>44</v>
      </c>
      <c r="F172" s="206"/>
      <c r="G172" s="205" t="s">
        <v>42</v>
      </c>
      <c r="H172" s="211">
        <v>2600</v>
      </c>
      <c r="I172" s="234">
        <v>520</v>
      </c>
      <c r="J172" s="205" t="s">
        <v>179</v>
      </c>
      <c r="K172" s="205" t="s">
        <v>43</v>
      </c>
      <c r="M172">
        <f t="shared" si="0"/>
        <v>520</v>
      </c>
      <c r="P172" s="57"/>
    </row>
    <row r="173" spans="1:16" x14ac:dyDescent="0.25">
      <c r="A173" s="203">
        <v>25</v>
      </c>
      <c r="B173" s="205" t="s">
        <v>2435</v>
      </c>
      <c r="C173" s="205" t="s">
        <v>40</v>
      </c>
      <c r="D173" s="205" t="s">
        <v>529</v>
      </c>
      <c r="E173" s="205" t="s">
        <v>59</v>
      </c>
      <c r="F173" s="206" t="s">
        <v>2436</v>
      </c>
      <c r="G173" s="205" t="s">
        <v>42</v>
      </c>
      <c r="H173" s="211">
        <v>250</v>
      </c>
      <c r="I173" s="234">
        <v>75</v>
      </c>
      <c r="J173" s="205" t="s">
        <v>179</v>
      </c>
      <c r="K173" s="205" t="s">
        <v>43</v>
      </c>
      <c r="M173">
        <f t="shared" si="0"/>
        <v>50</v>
      </c>
      <c r="P173" s="57"/>
    </row>
    <row r="174" spans="1:16" x14ac:dyDescent="0.25">
      <c r="A174" s="203">
        <v>25</v>
      </c>
      <c r="B174" s="205" t="s">
        <v>2438</v>
      </c>
      <c r="C174" s="205" t="s">
        <v>40</v>
      </c>
      <c r="D174" s="205" t="s">
        <v>2439</v>
      </c>
      <c r="E174" s="205" t="s">
        <v>61</v>
      </c>
      <c r="F174" s="206"/>
      <c r="G174" s="205" t="s">
        <v>42</v>
      </c>
      <c r="H174" s="211">
        <v>1000</v>
      </c>
      <c r="I174" s="234" t="s">
        <v>255</v>
      </c>
      <c r="J174" s="205" t="s">
        <v>179</v>
      </c>
      <c r="K174" s="205" t="s">
        <v>43</v>
      </c>
      <c r="M174">
        <f t="shared" si="0"/>
        <v>200</v>
      </c>
      <c r="P174" s="57"/>
    </row>
    <row r="175" spans="1:16" x14ac:dyDescent="0.25">
      <c r="A175" s="203">
        <v>25</v>
      </c>
      <c r="B175" s="205" t="s">
        <v>2440</v>
      </c>
      <c r="C175" s="205" t="s">
        <v>40</v>
      </c>
      <c r="D175" s="205" t="s">
        <v>2441</v>
      </c>
      <c r="E175" s="205" t="s">
        <v>64</v>
      </c>
      <c r="F175" s="206"/>
      <c r="G175" s="205" t="s">
        <v>42</v>
      </c>
      <c r="H175" s="211">
        <v>500</v>
      </c>
      <c r="I175" s="234" t="s">
        <v>255</v>
      </c>
      <c r="J175" s="205" t="s">
        <v>179</v>
      </c>
      <c r="K175" s="205" t="s">
        <v>43</v>
      </c>
      <c r="M175">
        <f t="shared" si="0"/>
        <v>100</v>
      </c>
      <c r="P175" s="57"/>
    </row>
    <row r="176" spans="1:16" x14ac:dyDescent="0.25">
      <c r="A176" s="203">
        <v>25</v>
      </c>
      <c r="B176" s="205" t="s">
        <v>2442</v>
      </c>
      <c r="C176" s="205" t="s">
        <v>40</v>
      </c>
      <c r="D176" s="205" t="s">
        <v>2441</v>
      </c>
      <c r="E176" s="205" t="s">
        <v>64</v>
      </c>
      <c r="F176" s="206" t="s">
        <v>2443</v>
      </c>
      <c r="G176" s="205" t="s">
        <v>42</v>
      </c>
      <c r="H176" s="211">
        <v>500</v>
      </c>
      <c r="I176" s="234" t="s">
        <v>255</v>
      </c>
      <c r="J176" s="205" t="s">
        <v>179</v>
      </c>
      <c r="K176" s="205" t="s">
        <v>43</v>
      </c>
      <c r="M176">
        <f t="shared" si="0"/>
        <v>100</v>
      </c>
      <c r="P176" s="57"/>
    </row>
    <row r="177" spans="1:16" x14ac:dyDescent="0.25">
      <c r="A177" s="203">
        <v>25</v>
      </c>
      <c r="B177" s="205" t="s">
        <v>2448</v>
      </c>
      <c r="C177" s="205" t="s">
        <v>40</v>
      </c>
      <c r="D177" s="205"/>
      <c r="E177" s="205" t="s">
        <v>88</v>
      </c>
      <c r="F177" s="206"/>
      <c r="G177" s="423" t="s">
        <v>2451</v>
      </c>
      <c r="H177" s="424"/>
      <c r="I177" s="234"/>
      <c r="J177" s="205" t="s">
        <v>179</v>
      </c>
      <c r="K177" s="205" t="s">
        <v>43</v>
      </c>
      <c r="P177" s="57"/>
    </row>
    <row r="178" spans="1:16" x14ac:dyDescent="0.25">
      <c r="A178" s="203">
        <v>25</v>
      </c>
      <c r="B178" s="205" t="s">
        <v>2449</v>
      </c>
      <c r="C178" s="396" t="s">
        <v>48</v>
      </c>
      <c r="D178" s="205"/>
      <c r="E178" s="205" t="s">
        <v>88</v>
      </c>
      <c r="F178" s="206"/>
      <c r="G178" s="423" t="s">
        <v>2451</v>
      </c>
      <c r="H178" s="424"/>
      <c r="I178" s="234"/>
      <c r="J178" s="205" t="s">
        <v>179</v>
      </c>
      <c r="K178" s="205" t="s">
        <v>43</v>
      </c>
      <c r="P178" s="57"/>
    </row>
    <row r="179" spans="1:16" x14ac:dyDescent="0.25">
      <c r="A179" s="203">
        <v>25</v>
      </c>
      <c r="B179" s="205" t="s">
        <v>2450</v>
      </c>
      <c r="C179" s="396" t="s">
        <v>48</v>
      </c>
      <c r="D179" s="205"/>
      <c r="E179" s="205" t="s">
        <v>88</v>
      </c>
      <c r="F179" s="206"/>
      <c r="G179" s="423" t="s">
        <v>2451</v>
      </c>
      <c r="H179" s="424"/>
      <c r="I179" s="234"/>
      <c r="J179" s="205" t="s">
        <v>179</v>
      </c>
      <c r="K179" s="205" t="s">
        <v>43</v>
      </c>
      <c r="P179" s="57"/>
    </row>
    <row r="180" spans="1:16" x14ac:dyDescent="0.25">
      <c r="A180" s="203">
        <v>26</v>
      </c>
      <c r="B180" s="205" t="s">
        <v>2444</v>
      </c>
      <c r="C180" s="205" t="s">
        <v>40</v>
      </c>
      <c r="D180" s="205" t="s">
        <v>1095</v>
      </c>
      <c r="E180" s="205" t="s">
        <v>44</v>
      </c>
      <c r="F180" s="206" t="s">
        <v>2445</v>
      </c>
      <c r="G180" s="205" t="s">
        <v>42</v>
      </c>
      <c r="H180" s="211">
        <v>2000</v>
      </c>
      <c r="I180" s="234">
        <v>400</v>
      </c>
      <c r="J180" s="205" t="s">
        <v>179</v>
      </c>
      <c r="K180" s="205" t="s">
        <v>43</v>
      </c>
      <c r="M180">
        <f t="shared" si="0"/>
        <v>400</v>
      </c>
      <c r="P180" s="57"/>
    </row>
    <row r="181" spans="1:16" x14ac:dyDescent="0.25">
      <c r="A181" s="203">
        <v>26</v>
      </c>
      <c r="B181" s="205" t="s">
        <v>1547</v>
      </c>
      <c r="C181" s="205" t="s">
        <v>40</v>
      </c>
      <c r="D181" s="205" t="s">
        <v>2404</v>
      </c>
      <c r="E181" s="205" t="s">
        <v>63</v>
      </c>
      <c r="F181" s="206"/>
      <c r="G181" s="205" t="s">
        <v>42</v>
      </c>
      <c r="H181" s="211">
        <v>2000</v>
      </c>
      <c r="I181" s="234">
        <v>400</v>
      </c>
      <c r="J181" s="205" t="s">
        <v>179</v>
      </c>
      <c r="K181" s="205" t="s">
        <v>43</v>
      </c>
      <c r="M181">
        <f t="shared" si="0"/>
        <v>400</v>
      </c>
      <c r="P181" s="57"/>
    </row>
    <row r="182" spans="1:16" x14ac:dyDescent="0.25">
      <c r="A182" s="203"/>
      <c r="B182" s="205"/>
      <c r="C182" s="205"/>
      <c r="D182" s="205"/>
      <c r="E182" s="205"/>
      <c r="F182" s="206"/>
      <c r="G182" s="205"/>
      <c r="H182" s="211"/>
      <c r="I182" s="234"/>
      <c r="J182" s="205"/>
      <c r="K182" s="205"/>
      <c r="P182" s="57"/>
    </row>
    <row r="183" spans="1:16" x14ac:dyDescent="0.25">
      <c r="A183" s="203"/>
      <c r="B183" s="205"/>
      <c r="C183" s="205"/>
      <c r="D183" s="205"/>
      <c r="E183" s="205"/>
      <c r="F183" s="206"/>
      <c r="G183" s="205"/>
      <c r="H183" s="211"/>
      <c r="I183" s="234"/>
      <c r="J183" s="205"/>
      <c r="K183" s="205"/>
      <c r="P183" s="57"/>
    </row>
    <row r="184" spans="1:16" x14ac:dyDescent="0.25">
      <c r="A184" s="230"/>
      <c r="B184" s="79"/>
      <c r="C184" s="199"/>
      <c r="D184" s="199"/>
      <c r="E184" s="199"/>
      <c r="F184" s="200"/>
      <c r="G184" s="199"/>
      <c r="H184" s="209"/>
      <c r="I184" s="210"/>
      <c r="J184" s="199"/>
      <c r="K184" s="199"/>
      <c r="M184">
        <f>SUM(M12:M181)</f>
        <v>66592.800000000003</v>
      </c>
    </row>
    <row r="185" spans="1:16" x14ac:dyDescent="0.25">
      <c r="A185" s="324"/>
    </row>
    <row r="186" spans="1:16" x14ac:dyDescent="0.25">
      <c r="A186" s="324"/>
    </row>
    <row r="187" spans="1:16" x14ac:dyDescent="0.25">
      <c r="I187" s="92" t="s">
        <v>19</v>
      </c>
      <c r="J187" s="26"/>
    </row>
    <row r="188" spans="1:16" ht="16.5" customHeight="1" x14ac:dyDescent="0.25">
      <c r="B188" t="s">
        <v>20</v>
      </c>
      <c r="E188" t="s">
        <v>21</v>
      </c>
      <c r="I188" s="81" t="s">
        <v>114</v>
      </c>
      <c r="J188" s="97">
        <v>141</v>
      </c>
      <c r="P188" s="25"/>
    </row>
    <row r="189" spans="1:16" x14ac:dyDescent="0.25">
      <c r="I189" s="81" t="s">
        <v>115</v>
      </c>
      <c r="J189" s="97"/>
      <c r="K189" s="57"/>
      <c r="P189" s="57"/>
    </row>
    <row r="190" spans="1:16" x14ac:dyDescent="0.25">
      <c r="I190" s="81" t="s">
        <v>165</v>
      </c>
      <c r="J190" s="99">
        <f>SUM(P12,P18,P24,P29,P32)</f>
        <v>289190</v>
      </c>
      <c r="K190" s="57"/>
      <c r="N190" s="25"/>
      <c r="P190" s="25"/>
    </row>
    <row r="191" spans="1:16" x14ac:dyDescent="0.25">
      <c r="I191" s="81" t="s">
        <v>567</v>
      </c>
      <c r="J191" s="99">
        <v>430</v>
      </c>
      <c r="P191" s="57"/>
    </row>
    <row r="192" spans="1:16" x14ac:dyDescent="0.25">
      <c r="B192" s="93" t="s">
        <v>538</v>
      </c>
      <c r="E192" s="533" t="s">
        <v>941</v>
      </c>
      <c r="F192" s="533"/>
      <c r="G192" s="533"/>
      <c r="H192" s="533"/>
      <c r="I192" s="81" t="s">
        <v>116</v>
      </c>
      <c r="J192" s="99">
        <v>8700</v>
      </c>
      <c r="P192" s="57"/>
    </row>
    <row r="193" spans="2:16" x14ac:dyDescent="0.25">
      <c r="B193" t="s">
        <v>183</v>
      </c>
      <c r="E193" s="522" t="s">
        <v>942</v>
      </c>
      <c r="F193" s="522"/>
      <c r="G193" s="522"/>
      <c r="H193" s="522"/>
      <c r="I193" s="81" t="s">
        <v>117</v>
      </c>
      <c r="J193" s="99">
        <v>284</v>
      </c>
      <c r="P193" s="57"/>
    </row>
    <row r="194" spans="2:16" x14ac:dyDescent="0.25">
      <c r="I194" s="81" t="s">
        <v>119</v>
      </c>
      <c r="J194" s="99">
        <v>34360</v>
      </c>
      <c r="P194" s="25"/>
    </row>
    <row r="195" spans="2:16" x14ac:dyDescent="0.25">
      <c r="I195" s="94" t="s">
        <v>113</v>
      </c>
      <c r="J195" s="97"/>
    </row>
    <row r="196" spans="2:16" x14ac:dyDescent="0.25">
      <c r="I196" s="81" t="s">
        <v>23</v>
      </c>
      <c r="J196" s="323">
        <v>66592.800000000003</v>
      </c>
    </row>
    <row r="197" spans="2:16" x14ac:dyDescent="0.25">
      <c r="I197" s="95" t="s">
        <v>111</v>
      </c>
      <c r="J197" s="99"/>
    </row>
    <row r="198" spans="2:16" x14ac:dyDescent="0.25">
      <c r="B198" s="27"/>
      <c r="E198" s="27"/>
      <c r="F198" s="27"/>
      <c r="G198" s="27"/>
      <c r="I198" s="95" t="s">
        <v>112</v>
      </c>
      <c r="J198" s="58"/>
    </row>
    <row r="199" spans="2:16" x14ac:dyDescent="0.25">
      <c r="I199" s="81"/>
      <c r="J199" s="26"/>
    </row>
    <row r="200" spans="2:16" x14ac:dyDescent="0.25">
      <c r="I200" s="81"/>
      <c r="J200" s="26"/>
    </row>
    <row r="201" spans="2:16" x14ac:dyDescent="0.25">
      <c r="I201" s="81"/>
      <c r="J201" s="58"/>
    </row>
    <row r="202" spans="2:16" x14ac:dyDescent="0.25">
      <c r="I202" s="81"/>
      <c r="J202" s="58"/>
    </row>
    <row r="222" spans="12:12" x14ac:dyDescent="0.25">
      <c r="L222" s="25"/>
    </row>
    <row r="245" spans="12:12" x14ac:dyDescent="0.25">
      <c r="L245" s="25"/>
    </row>
    <row r="372" spans="12:12" x14ac:dyDescent="0.25">
      <c r="L372" s="25"/>
    </row>
  </sheetData>
  <mergeCells count="8">
    <mergeCell ref="E192:H192"/>
    <mergeCell ref="E193:H193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BE2A4-6CF0-4F21-A52D-55F8302FF429}">
  <sheetPr>
    <tabColor theme="5"/>
  </sheetPr>
  <dimension ref="A1:O37"/>
  <sheetViews>
    <sheetView view="pageBreakPreview" topLeftCell="A15" zoomScale="96" zoomScaleNormal="100" zoomScaleSheetLayoutView="96" workbookViewId="0">
      <selection activeCell="M24" sqref="M24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6.7109375" customWidth="1"/>
    <col min="9" max="9" width="19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</row>
    <row r="2" spans="1:15" ht="18" x14ac:dyDescent="0.25">
      <c r="A2" s="524" t="s">
        <v>1949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</row>
    <row r="3" spans="1:15" x14ac:dyDescent="0.25">
      <c r="A3" s="183"/>
      <c r="B3" s="1"/>
      <c r="C3" s="28"/>
      <c r="D3" s="1"/>
      <c r="E3" s="1"/>
      <c r="G3" s="1"/>
      <c r="H3" s="28"/>
      <c r="I3" s="25"/>
      <c r="J3" s="29"/>
      <c r="K3" s="526" t="s">
        <v>2216</v>
      </c>
      <c r="L3" s="536"/>
    </row>
    <row r="4" spans="1:15" x14ac:dyDescent="0.25">
      <c r="A4" s="183"/>
      <c r="B4" s="1"/>
      <c r="C4" s="28"/>
      <c r="D4" s="1"/>
      <c r="E4" s="1"/>
      <c r="G4" s="1"/>
      <c r="H4" s="28"/>
      <c r="I4" s="25"/>
      <c r="J4" s="29"/>
      <c r="K4" s="31" t="s">
        <v>37</v>
      </c>
      <c r="L4" s="100">
        <v>7</v>
      </c>
    </row>
    <row r="5" spans="1:15" x14ac:dyDescent="0.25">
      <c r="A5" s="183"/>
      <c r="B5" s="1"/>
      <c r="C5" s="28"/>
      <c r="D5" s="1"/>
      <c r="E5" s="1"/>
      <c r="G5" s="1"/>
      <c r="H5" s="28"/>
      <c r="I5" s="25"/>
      <c r="J5" s="29"/>
      <c r="K5" s="31" t="s">
        <v>38</v>
      </c>
      <c r="L5" s="100">
        <v>3</v>
      </c>
    </row>
    <row r="6" spans="1:15" ht="18" x14ac:dyDescent="0.25">
      <c r="A6" s="528" t="s">
        <v>122</v>
      </c>
      <c r="B6" s="528"/>
      <c r="C6" s="32"/>
      <c r="D6" s="1"/>
      <c r="E6" s="4"/>
      <c r="F6" s="2"/>
      <c r="G6" s="1"/>
      <c r="H6" s="28"/>
      <c r="I6" s="25"/>
      <c r="J6" s="29"/>
      <c r="K6" s="5" t="s">
        <v>39</v>
      </c>
      <c r="L6" s="33"/>
    </row>
    <row r="7" spans="1:15" x14ac:dyDescent="0.25">
      <c r="A7" s="6"/>
      <c r="B7" s="7"/>
      <c r="C7" s="34" t="s">
        <v>24</v>
      </c>
      <c r="D7" s="8"/>
      <c r="E7" s="8"/>
      <c r="F7" s="35" t="s">
        <v>25</v>
      </c>
      <c r="G7" s="34" t="s">
        <v>26</v>
      </c>
      <c r="H7" s="529" t="s">
        <v>27</v>
      </c>
      <c r="I7" s="530"/>
      <c r="J7" s="36"/>
      <c r="K7" s="531" t="s">
        <v>2</v>
      </c>
      <c r="L7" s="532"/>
    </row>
    <row r="8" spans="1:15" x14ac:dyDescent="0.25">
      <c r="A8" s="519" t="s">
        <v>28</v>
      </c>
      <c r="B8" s="520"/>
      <c r="C8" s="35" t="s">
        <v>29</v>
      </c>
      <c r="D8" s="184" t="s">
        <v>5</v>
      </c>
      <c r="E8" s="9" t="s">
        <v>6</v>
      </c>
      <c r="F8" s="35" t="s">
        <v>30</v>
      </c>
      <c r="G8" s="37" t="s">
        <v>31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7"/>
      <c r="B9" s="14"/>
      <c r="C9" s="35" t="s">
        <v>32</v>
      </c>
      <c r="D9" s="15"/>
      <c r="E9" s="14"/>
      <c r="F9" s="35" t="s">
        <v>33</v>
      </c>
      <c r="G9" s="37" t="s">
        <v>34</v>
      </c>
      <c r="H9" s="40" t="s">
        <v>11</v>
      </c>
      <c r="I9" s="39" t="s">
        <v>12</v>
      </c>
      <c r="J9" s="41"/>
      <c r="K9" s="184" t="s">
        <v>13</v>
      </c>
      <c r="L9" s="184" t="s">
        <v>14</v>
      </c>
    </row>
    <row r="10" spans="1:15" x14ac:dyDescent="0.25">
      <c r="A10" s="18"/>
      <c r="B10" s="19"/>
      <c r="C10" s="42"/>
      <c r="D10" s="20"/>
      <c r="E10" s="20"/>
      <c r="F10" s="43" t="s">
        <v>35</v>
      </c>
      <c r="G10" s="22"/>
      <c r="H10" s="44"/>
      <c r="I10" s="45" t="s">
        <v>36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ht="25.5" customHeight="1" x14ac:dyDescent="0.25">
      <c r="A12" s="336">
        <v>1</v>
      </c>
      <c r="B12" s="220" t="s">
        <v>350</v>
      </c>
      <c r="C12" s="49"/>
      <c r="D12" s="220"/>
      <c r="E12" s="220"/>
      <c r="F12" s="223"/>
      <c r="G12" s="220" t="s">
        <v>1963</v>
      </c>
      <c r="H12" s="325" t="s">
        <v>163</v>
      </c>
      <c r="I12" s="221">
        <v>3000</v>
      </c>
      <c r="J12" s="194" t="s">
        <v>255</v>
      </c>
      <c r="K12" s="79"/>
      <c r="L12" s="145" t="s">
        <v>43</v>
      </c>
    </row>
    <row r="13" spans="1:15" ht="24.75" customHeight="1" x14ac:dyDescent="0.25">
      <c r="A13" s="299">
        <v>4</v>
      </c>
      <c r="B13" s="220" t="s">
        <v>1984</v>
      </c>
      <c r="C13" s="49"/>
      <c r="D13" s="220" t="s">
        <v>1985</v>
      </c>
      <c r="E13" s="220" t="s">
        <v>80</v>
      </c>
      <c r="F13" s="231"/>
      <c r="G13" s="220" t="s">
        <v>1986</v>
      </c>
      <c r="H13" s="325" t="s">
        <v>42</v>
      </c>
      <c r="I13" s="221">
        <v>8000</v>
      </c>
      <c r="J13" s="194" t="s">
        <v>255</v>
      </c>
      <c r="K13" s="79"/>
      <c r="L13" s="145" t="s">
        <v>43</v>
      </c>
    </row>
    <row r="14" spans="1:15" ht="21" customHeight="1" x14ac:dyDescent="0.25">
      <c r="A14" s="300">
        <v>5</v>
      </c>
      <c r="B14" s="238" t="s">
        <v>1802</v>
      </c>
      <c r="C14" s="190"/>
      <c r="D14" s="239"/>
      <c r="E14" s="145" t="s">
        <v>59</v>
      </c>
      <c r="F14" s="240" t="s">
        <v>1803</v>
      </c>
      <c r="G14" s="374" t="s">
        <v>1804</v>
      </c>
      <c r="H14" s="192" t="s">
        <v>42</v>
      </c>
      <c r="I14" s="278">
        <v>19000</v>
      </c>
      <c r="J14" s="194" t="s">
        <v>255</v>
      </c>
      <c r="K14" s="79"/>
      <c r="L14" s="145" t="s">
        <v>43</v>
      </c>
      <c r="M14" s="132"/>
    </row>
    <row r="15" spans="1:15" ht="25.5" customHeight="1" x14ac:dyDescent="0.25">
      <c r="A15" s="300">
        <v>6</v>
      </c>
      <c r="B15" s="238" t="s">
        <v>2026</v>
      </c>
      <c r="C15" s="190"/>
      <c r="D15" s="239"/>
      <c r="E15" s="145"/>
      <c r="F15" s="191" t="s">
        <v>2027</v>
      </c>
      <c r="G15" s="145" t="s">
        <v>2028</v>
      </c>
      <c r="H15" s="325" t="s">
        <v>42</v>
      </c>
      <c r="I15" s="242">
        <v>12000</v>
      </c>
      <c r="J15" s="194" t="s">
        <v>255</v>
      </c>
      <c r="K15" s="79"/>
      <c r="L15" s="145" t="s">
        <v>43</v>
      </c>
      <c r="M15" s="132"/>
      <c r="O15" s="57"/>
    </row>
    <row r="16" spans="1:15" ht="21.75" customHeight="1" x14ac:dyDescent="0.25">
      <c r="A16" s="343">
        <v>7</v>
      </c>
      <c r="B16" s="238" t="s">
        <v>555</v>
      </c>
      <c r="C16" s="190"/>
      <c r="D16" s="239" t="s">
        <v>552</v>
      </c>
      <c r="E16" s="145" t="s">
        <v>62</v>
      </c>
      <c r="F16" s="191"/>
      <c r="G16" s="145" t="s">
        <v>2042</v>
      </c>
      <c r="H16" s="344" t="s">
        <v>2043</v>
      </c>
      <c r="I16" s="242">
        <v>800</v>
      </c>
      <c r="J16" s="194" t="s">
        <v>255</v>
      </c>
      <c r="K16" s="80"/>
      <c r="L16" s="282" t="s">
        <v>43</v>
      </c>
      <c r="O16" s="57"/>
    </row>
    <row r="17" spans="1:15" ht="28.5" customHeight="1" x14ac:dyDescent="0.25">
      <c r="A17" s="300">
        <v>15</v>
      </c>
      <c r="B17" s="392" t="s">
        <v>2126</v>
      </c>
      <c r="C17" s="190"/>
      <c r="D17" s="239" t="s">
        <v>2123</v>
      </c>
      <c r="E17" s="145" t="s">
        <v>62</v>
      </c>
      <c r="F17" s="191" t="s">
        <v>2124</v>
      </c>
      <c r="G17" s="145" t="s">
        <v>2125</v>
      </c>
      <c r="H17" s="344" t="s">
        <v>42</v>
      </c>
      <c r="I17" s="242">
        <v>5000</v>
      </c>
      <c r="J17" s="194" t="s">
        <v>255</v>
      </c>
      <c r="K17" s="80"/>
      <c r="L17" s="282" t="s">
        <v>43</v>
      </c>
      <c r="O17" s="57"/>
    </row>
    <row r="18" spans="1:15" ht="16.5" customHeight="1" x14ac:dyDescent="0.25">
      <c r="A18" s="343">
        <v>15</v>
      </c>
      <c r="B18" s="179" t="s">
        <v>555</v>
      </c>
      <c r="C18" s="79"/>
      <c r="D18" s="79" t="s">
        <v>552</v>
      </c>
      <c r="E18" s="79" t="s">
        <v>62</v>
      </c>
      <c r="F18" s="223" t="s">
        <v>2143</v>
      </c>
      <c r="G18" s="79" t="s">
        <v>557</v>
      </c>
      <c r="H18" s="344" t="s">
        <v>2043</v>
      </c>
      <c r="I18" s="195">
        <v>750</v>
      </c>
      <c r="J18" s="225" t="s">
        <v>255</v>
      </c>
      <c r="K18" s="79"/>
      <c r="L18" s="79" t="s">
        <v>43</v>
      </c>
      <c r="O18" s="57"/>
    </row>
    <row r="19" spans="1:15" ht="16.5" customHeight="1" x14ac:dyDescent="0.25">
      <c r="A19" s="300">
        <v>18</v>
      </c>
      <c r="B19" s="179" t="s">
        <v>555</v>
      </c>
      <c r="C19" s="79"/>
      <c r="D19" s="79" t="s">
        <v>552</v>
      </c>
      <c r="E19" s="79" t="s">
        <v>62</v>
      </c>
      <c r="F19" s="223" t="s">
        <v>2143</v>
      </c>
      <c r="G19" s="79" t="s">
        <v>557</v>
      </c>
      <c r="H19" s="344" t="s">
        <v>163</v>
      </c>
      <c r="I19" s="195">
        <v>400</v>
      </c>
      <c r="J19" s="225" t="s">
        <v>255</v>
      </c>
      <c r="K19" s="79"/>
      <c r="L19" s="79" t="s">
        <v>43</v>
      </c>
      <c r="O19" s="57"/>
    </row>
    <row r="20" spans="1:15" ht="29.25" customHeight="1" x14ac:dyDescent="0.25">
      <c r="A20" s="300">
        <v>19</v>
      </c>
      <c r="B20" s="179" t="s">
        <v>2161</v>
      </c>
      <c r="C20" s="79"/>
      <c r="D20" s="79" t="s">
        <v>2159</v>
      </c>
      <c r="E20" s="79" t="s">
        <v>79</v>
      </c>
      <c r="F20" s="223" t="s">
        <v>2160</v>
      </c>
      <c r="G20" s="205" t="s">
        <v>2158</v>
      </c>
      <c r="H20" s="344" t="s">
        <v>42</v>
      </c>
      <c r="I20" s="195">
        <v>5000</v>
      </c>
      <c r="J20" s="225" t="s">
        <v>255</v>
      </c>
      <c r="K20" s="79"/>
      <c r="L20" s="79" t="s">
        <v>43</v>
      </c>
      <c r="O20" s="57"/>
    </row>
    <row r="21" spans="1:15" ht="30" customHeight="1" x14ac:dyDescent="0.25">
      <c r="A21" s="343">
        <v>19</v>
      </c>
      <c r="B21" s="179" t="s">
        <v>2161</v>
      </c>
      <c r="C21" s="79"/>
      <c r="D21" s="79" t="s">
        <v>2159</v>
      </c>
      <c r="E21" s="79" t="s">
        <v>79</v>
      </c>
      <c r="F21" s="223" t="s">
        <v>2160</v>
      </c>
      <c r="G21" s="205" t="s">
        <v>2158</v>
      </c>
      <c r="H21" s="344" t="s">
        <v>163</v>
      </c>
      <c r="I21" s="195">
        <v>1500</v>
      </c>
      <c r="J21" s="225" t="s">
        <v>255</v>
      </c>
      <c r="K21" s="79"/>
      <c r="L21" s="79" t="s">
        <v>43</v>
      </c>
      <c r="O21" s="57"/>
    </row>
    <row r="22" spans="1:15" ht="24.75" customHeight="1" x14ac:dyDescent="0.25">
      <c r="A22" s="300">
        <v>26</v>
      </c>
      <c r="B22" s="179" t="s">
        <v>2208</v>
      </c>
      <c r="C22" s="79"/>
      <c r="D22" s="79" t="s">
        <v>144</v>
      </c>
      <c r="E22" s="79" t="s">
        <v>50</v>
      </c>
      <c r="F22" s="223" t="s">
        <v>2209</v>
      </c>
      <c r="G22" s="79" t="s">
        <v>2210</v>
      </c>
      <c r="H22" s="344" t="s">
        <v>42</v>
      </c>
      <c r="I22" s="195">
        <v>11500</v>
      </c>
      <c r="J22" s="225" t="s">
        <v>255</v>
      </c>
      <c r="K22" s="79"/>
      <c r="L22" s="79" t="s">
        <v>43</v>
      </c>
      <c r="O22" s="57"/>
    </row>
    <row r="23" spans="1:15" ht="24.75" customHeight="1" x14ac:dyDescent="0.25">
      <c r="A23" s="300">
        <v>26</v>
      </c>
      <c r="B23" s="179" t="s">
        <v>2208</v>
      </c>
      <c r="C23" s="79"/>
      <c r="D23" s="79" t="s">
        <v>144</v>
      </c>
      <c r="E23" s="79" t="s">
        <v>50</v>
      </c>
      <c r="F23" s="223" t="s">
        <v>2209</v>
      </c>
      <c r="G23" s="79" t="s">
        <v>2210</v>
      </c>
      <c r="H23" s="344" t="s">
        <v>180</v>
      </c>
      <c r="I23" s="195">
        <v>16000</v>
      </c>
      <c r="J23" s="225" t="s">
        <v>255</v>
      </c>
      <c r="K23" s="79"/>
      <c r="L23" s="79" t="s">
        <v>43</v>
      </c>
      <c r="O23" s="57"/>
    </row>
    <row r="24" spans="1:15" ht="39.75" customHeight="1" x14ac:dyDescent="0.25">
      <c r="A24" s="222">
        <v>26</v>
      </c>
      <c r="B24" s="179" t="s">
        <v>2219</v>
      </c>
      <c r="C24" s="222">
        <v>45</v>
      </c>
      <c r="D24" s="79" t="s">
        <v>732</v>
      </c>
      <c r="E24" s="79" t="s">
        <v>45</v>
      </c>
      <c r="F24" s="223"/>
      <c r="G24" s="79"/>
      <c r="H24" s="344" t="s">
        <v>2220</v>
      </c>
      <c r="I24" s="195"/>
      <c r="J24" s="225" t="s">
        <v>255</v>
      </c>
      <c r="K24" s="79"/>
      <c r="L24" s="79" t="s">
        <v>43</v>
      </c>
      <c r="O24" s="57"/>
    </row>
    <row r="25" spans="1:15" x14ac:dyDescent="0.25">
      <c r="I25" s="26"/>
      <c r="J25" s="26"/>
    </row>
    <row r="26" spans="1:15" x14ac:dyDescent="0.25">
      <c r="I26" s="51" t="s">
        <v>19</v>
      </c>
      <c r="J26" s="26"/>
    </row>
    <row r="27" spans="1:15" x14ac:dyDescent="0.25">
      <c r="I27" s="26" t="s">
        <v>114</v>
      </c>
      <c r="J27" s="26"/>
    </row>
    <row r="28" spans="1:15" x14ac:dyDescent="0.25">
      <c r="B28" t="s">
        <v>20</v>
      </c>
      <c r="E28" t="s">
        <v>21</v>
      </c>
      <c r="I28" s="26" t="s">
        <v>115</v>
      </c>
      <c r="J28" s="99">
        <v>10</v>
      </c>
    </row>
    <row r="29" spans="1:15" x14ac:dyDescent="0.25">
      <c r="I29" s="26" t="s">
        <v>184</v>
      </c>
      <c r="J29" s="99">
        <v>60500</v>
      </c>
      <c r="L29" s="25"/>
    </row>
    <row r="30" spans="1:15" x14ac:dyDescent="0.25">
      <c r="I30" s="26" t="s">
        <v>589</v>
      </c>
      <c r="J30" s="99">
        <v>1550</v>
      </c>
    </row>
    <row r="31" spans="1:15" x14ac:dyDescent="0.25">
      <c r="I31" s="26" t="s">
        <v>116</v>
      </c>
      <c r="J31" s="99">
        <v>16000</v>
      </c>
    </row>
    <row r="32" spans="1:15" x14ac:dyDescent="0.25">
      <c r="I32" s="26" t="s">
        <v>118</v>
      </c>
      <c r="J32" s="97"/>
    </row>
    <row r="33" spans="2:12" x14ac:dyDescent="0.25">
      <c r="B33" s="27" t="s">
        <v>538</v>
      </c>
      <c r="E33" s="521" t="s">
        <v>941</v>
      </c>
      <c r="F33" s="521"/>
      <c r="G33" s="521"/>
      <c r="H33" s="521"/>
      <c r="I33" s="26" t="s">
        <v>119</v>
      </c>
      <c r="J33" s="99">
        <v>4900</v>
      </c>
      <c r="L33" s="57"/>
    </row>
    <row r="34" spans="2:12" x14ac:dyDescent="0.25">
      <c r="B34" t="s">
        <v>183</v>
      </c>
      <c r="E34" s="522" t="s">
        <v>942</v>
      </c>
      <c r="F34" s="522"/>
      <c r="G34" s="522"/>
      <c r="H34" s="522"/>
      <c r="I34" s="26" t="s">
        <v>120</v>
      </c>
      <c r="J34" s="97"/>
      <c r="L34" s="57"/>
    </row>
    <row r="35" spans="2:12" x14ac:dyDescent="0.25">
      <c r="I35" s="26" t="s">
        <v>23</v>
      </c>
      <c r="J35" s="98"/>
    </row>
    <row r="36" spans="2:12" x14ac:dyDescent="0.25">
      <c r="I36" s="3" t="s">
        <v>121</v>
      </c>
      <c r="J36" s="99"/>
    </row>
    <row r="37" spans="2:12" x14ac:dyDescent="0.25">
      <c r="I37" s="3" t="s">
        <v>91</v>
      </c>
      <c r="J37" s="99"/>
    </row>
  </sheetData>
  <mergeCells count="9">
    <mergeCell ref="A8:B8"/>
    <mergeCell ref="E33:H33"/>
    <mergeCell ref="E34:H34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85" orientation="landscape" r:id="rId1"/>
  <rowBreaks count="1" manualBreakCount="1">
    <brk id="33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A863-A60E-44AD-833F-4F0EF71B3C10}">
  <sheetPr>
    <tabColor theme="5"/>
  </sheetPr>
  <dimension ref="A1:Q365"/>
  <sheetViews>
    <sheetView view="pageBreakPreview" topLeftCell="A162" zoomScale="106" zoomScaleNormal="100" zoomScaleSheetLayoutView="106" workbookViewId="0">
      <selection activeCell="P4" sqref="P4"/>
    </sheetView>
  </sheetViews>
  <sheetFormatPr defaultRowHeight="15" x14ac:dyDescent="0.25"/>
  <cols>
    <col min="1" max="1" width="4.7109375" style="183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91" customWidth="1"/>
    <col min="10" max="10" width="9.5703125" customWidth="1"/>
    <col min="11" max="11" width="17.85546875" customWidth="1"/>
    <col min="15" max="15" width="11.140625" customWidth="1"/>
    <col min="16" max="16" width="20" customWidth="1"/>
  </cols>
  <sheetData>
    <row r="1" spans="1:17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</row>
    <row r="2" spans="1:17" ht="18" x14ac:dyDescent="0.25">
      <c r="A2" s="524" t="s">
        <v>1949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</row>
    <row r="3" spans="1:17" x14ac:dyDescent="0.25">
      <c r="B3" s="1"/>
      <c r="C3" s="3"/>
      <c r="D3" s="1"/>
      <c r="E3" s="1"/>
      <c r="G3" s="3"/>
      <c r="H3" s="67"/>
      <c r="I3" s="81"/>
      <c r="J3" s="82" t="s">
        <v>2215</v>
      </c>
      <c r="K3" s="83"/>
    </row>
    <row r="4" spans="1:17" x14ac:dyDescent="0.25">
      <c r="B4" s="1"/>
      <c r="C4" s="3"/>
      <c r="D4" s="1"/>
      <c r="E4" s="1"/>
      <c r="G4" s="3"/>
      <c r="H4" s="67"/>
      <c r="I4" s="84"/>
      <c r="J4" s="76" t="s">
        <v>93</v>
      </c>
      <c r="K4" s="96">
        <v>123</v>
      </c>
      <c r="P4" s="448">
        <f>SUM(I12:I55,I57:I84,I86:I94,I96:I101,I103:I114,I116:I120,I122:I144,I148:I176)</f>
        <v>91460</v>
      </c>
    </row>
    <row r="5" spans="1:17" x14ac:dyDescent="0.25">
      <c r="B5" s="1"/>
      <c r="C5" s="3"/>
      <c r="D5" s="1"/>
      <c r="E5" s="1"/>
      <c r="G5" s="3"/>
      <c r="H5" s="67"/>
      <c r="I5" s="84"/>
      <c r="J5" s="76" t="s">
        <v>95</v>
      </c>
      <c r="K5" s="96">
        <v>22</v>
      </c>
    </row>
    <row r="6" spans="1:17" x14ac:dyDescent="0.25">
      <c r="A6" s="534" t="s">
        <v>123</v>
      </c>
      <c r="B6" s="534"/>
      <c r="C6" s="3"/>
      <c r="D6" s="1"/>
      <c r="E6" s="4"/>
      <c r="G6" s="3"/>
      <c r="H6" s="67"/>
      <c r="I6" s="81"/>
      <c r="J6" s="80" t="s">
        <v>2218</v>
      </c>
      <c r="K6" s="85"/>
    </row>
    <row r="7" spans="1:17" x14ac:dyDescent="0.25">
      <c r="A7" s="6"/>
      <c r="B7" s="7"/>
      <c r="C7" s="64"/>
      <c r="D7" s="8"/>
      <c r="E7" s="8"/>
      <c r="F7" s="529" t="s">
        <v>1</v>
      </c>
      <c r="G7" s="535"/>
      <c r="H7" s="530"/>
      <c r="I7" s="86"/>
      <c r="J7" s="531" t="s">
        <v>2</v>
      </c>
      <c r="K7" s="532"/>
      <c r="P7" s="25"/>
    </row>
    <row r="8" spans="1:17" x14ac:dyDescent="0.25">
      <c r="A8" s="519" t="s">
        <v>3</v>
      </c>
      <c r="B8" s="520"/>
      <c r="C8" s="17" t="s">
        <v>4</v>
      </c>
      <c r="D8" s="184" t="s">
        <v>5</v>
      </c>
      <c r="E8" s="9" t="s">
        <v>6</v>
      </c>
      <c r="F8" s="10" t="s">
        <v>7</v>
      </c>
      <c r="G8" s="65"/>
      <c r="H8" s="11" t="s">
        <v>8</v>
      </c>
      <c r="I8" s="60" t="s">
        <v>9</v>
      </c>
      <c r="J8" s="77"/>
      <c r="K8" s="13"/>
    </row>
    <row r="9" spans="1:17" x14ac:dyDescent="0.25">
      <c r="A9" s="87"/>
      <c r="B9" s="14"/>
      <c r="C9" s="65"/>
      <c r="D9" s="15"/>
      <c r="E9" s="14"/>
      <c r="F9" s="16" t="s">
        <v>10</v>
      </c>
      <c r="G9" s="17" t="s">
        <v>11</v>
      </c>
      <c r="H9" s="11" t="s">
        <v>12</v>
      </c>
      <c r="I9" s="88"/>
      <c r="J9" s="184" t="s">
        <v>13</v>
      </c>
      <c r="K9" s="184" t="s">
        <v>14</v>
      </c>
      <c r="Q9" s="232"/>
    </row>
    <row r="10" spans="1:17" x14ac:dyDescent="0.25">
      <c r="A10" s="18"/>
      <c r="B10" s="19"/>
      <c r="C10" s="66"/>
      <c r="D10" s="20"/>
      <c r="E10" s="20"/>
      <c r="F10" s="21"/>
      <c r="G10" s="68"/>
      <c r="H10" s="69" t="s">
        <v>15</v>
      </c>
      <c r="I10" s="89"/>
      <c r="J10" s="21"/>
      <c r="K10" s="22" t="s">
        <v>16</v>
      </c>
      <c r="P10" s="232"/>
      <c r="Q10" s="232"/>
    </row>
    <row r="11" spans="1:17" x14ac:dyDescent="0.25">
      <c r="A11" s="47" t="s">
        <v>17</v>
      </c>
      <c r="B11" s="23"/>
      <c r="C11" s="23"/>
      <c r="D11" s="23"/>
      <c r="E11" s="23"/>
      <c r="F11" s="23"/>
      <c r="G11" s="23"/>
      <c r="H11" s="23"/>
      <c r="I11" s="61"/>
      <c r="J11" s="23"/>
      <c r="K11" s="23"/>
      <c r="O11" s="376"/>
      <c r="P11" s="232"/>
      <c r="Q11" s="232"/>
    </row>
    <row r="12" spans="1:17" x14ac:dyDescent="0.25">
      <c r="A12" s="203">
        <v>1</v>
      </c>
      <c r="B12" s="205" t="s">
        <v>1950</v>
      </c>
      <c r="C12" s="205" t="s">
        <v>40</v>
      </c>
      <c r="D12" s="205" t="s">
        <v>63</v>
      </c>
      <c r="E12" s="205" t="s">
        <v>50</v>
      </c>
      <c r="F12" s="206"/>
      <c r="G12" s="208" t="s">
        <v>42</v>
      </c>
      <c r="H12" s="207">
        <v>2000</v>
      </c>
      <c r="I12" s="204">
        <v>400</v>
      </c>
      <c r="J12" s="205" t="s">
        <v>179</v>
      </c>
      <c r="K12" s="205" t="s">
        <v>43</v>
      </c>
      <c r="M12">
        <f t="shared" ref="M12:M176" si="0">H12/5</f>
        <v>400</v>
      </c>
      <c r="O12" s="390" t="s">
        <v>1970</v>
      </c>
      <c r="P12" s="232"/>
    </row>
    <row r="13" spans="1:17" x14ac:dyDescent="0.25">
      <c r="A13" s="203">
        <v>1</v>
      </c>
      <c r="B13" s="205" t="s">
        <v>1951</v>
      </c>
      <c r="C13" s="205" t="s">
        <v>48</v>
      </c>
      <c r="D13" s="205" t="s">
        <v>1952</v>
      </c>
      <c r="E13" s="205" t="s">
        <v>58</v>
      </c>
      <c r="F13" s="206"/>
      <c r="G13" s="208" t="s">
        <v>42</v>
      </c>
      <c r="H13" s="207">
        <v>2000</v>
      </c>
      <c r="I13" s="204">
        <v>400</v>
      </c>
      <c r="J13" s="205" t="s">
        <v>179</v>
      </c>
      <c r="K13" s="205" t="s">
        <v>43</v>
      </c>
      <c r="M13">
        <f t="shared" si="0"/>
        <v>400</v>
      </c>
      <c r="O13" s="377" t="s">
        <v>42</v>
      </c>
      <c r="P13" s="232">
        <f>SUM(H12:H13,H16,H19:H20,H22,H24:H26)</f>
        <v>27800</v>
      </c>
    </row>
    <row r="14" spans="1:17" x14ac:dyDescent="0.25">
      <c r="A14" s="203">
        <v>1</v>
      </c>
      <c r="B14" s="205" t="s">
        <v>617</v>
      </c>
      <c r="C14" s="205" t="s">
        <v>40</v>
      </c>
      <c r="D14" s="205" t="s">
        <v>618</v>
      </c>
      <c r="E14" s="205" t="s">
        <v>59</v>
      </c>
      <c r="F14" s="206" t="s">
        <v>355</v>
      </c>
      <c r="G14" s="208" t="s">
        <v>163</v>
      </c>
      <c r="H14" s="207">
        <v>400</v>
      </c>
      <c r="I14" s="204">
        <v>400</v>
      </c>
      <c r="J14" s="205" t="s">
        <v>179</v>
      </c>
      <c r="K14" s="205" t="s">
        <v>43</v>
      </c>
      <c r="M14">
        <f t="shared" si="0"/>
        <v>80</v>
      </c>
      <c r="O14" s="377" t="s">
        <v>163</v>
      </c>
      <c r="P14" s="232">
        <f>SUM(H14:H15,H18,H21,H23,H27:H28)</f>
        <v>9900</v>
      </c>
    </row>
    <row r="15" spans="1:17" x14ac:dyDescent="0.25">
      <c r="A15" s="203">
        <v>1</v>
      </c>
      <c r="B15" s="205" t="s">
        <v>1953</v>
      </c>
      <c r="C15" s="205" t="s">
        <v>40</v>
      </c>
      <c r="D15" s="205" t="s">
        <v>488</v>
      </c>
      <c r="E15" s="205" t="s">
        <v>44</v>
      </c>
      <c r="F15" s="206" t="s">
        <v>1954</v>
      </c>
      <c r="G15" s="208" t="s">
        <v>163</v>
      </c>
      <c r="H15" s="207">
        <v>3000</v>
      </c>
      <c r="I15" s="204">
        <v>3000</v>
      </c>
      <c r="J15" s="205" t="s">
        <v>179</v>
      </c>
      <c r="K15" s="205" t="s">
        <v>43</v>
      </c>
      <c r="M15">
        <f t="shared" si="0"/>
        <v>600</v>
      </c>
      <c r="O15" s="378" t="s">
        <v>1607</v>
      </c>
      <c r="P15" s="232">
        <v>30</v>
      </c>
    </row>
    <row r="16" spans="1:17" x14ac:dyDescent="0.25">
      <c r="A16" s="203">
        <v>1</v>
      </c>
      <c r="B16" s="205" t="s">
        <v>1955</v>
      </c>
      <c r="C16" s="205" t="s">
        <v>48</v>
      </c>
      <c r="D16" s="205" t="s">
        <v>1776</v>
      </c>
      <c r="E16" s="205" t="s">
        <v>45</v>
      </c>
      <c r="F16" s="206" t="s">
        <v>1956</v>
      </c>
      <c r="G16" s="208" t="s">
        <v>42</v>
      </c>
      <c r="H16" s="207">
        <v>300</v>
      </c>
      <c r="I16" s="204">
        <v>90</v>
      </c>
      <c r="J16" s="205" t="s">
        <v>179</v>
      </c>
      <c r="K16" s="205" t="s">
        <v>43</v>
      </c>
      <c r="M16">
        <f t="shared" si="0"/>
        <v>60</v>
      </c>
      <c r="O16" s="379"/>
      <c r="P16" s="232"/>
    </row>
    <row r="17" spans="1:17" x14ac:dyDescent="0.25">
      <c r="A17" s="203">
        <v>1</v>
      </c>
      <c r="B17" s="205" t="s">
        <v>1955</v>
      </c>
      <c r="C17" s="205" t="s">
        <v>48</v>
      </c>
      <c r="D17" s="205" t="s">
        <v>1776</v>
      </c>
      <c r="E17" s="205" t="s">
        <v>45</v>
      </c>
      <c r="F17" s="206" t="s">
        <v>1956</v>
      </c>
      <c r="G17" s="208" t="s">
        <v>180</v>
      </c>
      <c r="H17" s="207">
        <v>30</v>
      </c>
      <c r="I17" s="204">
        <v>15</v>
      </c>
      <c r="J17" s="205" t="s">
        <v>179</v>
      </c>
      <c r="K17" s="205" t="s">
        <v>43</v>
      </c>
      <c r="M17">
        <f t="shared" si="0"/>
        <v>6</v>
      </c>
      <c r="O17" s="390" t="s">
        <v>2038</v>
      </c>
      <c r="P17" s="232"/>
    </row>
    <row r="18" spans="1:17" x14ac:dyDescent="0.25">
      <c r="A18" s="203">
        <v>1</v>
      </c>
      <c r="B18" s="205" t="s">
        <v>1957</v>
      </c>
      <c r="C18" s="205" t="s">
        <v>40</v>
      </c>
      <c r="D18" s="205" t="s">
        <v>160</v>
      </c>
      <c r="E18" s="205" t="s">
        <v>44</v>
      </c>
      <c r="F18" s="206" t="s">
        <v>1958</v>
      </c>
      <c r="G18" s="208" t="s">
        <v>163</v>
      </c>
      <c r="H18" s="207">
        <v>3000</v>
      </c>
      <c r="I18" s="204">
        <v>3000</v>
      </c>
      <c r="J18" s="205" t="s">
        <v>179</v>
      </c>
      <c r="K18" s="205" t="s">
        <v>43</v>
      </c>
      <c r="M18">
        <f t="shared" si="0"/>
        <v>600</v>
      </c>
      <c r="O18" s="377" t="s">
        <v>42</v>
      </c>
      <c r="P18" s="233">
        <f>SUM(H30:H34,H36:H38,H40,H42,H44,H49,H51:H56,H61:H62)</f>
        <v>59200</v>
      </c>
      <c r="Q18" s="25"/>
    </row>
    <row r="19" spans="1:17" x14ac:dyDescent="0.25">
      <c r="A19" s="203">
        <v>1</v>
      </c>
      <c r="B19" s="205" t="s">
        <v>1959</v>
      </c>
      <c r="C19" s="205" t="s">
        <v>40</v>
      </c>
      <c r="D19" s="205" t="s">
        <v>481</v>
      </c>
      <c r="E19" s="205" t="s">
        <v>52</v>
      </c>
      <c r="F19" s="206"/>
      <c r="G19" s="208" t="s">
        <v>42</v>
      </c>
      <c r="H19" s="207">
        <v>500</v>
      </c>
      <c r="I19" s="204">
        <v>100</v>
      </c>
      <c r="J19" s="205" t="s">
        <v>179</v>
      </c>
      <c r="K19" s="205" t="s">
        <v>43</v>
      </c>
      <c r="M19">
        <f t="shared" si="0"/>
        <v>100</v>
      </c>
      <c r="O19" s="377" t="s">
        <v>163</v>
      </c>
      <c r="P19" s="232">
        <f>SUM(H29,H35,H39,H41,H43,H45:H48,H50,H57:H58,H60,H63)</f>
        <v>13200</v>
      </c>
    </row>
    <row r="20" spans="1:17" x14ac:dyDescent="0.25">
      <c r="A20" s="203">
        <v>1</v>
      </c>
      <c r="B20" s="205" t="s">
        <v>1960</v>
      </c>
      <c r="C20" s="205" t="s">
        <v>48</v>
      </c>
      <c r="D20" s="205" t="s">
        <v>402</v>
      </c>
      <c r="E20" s="205" t="s">
        <v>57</v>
      </c>
      <c r="F20" s="206"/>
      <c r="G20" s="208" t="s">
        <v>42</v>
      </c>
      <c r="H20" s="207">
        <v>7000</v>
      </c>
      <c r="I20" s="204">
        <v>1400</v>
      </c>
      <c r="J20" s="205" t="s">
        <v>179</v>
      </c>
      <c r="K20" s="205" t="s">
        <v>43</v>
      </c>
      <c r="M20">
        <f t="shared" si="0"/>
        <v>1400</v>
      </c>
      <c r="O20" s="390" t="s">
        <v>2039</v>
      </c>
      <c r="P20" s="232"/>
    </row>
    <row r="21" spans="1:17" x14ac:dyDescent="0.25">
      <c r="A21" s="203">
        <v>1</v>
      </c>
      <c r="B21" s="205" t="s">
        <v>1961</v>
      </c>
      <c r="C21" s="205" t="s">
        <v>40</v>
      </c>
      <c r="D21" s="205" t="s">
        <v>1231</v>
      </c>
      <c r="E21" s="205" t="s">
        <v>52</v>
      </c>
      <c r="F21" s="206"/>
      <c r="G21" s="208" t="s">
        <v>163</v>
      </c>
      <c r="H21" s="207">
        <v>500</v>
      </c>
      <c r="I21" s="204">
        <v>500</v>
      </c>
      <c r="J21" s="205" t="s">
        <v>179</v>
      </c>
      <c r="K21" s="205" t="s">
        <v>43</v>
      </c>
      <c r="M21">
        <f t="shared" si="0"/>
        <v>100</v>
      </c>
      <c r="O21" s="377" t="s">
        <v>42</v>
      </c>
      <c r="P21" s="232">
        <f>SUM(H64,H66,H68:H69,H71)</f>
        <v>15600</v>
      </c>
    </row>
    <row r="22" spans="1:17" x14ac:dyDescent="0.25">
      <c r="A22" s="203">
        <v>1</v>
      </c>
      <c r="B22" s="205" t="s">
        <v>1962</v>
      </c>
      <c r="C22" s="205" t="s">
        <v>40</v>
      </c>
      <c r="D22" s="205" t="s">
        <v>160</v>
      </c>
      <c r="E22" s="205" t="s">
        <v>44</v>
      </c>
      <c r="F22" s="206"/>
      <c r="G22" s="208" t="s">
        <v>42</v>
      </c>
      <c r="H22" s="207">
        <v>5000</v>
      </c>
      <c r="I22" s="204">
        <v>1000</v>
      </c>
      <c r="J22" s="205" t="s">
        <v>179</v>
      </c>
      <c r="K22" s="205" t="s">
        <v>43</v>
      </c>
      <c r="M22">
        <f t="shared" si="0"/>
        <v>1000</v>
      </c>
      <c r="O22" s="377" t="s">
        <v>163</v>
      </c>
      <c r="P22" s="232">
        <f>SUM(H65,H67,H70)</f>
        <v>4200</v>
      </c>
    </row>
    <row r="23" spans="1:17" x14ac:dyDescent="0.25">
      <c r="A23" s="203">
        <v>1</v>
      </c>
      <c r="B23" s="205" t="s">
        <v>1962</v>
      </c>
      <c r="C23" s="205" t="s">
        <v>40</v>
      </c>
      <c r="D23" s="205" t="s">
        <v>160</v>
      </c>
      <c r="E23" s="205" t="s">
        <v>44</v>
      </c>
      <c r="F23" s="206"/>
      <c r="G23" s="208" t="s">
        <v>163</v>
      </c>
      <c r="H23" s="207">
        <v>200</v>
      </c>
      <c r="I23" s="204">
        <v>200</v>
      </c>
      <c r="J23" s="205" t="s">
        <v>179</v>
      </c>
      <c r="K23" s="205" t="s">
        <v>43</v>
      </c>
      <c r="M23">
        <f t="shared" si="0"/>
        <v>40</v>
      </c>
      <c r="O23" s="390" t="s">
        <v>2100</v>
      </c>
      <c r="P23" s="233"/>
    </row>
    <row r="24" spans="1:17" x14ac:dyDescent="0.25">
      <c r="A24" s="203">
        <v>1</v>
      </c>
      <c r="B24" s="205" t="s">
        <v>1964</v>
      </c>
      <c r="C24" s="205" t="s">
        <v>40</v>
      </c>
      <c r="D24" s="205" t="s">
        <v>1965</v>
      </c>
      <c r="E24" s="205" t="s">
        <v>46</v>
      </c>
      <c r="F24" s="206"/>
      <c r="G24" s="208" t="s">
        <v>42</v>
      </c>
      <c r="H24" s="207">
        <v>7000</v>
      </c>
      <c r="I24" s="204">
        <v>1400</v>
      </c>
      <c r="J24" s="205" t="s">
        <v>179</v>
      </c>
      <c r="K24" s="205" t="s">
        <v>43</v>
      </c>
      <c r="M24">
        <f t="shared" si="0"/>
        <v>1400</v>
      </c>
      <c r="O24" s="377" t="s">
        <v>42</v>
      </c>
      <c r="P24" s="233">
        <f>SUM(H72:H76,H78:H79,H81,H83:H84,H86:H87,H89:H90,H92,H94:H96,H97:H101)</f>
        <v>50800</v>
      </c>
    </row>
    <row r="25" spans="1:17" x14ac:dyDescent="0.25">
      <c r="A25" s="203">
        <v>1</v>
      </c>
      <c r="B25" s="205" t="s">
        <v>1966</v>
      </c>
      <c r="C25" s="205" t="s">
        <v>40</v>
      </c>
      <c r="D25" s="205" t="s">
        <v>491</v>
      </c>
      <c r="E25" s="205" t="s">
        <v>44</v>
      </c>
      <c r="F25" s="206"/>
      <c r="G25" s="208" t="s">
        <v>42</v>
      </c>
      <c r="H25" s="207">
        <v>1000</v>
      </c>
      <c r="I25" s="204">
        <v>200</v>
      </c>
      <c r="J25" s="205" t="s">
        <v>179</v>
      </c>
      <c r="K25" s="205" t="s">
        <v>43</v>
      </c>
      <c r="M25">
        <f t="shared" si="0"/>
        <v>200</v>
      </c>
      <c r="O25" s="377" t="s">
        <v>163</v>
      </c>
      <c r="P25" s="25">
        <f>SUM(H77,H80,H82,H85,H88,H91,H93)</f>
        <v>2220</v>
      </c>
      <c r="Q25" s="25"/>
    </row>
    <row r="26" spans="1:17" x14ac:dyDescent="0.25">
      <c r="A26" s="203">
        <v>1</v>
      </c>
      <c r="B26" s="205" t="s">
        <v>1967</v>
      </c>
      <c r="C26" s="205" t="s">
        <v>40</v>
      </c>
      <c r="D26" s="205" t="s">
        <v>1968</v>
      </c>
      <c r="E26" s="205" t="s">
        <v>50</v>
      </c>
      <c r="F26" s="206"/>
      <c r="G26" s="208" t="s">
        <v>42</v>
      </c>
      <c r="H26" s="207">
        <v>3000</v>
      </c>
      <c r="I26" s="204">
        <v>600</v>
      </c>
      <c r="J26" s="205" t="s">
        <v>179</v>
      </c>
      <c r="K26" s="205" t="s">
        <v>43</v>
      </c>
      <c r="M26">
        <f t="shared" si="0"/>
        <v>600</v>
      </c>
      <c r="O26" s="390" t="s">
        <v>2127</v>
      </c>
      <c r="P26" s="25"/>
      <c r="Q26" s="25"/>
    </row>
    <row r="27" spans="1:17" x14ac:dyDescent="0.25">
      <c r="A27" s="203">
        <v>1</v>
      </c>
      <c r="B27" s="205" t="s">
        <v>1967</v>
      </c>
      <c r="C27" s="205" t="s">
        <v>40</v>
      </c>
      <c r="D27" s="205" t="s">
        <v>1968</v>
      </c>
      <c r="E27" s="205" t="s">
        <v>50</v>
      </c>
      <c r="F27" s="206"/>
      <c r="G27" s="208" t="s">
        <v>163</v>
      </c>
      <c r="H27" s="207">
        <v>1000</v>
      </c>
      <c r="I27" s="204">
        <v>1000</v>
      </c>
      <c r="J27" s="205" t="s">
        <v>179</v>
      </c>
      <c r="K27" s="205" t="s">
        <v>43</v>
      </c>
      <c r="M27">
        <f t="shared" si="0"/>
        <v>200</v>
      </c>
      <c r="O27" s="380" t="s">
        <v>42</v>
      </c>
      <c r="P27" s="25">
        <f>SUM(H102:H114)</f>
        <v>21100</v>
      </c>
    </row>
    <row r="28" spans="1:17" x14ac:dyDescent="0.25">
      <c r="A28" s="321">
        <v>1</v>
      </c>
      <c r="B28" s="205" t="s">
        <v>1969</v>
      </c>
      <c r="C28" s="205" t="s">
        <v>40</v>
      </c>
      <c r="D28" s="205" t="s">
        <v>836</v>
      </c>
      <c r="E28" s="205" t="s">
        <v>51</v>
      </c>
      <c r="F28" s="206"/>
      <c r="G28" s="208" t="s">
        <v>163</v>
      </c>
      <c r="H28" s="207">
        <v>1800</v>
      </c>
      <c r="I28" s="204">
        <v>1800</v>
      </c>
      <c r="J28" s="205" t="s">
        <v>179</v>
      </c>
      <c r="K28" s="205" t="s">
        <v>43</v>
      </c>
      <c r="M28">
        <f t="shared" si="0"/>
        <v>360</v>
      </c>
      <c r="O28" s="380" t="s">
        <v>1129</v>
      </c>
      <c r="P28" s="25">
        <v>30</v>
      </c>
    </row>
    <row r="29" spans="1:17" x14ac:dyDescent="0.25">
      <c r="A29" s="203">
        <v>4</v>
      </c>
      <c r="B29" s="205" t="s">
        <v>1971</v>
      </c>
      <c r="C29" s="205" t="s">
        <v>40</v>
      </c>
      <c r="D29" s="205" t="s">
        <v>288</v>
      </c>
      <c r="E29" s="205" t="s">
        <v>63</v>
      </c>
      <c r="F29" s="206" t="s">
        <v>1973</v>
      </c>
      <c r="G29" s="208" t="s">
        <v>163</v>
      </c>
      <c r="H29" s="207">
        <v>700</v>
      </c>
      <c r="I29" s="204">
        <v>700</v>
      </c>
      <c r="J29" s="205" t="s">
        <v>179</v>
      </c>
      <c r="K29" s="205" t="s">
        <v>43</v>
      </c>
      <c r="M29">
        <f t="shared" si="0"/>
        <v>140</v>
      </c>
      <c r="O29" s="390" t="s">
        <v>2162</v>
      </c>
    </row>
    <row r="30" spans="1:17" x14ac:dyDescent="0.25">
      <c r="A30" s="203">
        <v>4</v>
      </c>
      <c r="B30" s="205" t="s">
        <v>1972</v>
      </c>
      <c r="C30" s="205" t="s">
        <v>40</v>
      </c>
      <c r="D30" s="205" t="s">
        <v>873</v>
      </c>
      <c r="E30" s="205" t="s">
        <v>57</v>
      </c>
      <c r="F30" s="206" t="s">
        <v>1974</v>
      </c>
      <c r="G30" s="208" t="s">
        <v>42</v>
      </c>
      <c r="H30" s="207">
        <v>400</v>
      </c>
      <c r="I30" s="204">
        <v>80</v>
      </c>
      <c r="J30" s="205" t="s">
        <v>179</v>
      </c>
      <c r="K30" s="205" t="s">
        <v>43</v>
      </c>
      <c r="M30">
        <f t="shared" si="0"/>
        <v>80</v>
      </c>
      <c r="O30" s="376" t="s">
        <v>42</v>
      </c>
      <c r="P30" s="57">
        <f>SUM(H116:H117,H119,H121:H125,H127:H128,H131:H132,H135)</f>
        <v>23950</v>
      </c>
    </row>
    <row r="31" spans="1:17" x14ac:dyDescent="0.25">
      <c r="A31" s="203">
        <v>4</v>
      </c>
      <c r="B31" s="205" t="s">
        <v>1960</v>
      </c>
      <c r="C31" s="205" t="s">
        <v>48</v>
      </c>
      <c r="D31" s="205" t="s">
        <v>144</v>
      </c>
      <c r="E31" s="205" t="s">
        <v>57</v>
      </c>
      <c r="F31" s="206"/>
      <c r="G31" s="208" t="s">
        <v>42</v>
      </c>
      <c r="H31" s="207">
        <v>3000</v>
      </c>
      <c r="I31" s="204">
        <v>600</v>
      </c>
      <c r="J31" s="205" t="s">
        <v>179</v>
      </c>
      <c r="K31" s="205" t="s">
        <v>43</v>
      </c>
      <c r="M31">
        <f t="shared" si="0"/>
        <v>600</v>
      </c>
      <c r="O31" s="381" t="s">
        <v>163</v>
      </c>
      <c r="P31" s="57">
        <f>SUM(H129,H133:H134)</f>
        <v>2600</v>
      </c>
    </row>
    <row r="32" spans="1:17" x14ac:dyDescent="0.25">
      <c r="A32" s="203">
        <v>4</v>
      </c>
      <c r="B32" s="205" t="s">
        <v>1975</v>
      </c>
      <c r="C32" s="205" t="s">
        <v>40</v>
      </c>
      <c r="D32" s="205" t="s">
        <v>818</v>
      </c>
      <c r="E32" s="205" t="s">
        <v>52</v>
      </c>
      <c r="F32" s="206"/>
      <c r="G32" s="208" t="s">
        <v>42</v>
      </c>
      <c r="H32" s="207">
        <v>3000</v>
      </c>
      <c r="I32" s="204">
        <v>600</v>
      </c>
      <c r="J32" s="205" t="s">
        <v>179</v>
      </c>
      <c r="K32" s="205" t="s">
        <v>43</v>
      </c>
      <c r="M32">
        <f t="shared" si="0"/>
        <v>600</v>
      </c>
      <c r="O32" s="380" t="s">
        <v>1129</v>
      </c>
      <c r="P32" s="25">
        <f>SUM(H118,H120,H126,H130)</f>
        <v>370</v>
      </c>
    </row>
    <row r="33" spans="1:16" ht="16.5" customHeight="1" x14ac:dyDescent="0.25">
      <c r="A33" s="203">
        <v>4</v>
      </c>
      <c r="B33" s="205" t="s">
        <v>724</v>
      </c>
      <c r="C33" s="205" t="s">
        <v>40</v>
      </c>
      <c r="D33" s="205" t="s">
        <v>725</v>
      </c>
      <c r="E33" s="205" t="s">
        <v>45</v>
      </c>
      <c r="F33" s="206"/>
      <c r="G33" s="208" t="s">
        <v>42</v>
      </c>
      <c r="H33" s="207">
        <v>1000</v>
      </c>
      <c r="I33" s="204">
        <v>200</v>
      </c>
      <c r="J33" s="205" t="s">
        <v>179</v>
      </c>
      <c r="K33" s="205" t="s">
        <v>43</v>
      </c>
      <c r="M33">
        <f t="shared" si="0"/>
        <v>200</v>
      </c>
      <c r="O33" s="390" t="s">
        <v>2168</v>
      </c>
      <c r="P33" s="57"/>
    </row>
    <row r="34" spans="1:16" x14ac:dyDescent="0.25">
      <c r="A34" s="203">
        <v>4</v>
      </c>
      <c r="B34" s="205" t="s">
        <v>1976</v>
      </c>
      <c r="C34" s="205" t="s">
        <v>40</v>
      </c>
      <c r="D34" s="205" t="s">
        <v>1169</v>
      </c>
      <c r="E34" s="205" t="s">
        <v>67</v>
      </c>
      <c r="F34" s="206" t="s">
        <v>1977</v>
      </c>
      <c r="G34" s="208" t="s">
        <v>42</v>
      </c>
      <c r="H34" s="207">
        <v>300</v>
      </c>
      <c r="I34" s="204">
        <v>60</v>
      </c>
      <c r="J34" s="205" t="s">
        <v>179</v>
      </c>
      <c r="K34" s="205" t="s">
        <v>43</v>
      </c>
      <c r="M34">
        <f t="shared" si="0"/>
        <v>60</v>
      </c>
      <c r="O34" s="380" t="s">
        <v>42</v>
      </c>
      <c r="P34" s="57">
        <f>SUM(H137,H143)</f>
        <v>4500</v>
      </c>
    </row>
    <row r="35" spans="1:16" x14ac:dyDescent="0.25">
      <c r="A35" s="203">
        <v>4</v>
      </c>
      <c r="B35" s="205" t="s">
        <v>1978</v>
      </c>
      <c r="C35" s="205" t="s">
        <v>40</v>
      </c>
      <c r="D35" s="205" t="s">
        <v>1176</v>
      </c>
      <c r="E35" s="205" t="s">
        <v>59</v>
      </c>
      <c r="F35" s="206"/>
      <c r="G35" s="208" t="s">
        <v>163</v>
      </c>
      <c r="H35" s="207">
        <v>3000</v>
      </c>
      <c r="I35" s="204">
        <v>3000</v>
      </c>
      <c r="J35" s="205" t="s">
        <v>179</v>
      </c>
      <c r="K35" s="205" t="s">
        <v>43</v>
      </c>
      <c r="M35">
        <f t="shared" si="0"/>
        <v>600</v>
      </c>
      <c r="O35" t="s">
        <v>163</v>
      </c>
      <c r="P35" s="57">
        <f>SUM(H136,H138,H140:H142,H144)</f>
        <v>5950</v>
      </c>
    </row>
    <row r="36" spans="1:16" x14ac:dyDescent="0.25">
      <c r="A36" s="203">
        <v>4</v>
      </c>
      <c r="B36" s="205" t="s">
        <v>1979</v>
      </c>
      <c r="C36" s="205" t="s">
        <v>40</v>
      </c>
      <c r="D36" s="205" t="s">
        <v>1069</v>
      </c>
      <c r="E36" s="205" t="s">
        <v>57</v>
      </c>
      <c r="F36" s="206" t="s">
        <v>1980</v>
      </c>
      <c r="G36" s="208" t="s">
        <v>42</v>
      </c>
      <c r="H36" s="207">
        <v>5000</v>
      </c>
      <c r="I36" s="204">
        <v>1000</v>
      </c>
      <c r="J36" s="205" t="s">
        <v>179</v>
      </c>
      <c r="K36" s="205" t="s">
        <v>43</v>
      </c>
      <c r="M36">
        <f t="shared" si="0"/>
        <v>1000</v>
      </c>
      <c r="O36" t="s">
        <v>1607</v>
      </c>
      <c r="P36" s="57">
        <v>200</v>
      </c>
    </row>
    <row r="37" spans="1:16" x14ac:dyDescent="0.25">
      <c r="A37" s="203">
        <v>4</v>
      </c>
      <c r="B37" s="205" t="s">
        <v>1981</v>
      </c>
      <c r="C37" s="205" t="s">
        <v>40</v>
      </c>
      <c r="D37" s="205" t="s">
        <v>1982</v>
      </c>
      <c r="E37" s="205" t="s">
        <v>50</v>
      </c>
      <c r="F37" s="206" t="s">
        <v>1983</v>
      </c>
      <c r="G37" s="208" t="s">
        <v>42</v>
      </c>
      <c r="H37" s="207">
        <v>500</v>
      </c>
      <c r="I37" s="204">
        <v>100</v>
      </c>
      <c r="J37" s="205" t="s">
        <v>179</v>
      </c>
      <c r="K37" s="205" t="s">
        <v>43</v>
      </c>
      <c r="M37">
        <f t="shared" si="0"/>
        <v>100</v>
      </c>
      <c r="O37" s="390" t="s">
        <v>2207</v>
      </c>
      <c r="P37" s="57"/>
    </row>
    <row r="38" spans="1:16" x14ac:dyDescent="0.25">
      <c r="A38" s="203">
        <v>4</v>
      </c>
      <c r="B38" s="205" t="s">
        <v>1987</v>
      </c>
      <c r="C38" s="205" t="s">
        <v>40</v>
      </c>
      <c r="D38" s="205" t="s">
        <v>471</v>
      </c>
      <c r="E38" s="205" t="s">
        <v>47</v>
      </c>
      <c r="F38" s="206" t="s">
        <v>1988</v>
      </c>
      <c r="G38" s="205" t="s">
        <v>42</v>
      </c>
      <c r="H38" s="211">
        <v>500</v>
      </c>
      <c r="I38" s="234">
        <v>100</v>
      </c>
      <c r="J38" s="205" t="s">
        <v>179</v>
      </c>
      <c r="K38" s="205" t="s">
        <v>43</v>
      </c>
      <c r="M38">
        <f t="shared" si="0"/>
        <v>100</v>
      </c>
      <c r="O38" t="s">
        <v>42</v>
      </c>
      <c r="P38" s="57">
        <f>SUM(H149,H152:H156,H158:H161,H163:H164,H167:H174,H175:H176)</f>
        <v>34100</v>
      </c>
    </row>
    <row r="39" spans="1:16" x14ac:dyDescent="0.25">
      <c r="A39" s="203">
        <v>4</v>
      </c>
      <c r="B39" s="205" t="s">
        <v>1989</v>
      </c>
      <c r="C39" s="205" t="s">
        <v>40</v>
      </c>
      <c r="D39" s="205" t="s">
        <v>144</v>
      </c>
      <c r="E39" s="205" t="s">
        <v>63</v>
      </c>
      <c r="F39" s="206" t="s">
        <v>1990</v>
      </c>
      <c r="G39" s="205" t="s">
        <v>163</v>
      </c>
      <c r="H39" s="211">
        <v>100</v>
      </c>
      <c r="I39" s="234">
        <v>100</v>
      </c>
      <c r="J39" s="205" t="s">
        <v>179</v>
      </c>
      <c r="K39" s="205" t="s">
        <v>43</v>
      </c>
      <c r="M39">
        <f t="shared" si="0"/>
        <v>20</v>
      </c>
      <c r="O39" t="s">
        <v>1146</v>
      </c>
      <c r="P39" s="57">
        <v>950</v>
      </c>
    </row>
    <row r="40" spans="1:16" x14ac:dyDescent="0.25">
      <c r="A40" s="203">
        <v>4</v>
      </c>
      <c r="B40" s="205" t="s">
        <v>1991</v>
      </c>
      <c r="C40" s="205" t="s">
        <v>40</v>
      </c>
      <c r="D40" s="205" t="s">
        <v>478</v>
      </c>
      <c r="E40" s="205" t="s">
        <v>57</v>
      </c>
      <c r="F40" s="206"/>
      <c r="G40" s="205" t="s">
        <v>42</v>
      </c>
      <c r="H40" s="211">
        <v>1500</v>
      </c>
      <c r="I40" s="234">
        <v>300</v>
      </c>
      <c r="J40" s="205" t="s">
        <v>179</v>
      </c>
      <c r="K40" s="205" t="s">
        <v>43</v>
      </c>
      <c r="M40">
        <f t="shared" si="0"/>
        <v>300</v>
      </c>
      <c r="O40" t="s">
        <v>163</v>
      </c>
      <c r="P40" s="57">
        <f>SUM(H146,H150,H157,H162,H165)</f>
        <v>1250</v>
      </c>
    </row>
    <row r="41" spans="1:16" x14ac:dyDescent="0.25">
      <c r="A41" s="203">
        <v>4</v>
      </c>
      <c r="B41" s="205" t="s">
        <v>1992</v>
      </c>
      <c r="C41" s="205" t="s">
        <v>40</v>
      </c>
      <c r="D41" s="205" t="s">
        <v>1993</v>
      </c>
      <c r="E41" s="205" t="s">
        <v>50</v>
      </c>
      <c r="F41" s="206" t="s">
        <v>1994</v>
      </c>
      <c r="G41" s="205" t="s">
        <v>163</v>
      </c>
      <c r="H41" s="211">
        <v>150</v>
      </c>
      <c r="I41" s="234">
        <v>150</v>
      </c>
      <c r="J41" s="205" t="s">
        <v>179</v>
      </c>
      <c r="K41" s="205" t="s">
        <v>43</v>
      </c>
      <c r="M41">
        <f t="shared" si="0"/>
        <v>30</v>
      </c>
      <c r="O41" s="340" t="s">
        <v>1129</v>
      </c>
      <c r="P41" s="57">
        <f>SUM(H148,H151,H166)</f>
        <v>175</v>
      </c>
    </row>
    <row r="42" spans="1:16" x14ac:dyDescent="0.25">
      <c r="A42" s="203">
        <v>4</v>
      </c>
      <c r="B42" s="205" t="s">
        <v>1995</v>
      </c>
      <c r="C42" s="205" t="s">
        <v>40</v>
      </c>
      <c r="D42" s="205" t="s">
        <v>1996</v>
      </c>
      <c r="E42" s="205" t="s">
        <v>52</v>
      </c>
      <c r="F42" s="206"/>
      <c r="G42" s="205" t="s">
        <v>42</v>
      </c>
      <c r="H42" s="211">
        <v>2500</v>
      </c>
      <c r="I42" s="234">
        <v>500</v>
      </c>
      <c r="J42" s="205" t="s">
        <v>179</v>
      </c>
      <c r="K42" s="205" t="s">
        <v>43</v>
      </c>
      <c r="M42">
        <f t="shared" si="0"/>
        <v>500</v>
      </c>
      <c r="O42" t="s">
        <v>1607</v>
      </c>
      <c r="P42" s="57">
        <v>300</v>
      </c>
    </row>
    <row r="43" spans="1:16" x14ac:dyDescent="0.25">
      <c r="A43" s="203">
        <v>4</v>
      </c>
      <c r="B43" s="205" t="s">
        <v>1995</v>
      </c>
      <c r="C43" s="205" t="s">
        <v>40</v>
      </c>
      <c r="D43" s="205" t="s">
        <v>1996</v>
      </c>
      <c r="E43" s="205" t="s">
        <v>52</v>
      </c>
      <c r="F43" s="206"/>
      <c r="G43" s="205" t="s">
        <v>163</v>
      </c>
      <c r="H43" s="211">
        <v>400</v>
      </c>
      <c r="I43" s="234">
        <v>400</v>
      </c>
      <c r="J43" s="205" t="s">
        <v>179</v>
      </c>
      <c r="K43" s="205" t="s">
        <v>43</v>
      </c>
      <c r="M43">
        <f t="shared" si="0"/>
        <v>80</v>
      </c>
    </row>
    <row r="44" spans="1:16" x14ac:dyDescent="0.25">
      <c r="A44" s="203">
        <v>4</v>
      </c>
      <c r="B44" s="205" t="s">
        <v>1997</v>
      </c>
      <c r="C44" s="205" t="s">
        <v>40</v>
      </c>
      <c r="D44" s="205" t="s">
        <v>1553</v>
      </c>
      <c r="E44" s="205" t="s">
        <v>61</v>
      </c>
      <c r="F44" s="206"/>
      <c r="G44" s="205" t="s">
        <v>42</v>
      </c>
      <c r="H44" s="211">
        <v>10000</v>
      </c>
      <c r="I44" s="234">
        <v>2000</v>
      </c>
      <c r="J44" s="205" t="s">
        <v>179</v>
      </c>
      <c r="K44" s="205" t="s">
        <v>43</v>
      </c>
      <c r="M44">
        <f t="shared" si="0"/>
        <v>2000</v>
      </c>
      <c r="O44" s="340"/>
    </row>
    <row r="45" spans="1:16" x14ac:dyDescent="0.25">
      <c r="A45" s="203">
        <v>4</v>
      </c>
      <c r="B45" s="205" t="s">
        <v>1997</v>
      </c>
      <c r="C45" s="205" t="s">
        <v>40</v>
      </c>
      <c r="D45" s="205" t="s">
        <v>1553</v>
      </c>
      <c r="E45" s="205" t="s">
        <v>61</v>
      </c>
      <c r="F45" s="206"/>
      <c r="G45" s="205" t="s">
        <v>163</v>
      </c>
      <c r="H45" s="211">
        <v>100</v>
      </c>
      <c r="I45" s="234">
        <v>100</v>
      </c>
      <c r="J45" s="205" t="s">
        <v>179</v>
      </c>
      <c r="K45" s="205" t="s">
        <v>43</v>
      </c>
      <c r="M45">
        <f t="shared" si="0"/>
        <v>20</v>
      </c>
      <c r="P45" s="342"/>
    </row>
    <row r="46" spans="1:16" x14ac:dyDescent="0.25">
      <c r="A46" s="203">
        <v>4</v>
      </c>
      <c r="B46" s="205" t="s">
        <v>1998</v>
      </c>
      <c r="C46" s="205" t="s">
        <v>40</v>
      </c>
      <c r="D46" s="205" t="s">
        <v>636</v>
      </c>
      <c r="E46" s="205" t="s">
        <v>68</v>
      </c>
      <c r="F46" s="206"/>
      <c r="G46" s="205" t="s">
        <v>163</v>
      </c>
      <c r="H46" s="211">
        <v>300</v>
      </c>
      <c r="I46" s="234">
        <v>300</v>
      </c>
      <c r="J46" s="205" t="s">
        <v>179</v>
      </c>
      <c r="K46" s="205" t="s">
        <v>43</v>
      </c>
      <c r="M46">
        <f t="shared" si="0"/>
        <v>60</v>
      </c>
    </row>
    <row r="47" spans="1:16" x14ac:dyDescent="0.25">
      <c r="A47" s="203">
        <v>4</v>
      </c>
      <c r="B47" s="205" t="s">
        <v>1999</v>
      </c>
      <c r="C47" s="205" t="s">
        <v>40</v>
      </c>
      <c r="D47" s="205" t="s">
        <v>1524</v>
      </c>
      <c r="E47" s="205" t="s">
        <v>70</v>
      </c>
      <c r="F47" s="206"/>
      <c r="G47" s="205" t="s">
        <v>163</v>
      </c>
      <c r="H47" s="211">
        <v>800</v>
      </c>
      <c r="I47" s="234">
        <v>800</v>
      </c>
      <c r="J47" s="205" t="s">
        <v>179</v>
      </c>
      <c r="K47" s="205" t="s">
        <v>43</v>
      </c>
      <c r="M47">
        <f t="shared" si="0"/>
        <v>160</v>
      </c>
      <c r="O47" s="340"/>
    </row>
    <row r="48" spans="1:16" x14ac:dyDescent="0.25">
      <c r="A48" s="203">
        <v>4</v>
      </c>
      <c r="B48" s="205" t="s">
        <v>2000</v>
      </c>
      <c r="C48" s="205" t="s">
        <v>40</v>
      </c>
      <c r="D48" s="205" t="s">
        <v>2001</v>
      </c>
      <c r="E48" s="205" t="s">
        <v>70</v>
      </c>
      <c r="F48" s="206"/>
      <c r="G48" s="205" t="s">
        <v>163</v>
      </c>
      <c r="H48" s="211">
        <v>800</v>
      </c>
      <c r="I48" s="234">
        <v>800</v>
      </c>
      <c r="J48" s="205" t="s">
        <v>179</v>
      </c>
      <c r="K48" s="205" t="s">
        <v>43</v>
      </c>
      <c r="M48">
        <f t="shared" si="0"/>
        <v>160</v>
      </c>
      <c r="P48" s="342"/>
    </row>
    <row r="49" spans="1:16" x14ac:dyDescent="0.25">
      <c r="A49" s="203">
        <v>4</v>
      </c>
      <c r="B49" s="205" t="s">
        <v>464</v>
      </c>
      <c r="C49" s="205" t="s">
        <v>40</v>
      </c>
      <c r="D49" s="205" t="s">
        <v>465</v>
      </c>
      <c r="E49" s="205" t="s">
        <v>45</v>
      </c>
      <c r="F49" s="206"/>
      <c r="G49" s="205" t="s">
        <v>42</v>
      </c>
      <c r="H49" s="211">
        <v>500</v>
      </c>
      <c r="I49" s="234">
        <v>100</v>
      </c>
      <c r="J49" s="205" t="s">
        <v>179</v>
      </c>
      <c r="K49" s="205" t="s">
        <v>43</v>
      </c>
      <c r="M49">
        <f t="shared" si="0"/>
        <v>100</v>
      </c>
    </row>
    <row r="50" spans="1:16" x14ac:dyDescent="0.25">
      <c r="A50" s="203">
        <v>4</v>
      </c>
      <c r="B50" s="205" t="s">
        <v>2002</v>
      </c>
      <c r="C50" s="205" t="s">
        <v>48</v>
      </c>
      <c r="D50" s="205" t="s">
        <v>645</v>
      </c>
      <c r="E50" s="205" t="s">
        <v>47</v>
      </c>
      <c r="F50" s="206" t="s">
        <v>2003</v>
      </c>
      <c r="G50" s="205" t="s">
        <v>163</v>
      </c>
      <c r="H50" s="211">
        <v>500</v>
      </c>
      <c r="I50" s="234">
        <v>500</v>
      </c>
      <c r="J50" s="205" t="s">
        <v>179</v>
      </c>
      <c r="K50" s="205" t="s">
        <v>43</v>
      </c>
      <c r="M50">
        <f t="shared" si="0"/>
        <v>100</v>
      </c>
      <c r="O50" s="340"/>
    </row>
    <row r="51" spans="1:16" x14ac:dyDescent="0.25">
      <c r="A51" s="203">
        <v>4</v>
      </c>
      <c r="B51" s="205" t="s">
        <v>570</v>
      </c>
      <c r="C51" s="205" t="s">
        <v>40</v>
      </c>
      <c r="D51" s="205" t="s">
        <v>144</v>
      </c>
      <c r="E51" s="205" t="s">
        <v>57</v>
      </c>
      <c r="F51" s="206" t="s">
        <v>571</v>
      </c>
      <c r="G51" s="205" t="s">
        <v>42</v>
      </c>
      <c r="H51" s="211">
        <v>5000</v>
      </c>
      <c r="I51" s="234">
        <v>1000</v>
      </c>
      <c r="J51" s="205" t="s">
        <v>179</v>
      </c>
      <c r="K51" s="205" t="s">
        <v>43</v>
      </c>
      <c r="M51">
        <f t="shared" si="0"/>
        <v>1000</v>
      </c>
      <c r="P51" s="181"/>
    </row>
    <row r="52" spans="1:16" x14ac:dyDescent="0.25">
      <c r="A52" s="203">
        <v>4</v>
      </c>
      <c r="B52" s="205" t="s">
        <v>2004</v>
      </c>
      <c r="C52" s="205" t="s">
        <v>40</v>
      </c>
      <c r="D52" s="205" t="s">
        <v>1176</v>
      </c>
      <c r="E52" s="205" t="s">
        <v>59</v>
      </c>
      <c r="F52" s="206" t="s">
        <v>2005</v>
      </c>
      <c r="G52" s="205" t="s">
        <v>42</v>
      </c>
      <c r="H52" s="211">
        <v>4000</v>
      </c>
      <c r="I52" s="234">
        <v>800</v>
      </c>
      <c r="J52" s="205" t="s">
        <v>179</v>
      </c>
      <c r="K52" s="205" t="s">
        <v>43</v>
      </c>
      <c r="M52">
        <f t="shared" si="0"/>
        <v>800</v>
      </c>
    </row>
    <row r="53" spans="1:16" x14ac:dyDescent="0.25">
      <c r="A53" s="203">
        <v>4</v>
      </c>
      <c r="B53" s="205" t="s">
        <v>2006</v>
      </c>
      <c r="C53" s="205" t="s">
        <v>40</v>
      </c>
      <c r="D53" s="205" t="s">
        <v>2007</v>
      </c>
      <c r="E53" s="205" t="s">
        <v>50</v>
      </c>
      <c r="F53" s="206" t="s">
        <v>2008</v>
      </c>
      <c r="G53" s="205" t="s">
        <v>42</v>
      </c>
      <c r="H53" s="211">
        <v>2000</v>
      </c>
      <c r="I53" s="234">
        <v>400</v>
      </c>
      <c r="J53" s="205" t="s">
        <v>179</v>
      </c>
      <c r="K53" s="205" t="s">
        <v>43</v>
      </c>
      <c r="M53">
        <f t="shared" si="0"/>
        <v>400</v>
      </c>
    </row>
    <row r="54" spans="1:16" x14ac:dyDescent="0.25">
      <c r="A54" s="203">
        <v>4</v>
      </c>
      <c r="B54" s="205" t="s">
        <v>1724</v>
      </c>
      <c r="C54" s="205" t="s">
        <v>40</v>
      </c>
      <c r="D54" s="205" t="s">
        <v>1644</v>
      </c>
      <c r="E54" s="205" t="s">
        <v>46</v>
      </c>
      <c r="F54" s="206" t="s">
        <v>1726</v>
      </c>
      <c r="G54" s="205" t="s">
        <v>42</v>
      </c>
      <c r="H54" s="211">
        <v>5000</v>
      </c>
      <c r="I54" s="234">
        <v>1000</v>
      </c>
      <c r="J54" s="205" t="s">
        <v>179</v>
      </c>
      <c r="K54" s="205" t="s">
        <v>43</v>
      </c>
      <c r="M54">
        <f t="shared" si="0"/>
        <v>1000</v>
      </c>
      <c r="P54" s="25"/>
    </row>
    <row r="55" spans="1:16" x14ac:dyDescent="0.25">
      <c r="A55" s="203">
        <v>4</v>
      </c>
      <c r="B55" s="205" t="s">
        <v>2009</v>
      </c>
      <c r="C55" s="205" t="s">
        <v>40</v>
      </c>
      <c r="D55" s="205" t="s">
        <v>76</v>
      </c>
      <c r="E55" s="205" t="s">
        <v>44</v>
      </c>
      <c r="F55" s="206"/>
      <c r="G55" s="206" t="s">
        <v>42</v>
      </c>
      <c r="H55" s="211">
        <v>250</v>
      </c>
      <c r="I55" s="234">
        <v>50</v>
      </c>
      <c r="J55" s="205" t="s">
        <v>179</v>
      </c>
      <c r="K55" s="205" t="s">
        <v>43</v>
      </c>
      <c r="M55">
        <f t="shared" si="0"/>
        <v>50</v>
      </c>
    </row>
    <row r="56" spans="1:16" x14ac:dyDescent="0.25">
      <c r="A56" s="203">
        <v>4</v>
      </c>
      <c r="B56" s="205" t="s">
        <v>2010</v>
      </c>
      <c r="C56" s="205" t="s">
        <v>40</v>
      </c>
      <c r="D56" s="205" t="s">
        <v>156</v>
      </c>
      <c r="E56" s="205" t="s">
        <v>44</v>
      </c>
      <c r="F56" s="206" t="s">
        <v>2011</v>
      </c>
      <c r="G56" s="205" t="s">
        <v>42</v>
      </c>
      <c r="H56" s="211">
        <v>750</v>
      </c>
      <c r="I56" s="234" t="s">
        <v>255</v>
      </c>
      <c r="J56" s="205" t="s">
        <v>179</v>
      </c>
      <c r="K56" s="205" t="s">
        <v>43</v>
      </c>
      <c r="M56">
        <f t="shared" si="0"/>
        <v>150</v>
      </c>
    </row>
    <row r="57" spans="1:16" x14ac:dyDescent="0.25">
      <c r="A57" s="203">
        <v>4</v>
      </c>
      <c r="B57" s="205" t="s">
        <v>2012</v>
      </c>
      <c r="C57" s="205" t="s">
        <v>40</v>
      </c>
      <c r="D57" s="205" t="s">
        <v>425</v>
      </c>
      <c r="E57" s="205" t="s">
        <v>57</v>
      </c>
      <c r="F57" s="206"/>
      <c r="G57" s="205" t="s">
        <v>163</v>
      </c>
      <c r="H57" s="211">
        <v>350</v>
      </c>
      <c r="I57" s="234">
        <v>350</v>
      </c>
      <c r="J57" s="205" t="s">
        <v>179</v>
      </c>
      <c r="K57" s="205" t="s">
        <v>43</v>
      </c>
      <c r="M57">
        <f t="shared" si="0"/>
        <v>70</v>
      </c>
    </row>
    <row r="58" spans="1:16" x14ac:dyDescent="0.25">
      <c r="A58" s="203">
        <v>4</v>
      </c>
      <c r="B58" s="205" t="s">
        <v>2013</v>
      </c>
      <c r="C58" s="205" t="s">
        <v>40</v>
      </c>
      <c r="D58" s="205" t="s">
        <v>2014</v>
      </c>
      <c r="E58" s="205" t="s">
        <v>74</v>
      </c>
      <c r="F58" s="206" t="s">
        <v>2015</v>
      </c>
      <c r="G58" s="205" t="s">
        <v>163</v>
      </c>
      <c r="H58" s="211">
        <v>2000</v>
      </c>
      <c r="I58" s="234">
        <v>2000</v>
      </c>
      <c r="J58" s="205" t="s">
        <v>179</v>
      </c>
      <c r="K58" s="205" t="s">
        <v>43</v>
      </c>
      <c r="M58">
        <f t="shared" si="0"/>
        <v>400</v>
      </c>
    </row>
    <row r="59" spans="1:16" x14ac:dyDescent="0.25">
      <c r="A59" s="203">
        <v>4</v>
      </c>
      <c r="B59" s="205" t="s">
        <v>2016</v>
      </c>
      <c r="C59" s="205" t="s">
        <v>40</v>
      </c>
      <c r="D59" s="205" t="s">
        <v>152</v>
      </c>
      <c r="E59" s="205" t="s">
        <v>52</v>
      </c>
      <c r="F59" s="206"/>
      <c r="G59" s="205" t="s">
        <v>42</v>
      </c>
      <c r="H59" s="211">
        <v>10000</v>
      </c>
      <c r="I59" s="234">
        <v>2000</v>
      </c>
      <c r="J59" s="205" t="s">
        <v>179</v>
      </c>
      <c r="K59" s="205" t="s">
        <v>43</v>
      </c>
      <c r="M59">
        <f t="shared" si="0"/>
        <v>2000</v>
      </c>
    </row>
    <row r="60" spans="1:16" x14ac:dyDescent="0.25">
      <c r="A60" s="203">
        <v>4</v>
      </c>
      <c r="B60" s="205" t="s">
        <v>2017</v>
      </c>
      <c r="C60" s="205" t="s">
        <v>40</v>
      </c>
      <c r="D60" s="205" t="s">
        <v>2018</v>
      </c>
      <c r="E60" s="205" t="s">
        <v>64</v>
      </c>
      <c r="F60" s="206" t="s">
        <v>2019</v>
      </c>
      <c r="G60" s="205" t="s">
        <v>163</v>
      </c>
      <c r="H60" s="211">
        <v>500</v>
      </c>
      <c r="I60" s="234">
        <v>500</v>
      </c>
      <c r="J60" s="205" t="s">
        <v>179</v>
      </c>
      <c r="K60" s="205" t="s">
        <v>43</v>
      </c>
      <c r="M60">
        <f t="shared" si="0"/>
        <v>100</v>
      </c>
    </row>
    <row r="61" spans="1:16" x14ac:dyDescent="0.25">
      <c r="A61" s="203">
        <v>5</v>
      </c>
      <c r="B61" s="205" t="s">
        <v>2020</v>
      </c>
      <c r="C61" s="205" t="s">
        <v>40</v>
      </c>
      <c r="D61" s="205" t="s">
        <v>144</v>
      </c>
      <c r="E61" s="205" t="s">
        <v>57</v>
      </c>
      <c r="F61" s="206" t="s">
        <v>2021</v>
      </c>
      <c r="G61" s="205" t="s">
        <v>42</v>
      </c>
      <c r="H61" s="211">
        <v>12000</v>
      </c>
      <c r="I61" s="234">
        <v>2400</v>
      </c>
      <c r="J61" s="205" t="s">
        <v>179</v>
      </c>
      <c r="K61" s="205" t="s">
        <v>43</v>
      </c>
      <c r="M61">
        <f t="shared" si="0"/>
        <v>2400</v>
      </c>
    </row>
    <row r="62" spans="1:16" x14ac:dyDescent="0.25">
      <c r="A62" s="203">
        <v>5</v>
      </c>
      <c r="B62" s="205" t="s">
        <v>2022</v>
      </c>
      <c r="C62" s="205" t="s">
        <v>40</v>
      </c>
      <c r="D62" s="205" t="s">
        <v>406</v>
      </c>
      <c r="E62" s="205" t="s">
        <v>57</v>
      </c>
      <c r="F62" s="206"/>
      <c r="G62" s="205" t="s">
        <v>42</v>
      </c>
      <c r="H62" s="211">
        <v>2000</v>
      </c>
      <c r="I62" s="234">
        <v>400</v>
      </c>
      <c r="J62" s="205" t="s">
        <v>179</v>
      </c>
      <c r="K62" s="205" t="s">
        <v>43</v>
      </c>
      <c r="L62">
        <v>30</v>
      </c>
      <c r="M62">
        <f t="shared" si="0"/>
        <v>400</v>
      </c>
    </row>
    <row r="63" spans="1:16" x14ac:dyDescent="0.25">
      <c r="A63" s="321">
        <v>5</v>
      </c>
      <c r="B63" s="205" t="s">
        <v>2023</v>
      </c>
      <c r="C63" s="205" t="s">
        <v>40</v>
      </c>
      <c r="D63" s="205" t="s">
        <v>2024</v>
      </c>
      <c r="E63" s="205" t="s">
        <v>62</v>
      </c>
      <c r="F63" s="206" t="s">
        <v>2025</v>
      </c>
      <c r="G63" s="205" t="s">
        <v>163</v>
      </c>
      <c r="H63" s="211">
        <v>3500</v>
      </c>
      <c r="I63" s="234">
        <v>3500</v>
      </c>
      <c r="J63" s="205" t="s">
        <v>179</v>
      </c>
      <c r="K63" s="205" t="s">
        <v>43</v>
      </c>
      <c r="M63">
        <f t="shared" si="0"/>
        <v>700</v>
      </c>
    </row>
    <row r="64" spans="1:16" x14ac:dyDescent="0.25">
      <c r="A64" s="203">
        <v>7</v>
      </c>
      <c r="B64" s="205" t="s">
        <v>855</v>
      </c>
      <c r="C64" s="205" t="s">
        <v>40</v>
      </c>
      <c r="D64" s="205"/>
      <c r="E64" s="205" t="s">
        <v>45</v>
      </c>
      <c r="F64" s="206" t="s">
        <v>856</v>
      </c>
      <c r="G64" s="205" t="s">
        <v>42</v>
      </c>
      <c r="H64" s="211">
        <v>1600</v>
      </c>
      <c r="I64" s="234">
        <v>320</v>
      </c>
      <c r="J64" s="205" t="s">
        <v>179</v>
      </c>
      <c r="K64" s="205" t="s">
        <v>43</v>
      </c>
      <c r="M64">
        <f t="shared" si="0"/>
        <v>320</v>
      </c>
    </row>
    <row r="65" spans="1:16" x14ac:dyDescent="0.25">
      <c r="A65" s="203">
        <v>7</v>
      </c>
      <c r="B65" s="205" t="s">
        <v>2030</v>
      </c>
      <c r="C65" s="205" t="s">
        <v>40</v>
      </c>
      <c r="D65" s="205" t="s">
        <v>2031</v>
      </c>
      <c r="E65" s="205" t="s">
        <v>62</v>
      </c>
      <c r="F65" s="206" t="s">
        <v>2032</v>
      </c>
      <c r="G65" s="205" t="s">
        <v>163</v>
      </c>
      <c r="H65" s="211">
        <v>3000</v>
      </c>
      <c r="I65" s="234">
        <v>3000</v>
      </c>
      <c r="J65" s="205" t="s">
        <v>179</v>
      </c>
      <c r="K65" s="205" t="s">
        <v>43</v>
      </c>
      <c r="M65">
        <f t="shared" si="0"/>
        <v>600</v>
      </c>
    </row>
    <row r="66" spans="1:16" x14ac:dyDescent="0.25">
      <c r="A66" s="203">
        <v>7</v>
      </c>
      <c r="B66" s="205" t="s">
        <v>1891</v>
      </c>
      <c r="C66" s="205" t="s">
        <v>40</v>
      </c>
      <c r="D66" s="205" t="s">
        <v>852</v>
      </c>
      <c r="E66" s="205" t="s">
        <v>45</v>
      </c>
      <c r="F66" s="206"/>
      <c r="G66" s="205" t="s">
        <v>42</v>
      </c>
      <c r="H66" s="211">
        <v>500</v>
      </c>
      <c r="I66" s="234">
        <v>100</v>
      </c>
      <c r="J66" s="205" t="s">
        <v>179</v>
      </c>
      <c r="K66" s="205" t="s">
        <v>43</v>
      </c>
      <c r="M66">
        <f t="shared" si="0"/>
        <v>100</v>
      </c>
    </row>
    <row r="67" spans="1:16" x14ac:dyDescent="0.25">
      <c r="A67" s="203">
        <v>7</v>
      </c>
      <c r="B67" s="205" t="s">
        <v>1105</v>
      </c>
      <c r="C67" s="205" t="s">
        <v>40</v>
      </c>
      <c r="D67" s="205" t="s">
        <v>2033</v>
      </c>
      <c r="E67" s="205" t="s">
        <v>51</v>
      </c>
      <c r="F67" s="206" t="s">
        <v>1107</v>
      </c>
      <c r="G67" s="205" t="s">
        <v>163</v>
      </c>
      <c r="H67" s="211">
        <v>1100</v>
      </c>
      <c r="I67" s="234">
        <v>1100</v>
      </c>
      <c r="J67" s="205" t="s">
        <v>179</v>
      </c>
      <c r="K67" s="205" t="s">
        <v>43</v>
      </c>
      <c r="M67">
        <f t="shared" si="0"/>
        <v>220</v>
      </c>
    </row>
    <row r="68" spans="1:16" x14ac:dyDescent="0.25">
      <c r="A68" s="203">
        <v>7</v>
      </c>
      <c r="B68" s="205" t="s">
        <v>2034</v>
      </c>
      <c r="C68" s="205" t="s">
        <v>40</v>
      </c>
      <c r="D68" s="205" t="s">
        <v>1095</v>
      </c>
      <c r="E68" s="205" t="s">
        <v>44</v>
      </c>
      <c r="F68" s="206" t="s">
        <v>2035</v>
      </c>
      <c r="G68" s="205" t="s">
        <v>42</v>
      </c>
      <c r="H68" s="211">
        <v>5000</v>
      </c>
      <c r="I68" s="234">
        <v>1000</v>
      </c>
      <c r="J68" s="205" t="s">
        <v>179</v>
      </c>
      <c r="K68" s="205" t="s">
        <v>43</v>
      </c>
      <c r="M68">
        <f t="shared" si="0"/>
        <v>1000</v>
      </c>
    </row>
    <row r="69" spans="1:16" x14ac:dyDescent="0.25">
      <c r="A69" s="203">
        <v>7</v>
      </c>
      <c r="B69" s="205" t="s">
        <v>2036</v>
      </c>
      <c r="C69" s="205" t="s">
        <v>40</v>
      </c>
      <c r="D69" s="205" t="s">
        <v>141</v>
      </c>
      <c r="E69" s="205" t="s">
        <v>45</v>
      </c>
      <c r="F69" s="206"/>
      <c r="G69" s="205" t="s">
        <v>42</v>
      </c>
      <c r="H69" s="211">
        <v>1500</v>
      </c>
      <c r="I69" s="234">
        <v>300</v>
      </c>
      <c r="J69" s="205" t="s">
        <v>179</v>
      </c>
      <c r="K69" s="205" t="s">
        <v>43</v>
      </c>
      <c r="M69">
        <f t="shared" si="0"/>
        <v>300</v>
      </c>
    </row>
    <row r="70" spans="1:16" x14ac:dyDescent="0.25">
      <c r="A70" s="203">
        <v>7</v>
      </c>
      <c r="B70" s="205" t="s">
        <v>2040</v>
      </c>
      <c r="C70" s="205" t="s">
        <v>40</v>
      </c>
      <c r="D70" s="205" t="s">
        <v>2037</v>
      </c>
      <c r="E70" s="205" t="s">
        <v>58</v>
      </c>
      <c r="F70" s="206"/>
      <c r="G70" s="205" t="s">
        <v>163</v>
      </c>
      <c r="H70" s="211">
        <v>100</v>
      </c>
      <c r="I70" s="234">
        <v>100</v>
      </c>
      <c r="J70" s="205" t="s">
        <v>179</v>
      </c>
      <c r="K70" s="205" t="s">
        <v>43</v>
      </c>
      <c r="M70">
        <f t="shared" si="0"/>
        <v>20</v>
      </c>
    </row>
    <row r="71" spans="1:16" x14ac:dyDescent="0.25">
      <c r="A71" s="321">
        <v>7</v>
      </c>
      <c r="B71" s="205" t="s">
        <v>2041</v>
      </c>
      <c r="C71" s="205" t="s">
        <v>40</v>
      </c>
      <c r="D71" s="205" t="s">
        <v>478</v>
      </c>
      <c r="E71" s="205" t="s">
        <v>57</v>
      </c>
      <c r="F71" s="206"/>
      <c r="G71" s="205" t="s">
        <v>42</v>
      </c>
      <c r="H71" s="211">
        <v>7000</v>
      </c>
      <c r="I71" s="234">
        <v>1400</v>
      </c>
      <c r="J71" s="205" t="s">
        <v>179</v>
      </c>
      <c r="K71" s="205" t="s">
        <v>43</v>
      </c>
      <c r="M71">
        <f t="shared" si="0"/>
        <v>1400</v>
      </c>
    </row>
    <row r="72" spans="1:16" x14ac:dyDescent="0.25">
      <c r="A72" s="203">
        <v>11</v>
      </c>
      <c r="B72" s="205" t="s">
        <v>2044</v>
      </c>
      <c r="C72" s="205" t="s">
        <v>40</v>
      </c>
      <c r="D72" s="205" t="s">
        <v>1600</v>
      </c>
      <c r="E72" s="205" t="s">
        <v>58</v>
      </c>
      <c r="F72" s="206" t="s">
        <v>2045</v>
      </c>
      <c r="G72" s="205" t="s">
        <v>42</v>
      </c>
      <c r="H72" s="211">
        <v>1000</v>
      </c>
      <c r="I72" s="234">
        <v>200</v>
      </c>
      <c r="J72" s="205" t="s">
        <v>179</v>
      </c>
      <c r="K72" s="205" t="s">
        <v>43</v>
      </c>
      <c r="M72">
        <f t="shared" si="0"/>
        <v>200</v>
      </c>
    </row>
    <row r="73" spans="1:16" x14ac:dyDescent="0.25">
      <c r="A73" s="203">
        <v>11</v>
      </c>
      <c r="B73" s="205" t="s">
        <v>2046</v>
      </c>
      <c r="C73" s="205" t="s">
        <v>40</v>
      </c>
      <c r="D73" s="205" t="s">
        <v>2047</v>
      </c>
      <c r="E73" s="205" t="s">
        <v>50</v>
      </c>
      <c r="F73" s="206"/>
      <c r="G73" s="205" t="s">
        <v>42</v>
      </c>
      <c r="H73" s="211">
        <v>500</v>
      </c>
      <c r="I73" s="234">
        <v>100</v>
      </c>
      <c r="J73" s="205" t="s">
        <v>179</v>
      </c>
      <c r="K73" s="205" t="s">
        <v>43</v>
      </c>
      <c r="M73">
        <f t="shared" si="0"/>
        <v>100</v>
      </c>
    </row>
    <row r="74" spans="1:16" x14ac:dyDescent="0.25">
      <c r="A74" s="203">
        <v>11</v>
      </c>
      <c r="B74" s="205" t="s">
        <v>2048</v>
      </c>
      <c r="C74" s="205" t="s">
        <v>40</v>
      </c>
      <c r="D74" s="205" t="s">
        <v>76</v>
      </c>
      <c r="E74" s="205" t="s">
        <v>44</v>
      </c>
      <c r="F74" s="206" t="s">
        <v>2049</v>
      </c>
      <c r="G74" s="205" t="s">
        <v>42</v>
      </c>
      <c r="H74" s="211">
        <v>200</v>
      </c>
      <c r="I74" s="234">
        <v>40</v>
      </c>
      <c r="J74" s="205" t="s">
        <v>179</v>
      </c>
      <c r="K74" s="205" t="s">
        <v>43</v>
      </c>
      <c r="M74">
        <f t="shared" si="0"/>
        <v>40</v>
      </c>
    </row>
    <row r="75" spans="1:16" x14ac:dyDescent="0.25">
      <c r="A75" s="203">
        <v>11</v>
      </c>
      <c r="B75" s="205" t="s">
        <v>2050</v>
      </c>
      <c r="C75" s="205" t="s">
        <v>40</v>
      </c>
      <c r="D75" s="205" t="s">
        <v>1258</v>
      </c>
      <c r="E75" s="205" t="s">
        <v>44</v>
      </c>
      <c r="F75" s="206" t="s">
        <v>2051</v>
      </c>
      <c r="G75" s="205" t="s">
        <v>42</v>
      </c>
      <c r="H75" s="211">
        <v>3000</v>
      </c>
      <c r="I75" s="234">
        <v>600</v>
      </c>
      <c r="J75" s="205" t="s">
        <v>179</v>
      </c>
      <c r="K75" s="205" t="s">
        <v>43</v>
      </c>
      <c r="M75">
        <f t="shared" si="0"/>
        <v>600</v>
      </c>
    </row>
    <row r="76" spans="1:16" x14ac:dyDescent="0.25">
      <c r="A76" s="203">
        <v>11</v>
      </c>
      <c r="B76" s="205" t="s">
        <v>2052</v>
      </c>
      <c r="C76" s="205" t="s">
        <v>48</v>
      </c>
      <c r="D76" s="205" t="s">
        <v>2053</v>
      </c>
      <c r="E76" s="205" t="s">
        <v>80</v>
      </c>
      <c r="F76" s="206" t="s">
        <v>2054</v>
      </c>
      <c r="G76" s="205" t="s">
        <v>42</v>
      </c>
      <c r="H76" s="211">
        <v>100</v>
      </c>
      <c r="I76" s="234">
        <v>30</v>
      </c>
      <c r="J76" s="205" t="s">
        <v>179</v>
      </c>
      <c r="K76" s="205" t="s">
        <v>43</v>
      </c>
      <c r="M76">
        <f t="shared" si="0"/>
        <v>20</v>
      </c>
    </row>
    <row r="77" spans="1:16" x14ac:dyDescent="0.25">
      <c r="A77" s="203">
        <v>11</v>
      </c>
      <c r="B77" s="205" t="s">
        <v>2052</v>
      </c>
      <c r="C77" s="205" t="s">
        <v>48</v>
      </c>
      <c r="D77" s="205" t="s">
        <v>2053</v>
      </c>
      <c r="E77" s="205" t="s">
        <v>80</v>
      </c>
      <c r="F77" s="206" t="s">
        <v>2054</v>
      </c>
      <c r="G77" s="205" t="s">
        <v>163</v>
      </c>
      <c r="H77" s="211">
        <v>300</v>
      </c>
      <c r="I77" s="234">
        <v>300</v>
      </c>
      <c r="J77" s="205" t="s">
        <v>179</v>
      </c>
      <c r="K77" s="205" t="s">
        <v>43</v>
      </c>
      <c r="M77">
        <f t="shared" si="0"/>
        <v>60</v>
      </c>
    </row>
    <row r="78" spans="1:16" x14ac:dyDescent="0.25">
      <c r="A78" s="203">
        <v>11</v>
      </c>
      <c r="B78" s="205" t="s">
        <v>2055</v>
      </c>
      <c r="C78" s="205" t="s">
        <v>40</v>
      </c>
      <c r="D78" s="205" t="s">
        <v>890</v>
      </c>
      <c r="E78" s="205" t="s">
        <v>67</v>
      </c>
      <c r="F78" s="206"/>
      <c r="G78" s="205" t="s">
        <v>42</v>
      </c>
      <c r="H78" s="211">
        <v>9500</v>
      </c>
      <c r="I78" s="234">
        <v>1900</v>
      </c>
      <c r="J78" s="205" t="s">
        <v>179</v>
      </c>
      <c r="K78" s="205" t="s">
        <v>43</v>
      </c>
      <c r="M78">
        <f t="shared" si="0"/>
        <v>1900</v>
      </c>
    </row>
    <row r="79" spans="1:16" x14ac:dyDescent="0.25">
      <c r="A79" s="203">
        <v>11</v>
      </c>
      <c r="B79" s="205" t="s">
        <v>2056</v>
      </c>
      <c r="C79" s="205" t="s">
        <v>40</v>
      </c>
      <c r="D79" s="205" t="s">
        <v>2057</v>
      </c>
      <c r="E79" s="205" t="s">
        <v>53</v>
      </c>
      <c r="F79" s="206"/>
      <c r="G79" s="205" t="s">
        <v>42</v>
      </c>
      <c r="H79" s="211">
        <v>500</v>
      </c>
      <c r="I79" s="234">
        <v>100</v>
      </c>
      <c r="J79" s="205" t="s">
        <v>179</v>
      </c>
      <c r="K79" s="205" t="s">
        <v>43</v>
      </c>
      <c r="M79">
        <f t="shared" si="0"/>
        <v>100</v>
      </c>
      <c r="P79" s="57"/>
    </row>
    <row r="80" spans="1:16" x14ac:dyDescent="0.25">
      <c r="A80" s="203">
        <v>11</v>
      </c>
      <c r="B80" s="205" t="s">
        <v>2056</v>
      </c>
      <c r="C80" s="205" t="s">
        <v>40</v>
      </c>
      <c r="D80" s="205" t="s">
        <v>2057</v>
      </c>
      <c r="E80" s="205" t="s">
        <v>53</v>
      </c>
      <c r="F80" s="206"/>
      <c r="G80" s="205" t="s">
        <v>163</v>
      </c>
      <c r="H80" s="211">
        <v>50</v>
      </c>
      <c r="I80" s="234">
        <v>50</v>
      </c>
      <c r="J80" s="205" t="s">
        <v>179</v>
      </c>
      <c r="K80" s="205" t="s">
        <v>43</v>
      </c>
      <c r="M80">
        <f t="shared" si="0"/>
        <v>10</v>
      </c>
    </row>
    <row r="81" spans="1:16" x14ac:dyDescent="0.25">
      <c r="A81" s="203">
        <v>11</v>
      </c>
      <c r="B81" s="205" t="s">
        <v>2058</v>
      </c>
      <c r="C81" s="205" t="s">
        <v>40</v>
      </c>
      <c r="D81" s="205" t="s">
        <v>886</v>
      </c>
      <c r="E81" s="205" t="s">
        <v>68</v>
      </c>
      <c r="F81" s="206"/>
      <c r="G81" s="205" t="s">
        <v>42</v>
      </c>
      <c r="H81" s="211">
        <v>500</v>
      </c>
      <c r="I81" s="234">
        <v>100</v>
      </c>
      <c r="J81" s="205" t="s">
        <v>179</v>
      </c>
      <c r="K81" s="205" t="s">
        <v>43</v>
      </c>
      <c r="M81">
        <f t="shared" si="0"/>
        <v>100</v>
      </c>
    </row>
    <row r="82" spans="1:16" x14ac:dyDescent="0.25">
      <c r="A82" s="203">
        <v>11</v>
      </c>
      <c r="B82" s="205" t="s">
        <v>2058</v>
      </c>
      <c r="C82" s="205" t="s">
        <v>40</v>
      </c>
      <c r="D82" s="205" t="s">
        <v>886</v>
      </c>
      <c r="E82" s="205" t="s">
        <v>68</v>
      </c>
      <c r="F82" s="206"/>
      <c r="G82" s="205" t="s">
        <v>163</v>
      </c>
      <c r="H82" s="211">
        <v>200</v>
      </c>
      <c r="I82" s="234">
        <v>200</v>
      </c>
      <c r="J82" s="205" t="s">
        <v>179</v>
      </c>
      <c r="K82" s="205" t="s">
        <v>43</v>
      </c>
      <c r="M82">
        <f t="shared" si="0"/>
        <v>40</v>
      </c>
    </row>
    <row r="83" spans="1:16" x14ac:dyDescent="0.25">
      <c r="A83" s="203">
        <v>11</v>
      </c>
      <c r="B83" s="205" t="s">
        <v>2059</v>
      </c>
      <c r="C83" s="205" t="s">
        <v>48</v>
      </c>
      <c r="D83" s="205" t="s">
        <v>143</v>
      </c>
      <c r="E83" s="206" t="s">
        <v>45</v>
      </c>
      <c r="F83" s="206"/>
      <c r="G83" s="205" t="s">
        <v>42</v>
      </c>
      <c r="H83" s="211">
        <v>5000</v>
      </c>
      <c r="I83" s="234">
        <v>1000</v>
      </c>
      <c r="J83" s="205" t="s">
        <v>179</v>
      </c>
      <c r="K83" s="205" t="s">
        <v>43</v>
      </c>
      <c r="M83">
        <f t="shared" si="0"/>
        <v>1000</v>
      </c>
    </row>
    <row r="84" spans="1:16" x14ac:dyDescent="0.25">
      <c r="A84" s="203">
        <v>11</v>
      </c>
      <c r="B84" s="205" t="s">
        <v>2060</v>
      </c>
      <c r="C84" s="205" t="s">
        <v>40</v>
      </c>
      <c r="D84" s="205" t="s">
        <v>2061</v>
      </c>
      <c r="E84" s="205" t="s">
        <v>50</v>
      </c>
      <c r="F84" s="206"/>
      <c r="G84" s="205" t="s">
        <v>42</v>
      </c>
      <c r="H84" s="211">
        <v>4000</v>
      </c>
      <c r="I84" s="234">
        <v>800</v>
      </c>
      <c r="J84" s="205" t="s">
        <v>179</v>
      </c>
      <c r="K84" s="205" t="s">
        <v>43</v>
      </c>
      <c r="M84">
        <f t="shared" si="0"/>
        <v>800</v>
      </c>
    </row>
    <row r="85" spans="1:16" x14ac:dyDescent="0.25">
      <c r="A85" s="203">
        <v>11</v>
      </c>
      <c r="B85" s="205" t="s">
        <v>2062</v>
      </c>
      <c r="C85" s="205" t="s">
        <v>40</v>
      </c>
      <c r="D85" s="205" t="s">
        <v>968</v>
      </c>
      <c r="E85" s="205" t="s">
        <v>71</v>
      </c>
      <c r="F85" s="206" t="s">
        <v>2063</v>
      </c>
      <c r="G85" s="205" t="s">
        <v>163</v>
      </c>
      <c r="H85" s="211">
        <v>500</v>
      </c>
      <c r="I85" s="234" t="s">
        <v>255</v>
      </c>
      <c r="J85" s="205" t="s">
        <v>179</v>
      </c>
      <c r="K85" s="205" t="s">
        <v>43</v>
      </c>
      <c r="M85">
        <f t="shared" si="0"/>
        <v>100</v>
      </c>
    </row>
    <row r="86" spans="1:16" x14ac:dyDescent="0.25">
      <c r="A86" s="203">
        <v>11</v>
      </c>
      <c r="B86" s="205" t="s">
        <v>1308</v>
      </c>
      <c r="C86" s="205" t="s">
        <v>40</v>
      </c>
      <c r="D86" s="205" t="s">
        <v>1176</v>
      </c>
      <c r="E86" s="205" t="s">
        <v>59</v>
      </c>
      <c r="F86" s="206" t="s">
        <v>2064</v>
      </c>
      <c r="G86" s="205" t="s">
        <v>42</v>
      </c>
      <c r="H86" s="211">
        <v>2500</v>
      </c>
      <c r="I86" s="234">
        <v>500</v>
      </c>
      <c r="J86" s="205" t="s">
        <v>179</v>
      </c>
      <c r="K86" s="205" t="s">
        <v>43</v>
      </c>
      <c r="M86">
        <f t="shared" si="0"/>
        <v>500</v>
      </c>
    </row>
    <row r="87" spans="1:16" x14ac:dyDescent="0.25">
      <c r="A87" s="203">
        <v>11</v>
      </c>
      <c r="B87" s="205" t="s">
        <v>2065</v>
      </c>
      <c r="C87" s="205" t="s">
        <v>40</v>
      </c>
      <c r="D87" s="205" t="s">
        <v>1316</v>
      </c>
      <c r="E87" s="205" t="s">
        <v>52</v>
      </c>
      <c r="F87" s="206" t="s">
        <v>2066</v>
      </c>
      <c r="G87" s="205" t="s">
        <v>42</v>
      </c>
      <c r="H87" s="211">
        <v>1500</v>
      </c>
      <c r="I87" s="234">
        <v>300</v>
      </c>
      <c r="J87" s="205" t="s">
        <v>179</v>
      </c>
      <c r="K87" s="205" t="s">
        <v>43</v>
      </c>
      <c r="M87">
        <f t="shared" si="0"/>
        <v>300</v>
      </c>
    </row>
    <row r="88" spans="1:16" x14ac:dyDescent="0.25">
      <c r="A88" s="203">
        <v>11</v>
      </c>
      <c r="B88" s="205" t="s">
        <v>2067</v>
      </c>
      <c r="C88" s="205" t="s">
        <v>40</v>
      </c>
      <c r="D88" s="205" t="s">
        <v>481</v>
      </c>
      <c r="E88" s="205" t="s">
        <v>52</v>
      </c>
      <c r="F88" s="206" t="s">
        <v>2068</v>
      </c>
      <c r="G88" s="205" t="s">
        <v>163</v>
      </c>
      <c r="H88" s="211">
        <v>600</v>
      </c>
      <c r="I88" s="234">
        <v>600</v>
      </c>
      <c r="J88" s="205" t="s">
        <v>179</v>
      </c>
      <c r="K88" s="205" t="s">
        <v>43</v>
      </c>
      <c r="M88">
        <f t="shared" si="0"/>
        <v>120</v>
      </c>
      <c r="P88" s="57"/>
    </row>
    <row r="89" spans="1:16" x14ac:dyDescent="0.25">
      <c r="A89" s="203">
        <v>11</v>
      </c>
      <c r="B89" s="205" t="s">
        <v>2069</v>
      </c>
      <c r="C89" s="205" t="s">
        <v>40</v>
      </c>
      <c r="D89" s="205" t="s">
        <v>2070</v>
      </c>
      <c r="E89" s="205" t="s">
        <v>50</v>
      </c>
      <c r="F89" s="206" t="s">
        <v>2071</v>
      </c>
      <c r="G89" s="205" t="s">
        <v>42</v>
      </c>
      <c r="H89" s="211">
        <v>2000</v>
      </c>
      <c r="I89" s="234">
        <v>400</v>
      </c>
      <c r="J89" s="205" t="s">
        <v>179</v>
      </c>
      <c r="K89" s="205" t="s">
        <v>43</v>
      </c>
      <c r="M89">
        <f t="shared" si="0"/>
        <v>400</v>
      </c>
    </row>
    <row r="90" spans="1:16" x14ac:dyDescent="0.25">
      <c r="A90" s="203">
        <v>11</v>
      </c>
      <c r="B90" s="205" t="s">
        <v>2072</v>
      </c>
      <c r="C90" s="205" t="s">
        <v>40</v>
      </c>
      <c r="D90" s="205" t="s">
        <v>852</v>
      </c>
      <c r="E90" s="205" t="s">
        <v>45</v>
      </c>
      <c r="F90" s="206"/>
      <c r="G90" s="205" t="s">
        <v>42</v>
      </c>
      <c r="H90" s="211">
        <v>2500</v>
      </c>
      <c r="I90" s="234">
        <v>500</v>
      </c>
      <c r="J90" s="205" t="s">
        <v>179</v>
      </c>
      <c r="K90" s="205" t="s">
        <v>43</v>
      </c>
      <c r="M90">
        <f t="shared" si="0"/>
        <v>500</v>
      </c>
    </row>
    <row r="91" spans="1:16" x14ac:dyDescent="0.25">
      <c r="A91" s="203">
        <v>11</v>
      </c>
      <c r="B91" s="205" t="s">
        <v>2073</v>
      </c>
      <c r="C91" s="205" t="s">
        <v>40</v>
      </c>
      <c r="D91" s="205" t="s">
        <v>1289</v>
      </c>
      <c r="E91" s="205" t="s">
        <v>63</v>
      </c>
      <c r="F91" s="206" t="s">
        <v>2074</v>
      </c>
      <c r="G91" s="205" t="s">
        <v>163</v>
      </c>
      <c r="H91" s="211">
        <v>500</v>
      </c>
      <c r="I91" s="234">
        <v>500</v>
      </c>
      <c r="J91" s="205" t="s">
        <v>179</v>
      </c>
      <c r="K91" s="205" t="s">
        <v>43</v>
      </c>
      <c r="M91">
        <f t="shared" si="0"/>
        <v>100</v>
      </c>
    </row>
    <row r="92" spans="1:16" x14ac:dyDescent="0.25">
      <c r="A92" s="203">
        <v>11</v>
      </c>
      <c r="B92" s="205" t="s">
        <v>2075</v>
      </c>
      <c r="C92" s="205" t="s">
        <v>40</v>
      </c>
      <c r="D92" s="205" t="s">
        <v>2076</v>
      </c>
      <c r="E92" s="205" t="s">
        <v>45</v>
      </c>
      <c r="F92" s="206" t="s">
        <v>2077</v>
      </c>
      <c r="G92" s="205" t="s">
        <v>42</v>
      </c>
      <c r="H92" s="211">
        <v>1000</v>
      </c>
      <c r="I92" s="234">
        <v>200</v>
      </c>
      <c r="J92" s="205" t="s">
        <v>179</v>
      </c>
      <c r="K92" s="205" t="s">
        <v>43</v>
      </c>
      <c r="M92">
        <f t="shared" si="0"/>
        <v>200</v>
      </c>
    </row>
    <row r="93" spans="1:16" x14ac:dyDescent="0.25">
      <c r="A93" s="203">
        <v>11</v>
      </c>
      <c r="B93" s="205" t="s">
        <v>2078</v>
      </c>
      <c r="C93" s="205" t="s">
        <v>40</v>
      </c>
      <c r="D93" s="205"/>
      <c r="E93" s="205" t="s">
        <v>57</v>
      </c>
      <c r="F93" s="206" t="s">
        <v>2079</v>
      </c>
      <c r="G93" s="205" t="s">
        <v>163</v>
      </c>
      <c r="H93" s="211">
        <v>70</v>
      </c>
      <c r="I93" s="234">
        <v>70</v>
      </c>
      <c r="J93" s="205" t="s">
        <v>179</v>
      </c>
      <c r="K93" s="205" t="s">
        <v>43</v>
      </c>
      <c r="M93">
        <f t="shared" si="0"/>
        <v>14</v>
      </c>
    </row>
    <row r="94" spans="1:16" x14ac:dyDescent="0.25">
      <c r="A94" s="203">
        <v>11</v>
      </c>
      <c r="B94" s="205" t="s">
        <v>2080</v>
      </c>
      <c r="C94" s="205" t="s">
        <v>48</v>
      </c>
      <c r="D94" s="205" t="s">
        <v>152</v>
      </c>
      <c r="E94" s="205" t="s">
        <v>52</v>
      </c>
      <c r="F94" s="206" t="s">
        <v>2081</v>
      </c>
      <c r="G94" s="205" t="s">
        <v>42</v>
      </c>
      <c r="H94" s="211">
        <v>200</v>
      </c>
      <c r="I94" s="234">
        <v>40</v>
      </c>
      <c r="J94" s="205" t="s">
        <v>179</v>
      </c>
      <c r="K94" s="205" t="s">
        <v>43</v>
      </c>
      <c r="M94">
        <f t="shared" si="0"/>
        <v>40</v>
      </c>
    </row>
    <row r="95" spans="1:16" x14ac:dyDescent="0.25">
      <c r="A95" s="203">
        <v>11</v>
      </c>
      <c r="B95" s="205" t="s">
        <v>2082</v>
      </c>
      <c r="C95" s="205" t="s">
        <v>40</v>
      </c>
      <c r="D95" s="205" t="s">
        <v>2083</v>
      </c>
      <c r="E95" s="205" t="s">
        <v>72</v>
      </c>
      <c r="F95" s="206" t="s">
        <v>2084</v>
      </c>
      <c r="G95" s="205" t="s">
        <v>42</v>
      </c>
      <c r="H95" s="211">
        <v>1000</v>
      </c>
      <c r="I95" s="234" t="s">
        <v>255</v>
      </c>
      <c r="J95" s="205" t="s">
        <v>179</v>
      </c>
      <c r="K95" s="205" t="s">
        <v>43</v>
      </c>
      <c r="M95">
        <f t="shared" si="0"/>
        <v>200</v>
      </c>
    </row>
    <row r="96" spans="1:16" x14ac:dyDescent="0.25">
      <c r="A96" s="203">
        <v>11</v>
      </c>
      <c r="B96" s="205" t="s">
        <v>2085</v>
      </c>
      <c r="C96" s="205" t="s">
        <v>40</v>
      </c>
      <c r="D96" s="205" t="s">
        <v>2086</v>
      </c>
      <c r="E96" s="205" t="s">
        <v>61</v>
      </c>
      <c r="F96" s="206"/>
      <c r="G96" s="205" t="s">
        <v>42</v>
      </c>
      <c r="H96" s="211">
        <v>600</v>
      </c>
      <c r="I96" s="234">
        <v>120</v>
      </c>
      <c r="J96" s="205" t="s">
        <v>179</v>
      </c>
      <c r="K96" s="205" t="s">
        <v>43</v>
      </c>
      <c r="M96">
        <f t="shared" si="0"/>
        <v>120</v>
      </c>
    </row>
    <row r="97" spans="1:16" x14ac:dyDescent="0.25">
      <c r="A97" s="203">
        <v>12</v>
      </c>
      <c r="B97" s="205" t="s">
        <v>2087</v>
      </c>
      <c r="C97" s="205" t="s">
        <v>48</v>
      </c>
      <c r="D97" s="205" t="s">
        <v>2088</v>
      </c>
      <c r="E97" s="205" t="s">
        <v>59</v>
      </c>
      <c r="F97" s="206" t="s">
        <v>2089</v>
      </c>
      <c r="G97" s="205" t="s">
        <v>42</v>
      </c>
      <c r="H97" s="211">
        <v>1500</v>
      </c>
      <c r="I97" s="234">
        <v>300</v>
      </c>
      <c r="J97" s="205" t="s">
        <v>179</v>
      </c>
      <c r="K97" s="205" t="s">
        <v>43</v>
      </c>
      <c r="M97">
        <f t="shared" si="0"/>
        <v>300</v>
      </c>
    </row>
    <row r="98" spans="1:16" x14ac:dyDescent="0.25">
      <c r="A98" s="203">
        <v>12</v>
      </c>
      <c r="B98" s="205" t="s">
        <v>2090</v>
      </c>
      <c r="C98" s="205" t="s">
        <v>40</v>
      </c>
      <c r="D98" s="205" t="s">
        <v>2091</v>
      </c>
      <c r="E98" s="205" t="s">
        <v>58</v>
      </c>
      <c r="F98" s="206"/>
      <c r="G98" s="205" t="s">
        <v>42</v>
      </c>
      <c r="H98" s="211">
        <v>1200</v>
      </c>
      <c r="I98" s="234">
        <v>240</v>
      </c>
      <c r="J98" s="205" t="s">
        <v>179</v>
      </c>
      <c r="K98" s="205" t="s">
        <v>43</v>
      </c>
      <c r="M98">
        <f t="shared" si="0"/>
        <v>240</v>
      </c>
    </row>
    <row r="99" spans="1:16" x14ac:dyDescent="0.25">
      <c r="A99" s="203">
        <v>12</v>
      </c>
      <c r="B99" s="205" t="s">
        <v>2092</v>
      </c>
      <c r="C99" s="205" t="s">
        <v>40</v>
      </c>
      <c r="D99" s="205" t="s">
        <v>2093</v>
      </c>
      <c r="E99" s="205" t="s">
        <v>52</v>
      </c>
      <c r="F99" s="206" t="s">
        <v>2094</v>
      </c>
      <c r="G99" s="205" t="s">
        <v>42</v>
      </c>
      <c r="H99" s="211">
        <v>1500</v>
      </c>
      <c r="I99" s="234">
        <v>300</v>
      </c>
      <c r="J99" s="205" t="s">
        <v>179</v>
      </c>
      <c r="K99" s="205" t="s">
        <v>43</v>
      </c>
      <c r="M99">
        <f t="shared" si="0"/>
        <v>300</v>
      </c>
      <c r="P99" s="57"/>
    </row>
    <row r="100" spans="1:16" x14ac:dyDescent="0.25">
      <c r="A100" s="203">
        <v>12</v>
      </c>
      <c r="B100" s="205" t="s">
        <v>2095</v>
      </c>
      <c r="C100" s="205" t="s">
        <v>40</v>
      </c>
      <c r="D100" s="205" t="s">
        <v>152</v>
      </c>
      <c r="E100" s="205" t="s">
        <v>52</v>
      </c>
      <c r="F100" s="206" t="s">
        <v>2096</v>
      </c>
      <c r="G100" s="205" t="s">
        <v>42</v>
      </c>
      <c r="H100" s="211">
        <v>5000</v>
      </c>
      <c r="I100" s="234">
        <v>1000</v>
      </c>
      <c r="J100" s="205" t="s">
        <v>179</v>
      </c>
      <c r="K100" s="205" t="s">
        <v>43</v>
      </c>
      <c r="M100">
        <f t="shared" si="0"/>
        <v>1000</v>
      </c>
    </row>
    <row r="101" spans="1:16" x14ac:dyDescent="0.25">
      <c r="A101" s="321">
        <v>12</v>
      </c>
      <c r="B101" s="205" t="s">
        <v>2097</v>
      </c>
      <c r="C101" s="205" t="s">
        <v>48</v>
      </c>
      <c r="D101" s="205" t="s">
        <v>2098</v>
      </c>
      <c r="E101" s="205" t="s">
        <v>81</v>
      </c>
      <c r="F101" s="206" t="s">
        <v>2099</v>
      </c>
      <c r="G101" s="205" t="s">
        <v>42</v>
      </c>
      <c r="H101" s="211">
        <v>6000</v>
      </c>
      <c r="I101" s="234">
        <v>1200</v>
      </c>
      <c r="J101" s="205" t="s">
        <v>179</v>
      </c>
      <c r="K101" s="205" t="s">
        <v>43</v>
      </c>
      <c r="M101">
        <f t="shared" si="0"/>
        <v>1200</v>
      </c>
    </row>
    <row r="102" spans="1:16" x14ac:dyDescent="0.25">
      <c r="A102" s="203">
        <v>13</v>
      </c>
      <c r="B102" s="205" t="s">
        <v>2101</v>
      </c>
      <c r="C102" s="205" t="s">
        <v>40</v>
      </c>
      <c r="D102" s="205" t="s">
        <v>272</v>
      </c>
      <c r="E102" s="205" t="s">
        <v>44</v>
      </c>
      <c r="F102" s="206" t="s">
        <v>2102</v>
      </c>
      <c r="G102" s="205" t="s">
        <v>42</v>
      </c>
      <c r="H102" s="211">
        <v>200</v>
      </c>
      <c r="I102" s="234" t="s">
        <v>255</v>
      </c>
      <c r="J102" s="205" t="s">
        <v>179</v>
      </c>
      <c r="K102" s="205" t="s">
        <v>43</v>
      </c>
      <c r="M102">
        <f t="shared" si="0"/>
        <v>40</v>
      </c>
    </row>
    <row r="103" spans="1:16" x14ac:dyDescent="0.25">
      <c r="A103" s="203">
        <v>14</v>
      </c>
      <c r="B103" s="205" t="s">
        <v>2103</v>
      </c>
      <c r="C103" s="205" t="s">
        <v>40</v>
      </c>
      <c r="D103" s="205" t="s">
        <v>952</v>
      </c>
      <c r="E103" s="205" t="s">
        <v>57</v>
      </c>
      <c r="F103" s="206"/>
      <c r="G103" s="205" t="s">
        <v>42</v>
      </c>
      <c r="H103" s="211">
        <v>2500</v>
      </c>
      <c r="I103" s="234">
        <v>500</v>
      </c>
      <c r="J103" s="205" t="s">
        <v>179</v>
      </c>
      <c r="K103" s="205" t="s">
        <v>43</v>
      </c>
      <c r="M103">
        <f t="shared" si="0"/>
        <v>500</v>
      </c>
    </row>
    <row r="104" spans="1:16" x14ac:dyDescent="0.25">
      <c r="A104" s="203">
        <v>14</v>
      </c>
      <c r="B104" s="205" t="s">
        <v>2104</v>
      </c>
      <c r="C104" s="205" t="s">
        <v>40</v>
      </c>
      <c r="D104" s="205" t="s">
        <v>521</v>
      </c>
      <c r="E104" s="205" t="s">
        <v>72</v>
      </c>
      <c r="F104" s="206"/>
      <c r="G104" s="205" t="s">
        <v>42</v>
      </c>
      <c r="H104" s="211">
        <v>300</v>
      </c>
      <c r="I104" s="234">
        <v>120</v>
      </c>
      <c r="J104" s="205" t="s">
        <v>179</v>
      </c>
      <c r="K104" s="205" t="s">
        <v>43</v>
      </c>
      <c r="M104">
        <f t="shared" si="0"/>
        <v>60</v>
      </c>
    </row>
    <row r="105" spans="1:16" x14ac:dyDescent="0.25">
      <c r="A105" s="203">
        <v>14</v>
      </c>
      <c r="B105" s="369" t="s">
        <v>2105</v>
      </c>
      <c r="C105" s="205" t="s">
        <v>40</v>
      </c>
      <c r="D105" s="205" t="s">
        <v>2106</v>
      </c>
      <c r="E105" s="205" t="s">
        <v>44</v>
      </c>
      <c r="F105" s="206" t="s">
        <v>2107</v>
      </c>
      <c r="G105" s="205" t="s">
        <v>42</v>
      </c>
      <c r="H105" s="211">
        <v>2000</v>
      </c>
      <c r="I105" s="234">
        <v>400</v>
      </c>
      <c r="J105" s="205" t="s">
        <v>179</v>
      </c>
      <c r="K105" s="205" t="s">
        <v>43</v>
      </c>
      <c r="M105">
        <f t="shared" si="0"/>
        <v>400</v>
      </c>
      <c r="P105" s="25"/>
    </row>
    <row r="106" spans="1:16" x14ac:dyDescent="0.25">
      <c r="A106" s="203">
        <v>14</v>
      </c>
      <c r="B106" s="205" t="s">
        <v>2108</v>
      </c>
      <c r="C106" s="205" t="s">
        <v>40</v>
      </c>
      <c r="D106" s="205" t="s">
        <v>2109</v>
      </c>
      <c r="E106" s="205" t="s">
        <v>52</v>
      </c>
      <c r="F106" s="206"/>
      <c r="G106" s="205" t="s">
        <v>42</v>
      </c>
      <c r="H106" s="211">
        <v>1000</v>
      </c>
      <c r="I106" s="234">
        <v>200</v>
      </c>
      <c r="J106" s="205" t="s">
        <v>179</v>
      </c>
      <c r="K106" s="205" t="s">
        <v>43</v>
      </c>
      <c r="M106">
        <f t="shared" si="0"/>
        <v>200</v>
      </c>
      <c r="P106" s="57"/>
    </row>
    <row r="107" spans="1:16" x14ac:dyDescent="0.25">
      <c r="A107" s="203">
        <v>14</v>
      </c>
      <c r="B107" s="205" t="s">
        <v>2110</v>
      </c>
      <c r="C107" s="205" t="s">
        <v>40</v>
      </c>
      <c r="D107" s="205" t="s">
        <v>899</v>
      </c>
      <c r="E107" s="205" t="s">
        <v>44</v>
      </c>
      <c r="F107" s="206" t="s">
        <v>2111</v>
      </c>
      <c r="G107" s="205" t="s">
        <v>42</v>
      </c>
      <c r="H107" s="211">
        <v>2500</v>
      </c>
      <c r="I107" s="234">
        <v>500</v>
      </c>
      <c r="J107" s="205" t="s">
        <v>179</v>
      </c>
      <c r="K107" s="205" t="s">
        <v>43</v>
      </c>
      <c r="M107">
        <f t="shared" si="0"/>
        <v>500</v>
      </c>
      <c r="P107" s="57"/>
    </row>
    <row r="108" spans="1:16" x14ac:dyDescent="0.25">
      <c r="A108" s="203">
        <v>14</v>
      </c>
      <c r="B108" s="205" t="s">
        <v>2112</v>
      </c>
      <c r="C108" s="205" t="s">
        <v>40</v>
      </c>
      <c r="D108" s="205" t="s">
        <v>927</v>
      </c>
      <c r="E108" s="205" t="s">
        <v>57</v>
      </c>
      <c r="F108" s="206"/>
      <c r="G108" s="205" t="s">
        <v>42</v>
      </c>
      <c r="H108" s="211">
        <v>900</v>
      </c>
      <c r="I108" s="234">
        <v>180</v>
      </c>
      <c r="J108" s="205" t="s">
        <v>179</v>
      </c>
      <c r="K108" s="205" t="s">
        <v>43</v>
      </c>
      <c r="M108">
        <f t="shared" si="0"/>
        <v>180</v>
      </c>
      <c r="P108" s="57"/>
    </row>
    <row r="109" spans="1:16" x14ac:dyDescent="0.25">
      <c r="A109" s="203">
        <v>14</v>
      </c>
      <c r="B109" s="205" t="s">
        <v>1005</v>
      </c>
      <c r="C109" s="205" t="s">
        <v>48</v>
      </c>
      <c r="D109" s="205" t="s">
        <v>1006</v>
      </c>
      <c r="E109" s="205" t="s">
        <v>56</v>
      </c>
      <c r="F109" s="206" t="s">
        <v>1750</v>
      </c>
      <c r="G109" s="205" t="s">
        <v>42</v>
      </c>
      <c r="H109" s="211">
        <v>5000</v>
      </c>
      <c r="I109" s="234">
        <v>1000</v>
      </c>
      <c r="J109" s="205" t="s">
        <v>179</v>
      </c>
      <c r="K109" s="205" t="s">
        <v>43</v>
      </c>
      <c r="M109">
        <f t="shared" si="0"/>
        <v>1000</v>
      </c>
      <c r="P109" s="57"/>
    </row>
    <row r="110" spans="1:16" x14ac:dyDescent="0.25">
      <c r="A110" s="203">
        <v>14</v>
      </c>
      <c r="B110" s="205" t="s">
        <v>2113</v>
      </c>
      <c r="C110" s="205" t="s">
        <v>40</v>
      </c>
      <c r="D110" s="205" t="s">
        <v>2114</v>
      </c>
      <c r="E110" s="205" t="s">
        <v>58</v>
      </c>
      <c r="F110" s="206" t="s">
        <v>2115</v>
      </c>
      <c r="G110" s="205" t="s">
        <v>42</v>
      </c>
      <c r="H110" s="211">
        <v>3500</v>
      </c>
      <c r="I110" s="234">
        <v>700</v>
      </c>
      <c r="J110" s="205" t="s">
        <v>179</v>
      </c>
      <c r="K110" s="205" t="s">
        <v>43</v>
      </c>
      <c r="M110">
        <f t="shared" si="0"/>
        <v>700</v>
      </c>
      <c r="P110" s="57"/>
    </row>
    <row r="111" spans="1:16" x14ac:dyDescent="0.25">
      <c r="A111" s="203">
        <v>14</v>
      </c>
      <c r="B111" s="205" t="s">
        <v>2113</v>
      </c>
      <c r="C111" s="205" t="s">
        <v>40</v>
      </c>
      <c r="D111" s="205" t="s">
        <v>2114</v>
      </c>
      <c r="E111" s="205" t="s">
        <v>58</v>
      </c>
      <c r="F111" s="206" t="s">
        <v>2115</v>
      </c>
      <c r="G111" s="205" t="s">
        <v>42</v>
      </c>
      <c r="H111" s="211">
        <v>600</v>
      </c>
      <c r="I111" s="234">
        <v>240</v>
      </c>
      <c r="J111" s="205" t="s">
        <v>179</v>
      </c>
      <c r="K111" s="205" t="s">
        <v>43</v>
      </c>
      <c r="M111">
        <f t="shared" si="0"/>
        <v>120</v>
      </c>
      <c r="P111" s="57"/>
    </row>
    <row r="112" spans="1:16" x14ac:dyDescent="0.25">
      <c r="A112" s="203">
        <v>14</v>
      </c>
      <c r="B112" s="205" t="s">
        <v>2116</v>
      </c>
      <c r="C112" s="205" t="s">
        <v>48</v>
      </c>
      <c r="D112" s="205" t="s">
        <v>2117</v>
      </c>
      <c r="E112" s="205" t="s">
        <v>58</v>
      </c>
      <c r="F112" s="206" t="s">
        <v>2118</v>
      </c>
      <c r="G112" s="205" t="s">
        <v>42</v>
      </c>
      <c r="H112" s="211">
        <v>2000</v>
      </c>
      <c r="I112" s="234">
        <v>400</v>
      </c>
      <c r="J112" s="205" t="s">
        <v>179</v>
      </c>
      <c r="K112" s="205" t="s">
        <v>43</v>
      </c>
      <c r="M112">
        <f t="shared" si="0"/>
        <v>400</v>
      </c>
      <c r="P112" s="57"/>
    </row>
    <row r="113" spans="1:16" x14ac:dyDescent="0.25">
      <c r="A113" s="203">
        <v>14</v>
      </c>
      <c r="B113" s="205" t="s">
        <v>2119</v>
      </c>
      <c r="C113" s="205" t="s">
        <v>40</v>
      </c>
      <c r="D113" s="205" t="s">
        <v>141</v>
      </c>
      <c r="E113" s="205" t="s">
        <v>45</v>
      </c>
      <c r="F113" s="206"/>
      <c r="G113" s="205" t="s">
        <v>42</v>
      </c>
      <c r="H113" s="211">
        <v>500</v>
      </c>
      <c r="I113" s="234">
        <v>200</v>
      </c>
      <c r="J113" s="205" t="s">
        <v>179</v>
      </c>
      <c r="K113" s="205" t="s">
        <v>43</v>
      </c>
      <c r="M113">
        <f t="shared" si="0"/>
        <v>100</v>
      </c>
      <c r="P113" s="57"/>
    </row>
    <row r="114" spans="1:16" x14ac:dyDescent="0.25">
      <c r="A114" s="203">
        <v>14</v>
      </c>
      <c r="B114" s="205" t="s">
        <v>2120</v>
      </c>
      <c r="C114" s="205" t="s">
        <v>48</v>
      </c>
      <c r="D114" s="205" t="s">
        <v>2117</v>
      </c>
      <c r="E114" s="205" t="s">
        <v>58</v>
      </c>
      <c r="F114" s="206" t="s">
        <v>2121</v>
      </c>
      <c r="G114" s="205" t="s">
        <v>42</v>
      </c>
      <c r="H114" s="211">
        <v>100</v>
      </c>
      <c r="I114" s="234">
        <v>40</v>
      </c>
      <c r="J114" s="205" t="s">
        <v>179</v>
      </c>
      <c r="K114" s="205" t="s">
        <v>43</v>
      </c>
      <c r="L114" s="375">
        <v>70</v>
      </c>
      <c r="M114">
        <f t="shared" si="0"/>
        <v>20</v>
      </c>
      <c r="P114" s="57"/>
    </row>
    <row r="115" spans="1:16" x14ac:dyDescent="0.25">
      <c r="A115" s="321">
        <v>14</v>
      </c>
      <c r="B115" s="205" t="s">
        <v>2122</v>
      </c>
      <c r="C115" s="205" t="s">
        <v>40</v>
      </c>
      <c r="D115" s="205" t="s">
        <v>836</v>
      </c>
      <c r="E115" s="205" t="s">
        <v>51</v>
      </c>
      <c r="F115" s="206"/>
      <c r="G115" s="205" t="s">
        <v>162</v>
      </c>
      <c r="H115" s="211">
        <v>30</v>
      </c>
      <c r="I115" s="234" t="s">
        <v>255</v>
      </c>
      <c r="J115" s="205" t="s">
        <v>179</v>
      </c>
      <c r="K115" s="205" t="s">
        <v>43</v>
      </c>
      <c r="L115">
        <v>13</v>
      </c>
      <c r="M115">
        <f t="shared" si="0"/>
        <v>6</v>
      </c>
      <c r="P115" s="57"/>
    </row>
    <row r="116" spans="1:16" x14ac:dyDescent="0.25">
      <c r="A116" s="203">
        <v>18</v>
      </c>
      <c r="B116" s="205" t="s">
        <v>2130</v>
      </c>
      <c r="C116" s="205" t="s">
        <v>40</v>
      </c>
      <c r="D116" s="205" t="s">
        <v>2131</v>
      </c>
      <c r="E116" s="205" t="s">
        <v>59</v>
      </c>
      <c r="F116" s="206" t="s">
        <v>2132</v>
      </c>
      <c r="G116" s="205" t="s">
        <v>42</v>
      </c>
      <c r="H116" s="211">
        <v>200</v>
      </c>
      <c r="I116" s="234">
        <v>40</v>
      </c>
      <c r="J116" s="205" t="s">
        <v>179</v>
      </c>
      <c r="K116" s="205" t="s">
        <v>43</v>
      </c>
      <c r="M116">
        <f t="shared" si="0"/>
        <v>40</v>
      </c>
      <c r="P116" s="57"/>
    </row>
    <row r="117" spans="1:16" x14ac:dyDescent="0.25">
      <c r="A117" s="203">
        <v>18</v>
      </c>
      <c r="B117" s="205" t="s">
        <v>2133</v>
      </c>
      <c r="C117" s="205" t="s">
        <v>40</v>
      </c>
      <c r="D117" s="205" t="s">
        <v>465</v>
      </c>
      <c r="E117" s="205" t="s">
        <v>45</v>
      </c>
      <c r="F117" s="206" t="s">
        <v>2134</v>
      </c>
      <c r="G117" s="205" t="s">
        <v>42</v>
      </c>
      <c r="H117" s="211">
        <v>100</v>
      </c>
      <c r="I117" s="234">
        <v>20</v>
      </c>
      <c r="J117" s="205" t="s">
        <v>179</v>
      </c>
      <c r="K117" s="205" t="s">
        <v>43</v>
      </c>
      <c r="M117">
        <f t="shared" si="0"/>
        <v>20</v>
      </c>
      <c r="P117" s="57"/>
    </row>
    <row r="118" spans="1:16" x14ac:dyDescent="0.25">
      <c r="A118" s="203">
        <v>18</v>
      </c>
      <c r="B118" s="205" t="s">
        <v>1075</v>
      </c>
      <c r="C118" s="205" t="s">
        <v>40</v>
      </c>
      <c r="D118" s="205" t="s">
        <v>1076</v>
      </c>
      <c r="E118" s="205" t="s">
        <v>84</v>
      </c>
      <c r="F118" s="206" t="s">
        <v>1077</v>
      </c>
      <c r="G118" s="205" t="s">
        <v>162</v>
      </c>
      <c r="H118" s="211">
        <v>80</v>
      </c>
      <c r="I118" s="234">
        <v>400</v>
      </c>
      <c r="J118" s="205" t="s">
        <v>179</v>
      </c>
      <c r="K118" s="205" t="s">
        <v>43</v>
      </c>
      <c r="M118">
        <f t="shared" si="0"/>
        <v>16</v>
      </c>
      <c r="P118" s="57"/>
    </row>
    <row r="119" spans="1:16" x14ac:dyDescent="0.25">
      <c r="A119" s="203">
        <v>18</v>
      </c>
      <c r="B119" s="205" t="s">
        <v>2135</v>
      </c>
      <c r="C119" s="205" t="s">
        <v>40</v>
      </c>
      <c r="D119" s="205"/>
      <c r="E119" s="205" t="s">
        <v>57</v>
      </c>
      <c r="F119" s="206" t="s">
        <v>2136</v>
      </c>
      <c r="G119" s="205" t="s">
        <v>42</v>
      </c>
      <c r="H119" s="211">
        <v>3000</v>
      </c>
      <c r="I119" s="234">
        <v>600</v>
      </c>
      <c r="J119" s="205" t="s">
        <v>179</v>
      </c>
      <c r="K119" s="205" t="s">
        <v>43</v>
      </c>
      <c r="M119">
        <f t="shared" si="0"/>
        <v>600</v>
      </c>
      <c r="P119" s="57"/>
    </row>
    <row r="120" spans="1:16" x14ac:dyDescent="0.25">
      <c r="A120" s="203">
        <v>18</v>
      </c>
      <c r="B120" s="205" t="s">
        <v>2137</v>
      </c>
      <c r="C120" s="205" t="s">
        <v>40</v>
      </c>
      <c r="D120" s="205" t="s">
        <v>366</v>
      </c>
      <c r="E120" s="205" t="s">
        <v>57</v>
      </c>
      <c r="F120" s="206" t="s">
        <v>2138</v>
      </c>
      <c r="G120" s="205" t="s">
        <v>162</v>
      </c>
      <c r="H120" s="211">
        <v>200</v>
      </c>
      <c r="I120" s="234">
        <v>1000</v>
      </c>
      <c r="J120" s="205" t="s">
        <v>179</v>
      </c>
      <c r="K120" s="205" t="s">
        <v>43</v>
      </c>
      <c r="M120">
        <f t="shared" si="0"/>
        <v>40</v>
      </c>
      <c r="P120" s="57"/>
    </row>
    <row r="121" spans="1:16" x14ac:dyDescent="0.25">
      <c r="A121" s="203">
        <v>18</v>
      </c>
      <c r="B121" s="205" t="s">
        <v>2139</v>
      </c>
      <c r="C121" s="205" t="s">
        <v>40</v>
      </c>
      <c r="D121" s="205" t="s">
        <v>658</v>
      </c>
      <c r="E121" s="205" t="s">
        <v>50</v>
      </c>
      <c r="F121" s="206"/>
      <c r="G121" s="205" t="s">
        <v>42</v>
      </c>
      <c r="H121" s="211">
        <v>500</v>
      </c>
      <c r="I121" s="234" t="s">
        <v>255</v>
      </c>
      <c r="J121" s="205" t="s">
        <v>179</v>
      </c>
      <c r="K121" s="205" t="s">
        <v>43</v>
      </c>
      <c r="M121">
        <f t="shared" si="0"/>
        <v>100</v>
      </c>
      <c r="P121" s="57"/>
    </row>
    <row r="122" spans="1:16" x14ac:dyDescent="0.25">
      <c r="A122" s="203">
        <v>18</v>
      </c>
      <c r="B122" s="205" t="s">
        <v>2139</v>
      </c>
      <c r="C122" s="205" t="s">
        <v>40</v>
      </c>
      <c r="D122" s="205" t="s">
        <v>658</v>
      </c>
      <c r="E122" s="205" t="s">
        <v>50</v>
      </c>
      <c r="F122" s="206"/>
      <c r="G122" s="205" t="s">
        <v>42</v>
      </c>
      <c r="H122" s="211">
        <v>250</v>
      </c>
      <c r="I122" s="234">
        <v>50</v>
      </c>
      <c r="J122" s="205" t="s">
        <v>179</v>
      </c>
      <c r="K122" s="205" t="s">
        <v>43</v>
      </c>
      <c r="M122">
        <f t="shared" si="0"/>
        <v>50</v>
      </c>
      <c r="P122" s="57"/>
    </row>
    <row r="123" spans="1:16" x14ac:dyDescent="0.25">
      <c r="A123" s="203">
        <v>18</v>
      </c>
      <c r="B123" s="205" t="s">
        <v>1768</v>
      </c>
      <c r="C123" s="205" t="s">
        <v>40</v>
      </c>
      <c r="D123" s="205" t="s">
        <v>151</v>
      </c>
      <c r="E123" s="205" t="s">
        <v>52</v>
      </c>
      <c r="F123" s="206" t="s">
        <v>2140</v>
      </c>
      <c r="G123" s="205" t="s">
        <v>42</v>
      </c>
      <c r="H123" s="211">
        <v>4000</v>
      </c>
      <c r="I123" s="234">
        <v>800</v>
      </c>
      <c r="J123" s="205" t="s">
        <v>179</v>
      </c>
      <c r="K123" s="205" t="s">
        <v>43</v>
      </c>
      <c r="M123">
        <f t="shared" si="0"/>
        <v>800</v>
      </c>
      <c r="P123" s="57"/>
    </row>
    <row r="124" spans="1:16" x14ac:dyDescent="0.25">
      <c r="A124" s="203">
        <v>18</v>
      </c>
      <c r="B124" s="205" t="s">
        <v>2141</v>
      </c>
      <c r="C124" s="205" t="s">
        <v>40</v>
      </c>
      <c r="D124" s="205"/>
      <c r="E124" s="205" t="s">
        <v>49</v>
      </c>
      <c r="F124" s="206" t="s">
        <v>2142</v>
      </c>
      <c r="G124" s="205" t="s">
        <v>42</v>
      </c>
      <c r="H124" s="211">
        <v>4000</v>
      </c>
      <c r="I124" s="234">
        <v>800</v>
      </c>
      <c r="J124" s="205" t="s">
        <v>179</v>
      </c>
      <c r="K124" s="205" t="s">
        <v>43</v>
      </c>
      <c r="M124">
        <f t="shared" si="0"/>
        <v>800</v>
      </c>
      <c r="P124" s="57"/>
    </row>
    <row r="125" spans="1:16" x14ac:dyDescent="0.25">
      <c r="A125" s="203">
        <v>18</v>
      </c>
      <c r="B125" s="205" t="s">
        <v>2144</v>
      </c>
      <c r="C125" s="205" t="s">
        <v>48</v>
      </c>
      <c r="D125" s="205" t="s">
        <v>2145</v>
      </c>
      <c r="E125" s="205" t="s">
        <v>88</v>
      </c>
      <c r="F125" s="206" t="s">
        <v>2146</v>
      </c>
      <c r="G125" s="205" t="s">
        <v>42</v>
      </c>
      <c r="H125" s="211">
        <v>1000</v>
      </c>
      <c r="I125" s="234">
        <v>200</v>
      </c>
      <c r="J125" s="205" t="s">
        <v>179</v>
      </c>
      <c r="K125" s="205" t="s">
        <v>43</v>
      </c>
      <c r="L125">
        <v>2</v>
      </c>
      <c r="M125">
        <f t="shared" si="0"/>
        <v>200</v>
      </c>
      <c r="P125" s="57"/>
    </row>
    <row r="126" spans="1:16" x14ac:dyDescent="0.25">
      <c r="A126" s="203">
        <v>18</v>
      </c>
      <c r="B126" s="205" t="s">
        <v>2144</v>
      </c>
      <c r="C126" s="205" t="s">
        <v>48</v>
      </c>
      <c r="D126" s="205" t="s">
        <v>2145</v>
      </c>
      <c r="E126" s="205" t="s">
        <v>88</v>
      </c>
      <c r="F126" s="206" t="s">
        <v>2146</v>
      </c>
      <c r="G126" s="205" t="s">
        <v>162</v>
      </c>
      <c r="H126" s="211">
        <v>50</v>
      </c>
      <c r="I126" s="234">
        <v>250</v>
      </c>
      <c r="J126" s="205" t="s">
        <v>179</v>
      </c>
      <c r="K126" s="205" t="s">
        <v>43</v>
      </c>
      <c r="L126">
        <v>15</v>
      </c>
      <c r="M126">
        <f t="shared" si="0"/>
        <v>10</v>
      </c>
      <c r="P126" s="57"/>
    </row>
    <row r="127" spans="1:16" x14ac:dyDescent="0.25">
      <c r="A127" s="203">
        <v>18</v>
      </c>
      <c r="B127" s="205" t="s">
        <v>2147</v>
      </c>
      <c r="C127" s="205" t="s">
        <v>40</v>
      </c>
      <c r="D127" s="205" t="s">
        <v>1500</v>
      </c>
      <c r="E127" s="205" t="s">
        <v>44</v>
      </c>
      <c r="F127" s="206" t="s">
        <v>2148</v>
      </c>
      <c r="G127" s="205" t="s">
        <v>42</v>
      </c>
      <c r="H127" s="211">
        <v>200</v>
      </c>
      <c r="I127" s="234">
        <v>40</v>
      </c>
      <c r="J127" s="205" t="s">
        <v>179</v>
      </c>
      <c r="K127" s="205" t="s">
        <v>43</v>
      </c>
      <c r="M127">
        <f t="shared" si="0"/>
        <v>40</v>
      </c>
      <c r="P127" s="57"/>
    </row>
    <row r="128" spans="1:16" x14ac:dyDescent="0.25">
      <c r="A128" s="203">
        <v>18</v>
      </c>
      <c r="B128" s="205" t="s">
        <v>2149</v>
      </c>
      <c r="C128" s="205" t="s">
        <v>40</v>
      </c>
      <c r="D128" s="205" t="s">
        <v>151</v>
      </c>
      <c r="E128" s="205" t="s">
        <v>52</v>
      </c>
      <c r="F128" s="206" t="s">
        <v>2150</v>
      </c>
      <c r="G128" s="205" t="s">
        <v>42</v>
      </c>
      <c r="H128" s="211">
        <v>1000</v>
      </c>
      <c r="I128" s="234">
        <v>200</v>
      </c>
      <c r="J128" s="205" t="s">
        <v>179</v>
      </c>
      <c r="K128" s="205" t="s">
        <v>43</v>
      </c>
      <c r="M128">
        <f t="shared" si="0"/>
        <v>200</v>
      </c>
      <c r="P128" s="57"/>
    </row>
    <row r="129" spans="1:16" x14ac:dyDescent="0.25">
      <c r="A129" s="203">
        <v>18</v>
      </c>
      <c r="B129" s="205" t="s">
        <v>2149</v>
      </c>
      <c r="C129" s="205" t="s">
        <v>40</v>
      </c>
      <c r="D129" s="205" t="s">
        <v>151</v>
      </c>
      <c r="E129" s="205" t="s">
        <v>52</v>
      </c>
      <c r="F129" s="206" t="s">
        <v>2150</v>
      </c>
      <c r="G129" s="205" t="s">
        <v>163</v>
      </c>
      <c r="H129" s="211">
        <v>100</v>
      </c>
      <c r="I129" s="234">
        <v>100</v>
      </c>
      <c r="J129" s="205" t="s">
        <v>179</v>
      </c>
      <c r="K129" s="205" t="s">
        <v>43</v>
      </c>
      <c r="M129">
        <f t="shared" si="0"/>
        <v>20</v>
      </c>
      <c r="P129" s="57"/>
    </row>
    <row r="130" spans="1:16" x14ac:dyDescent="0.25">
      <c r="A130" s="203">
        <v>18</v>
      </c>
      <c r="B130" s="205" t="s">
        <v>1695</v>
      </c>
      <c r="C130" s="205" t="s">
        <v>40</v>
      </c>
      <c r="D130" s="205" t="s">
        <v>144</v>
      </c>
      <c r="E130" s="205" t="s">
        <v>63</v>
      </c>
      <c r="F130" s="206" t="s">
        <v>1696</v>
      </c>
      <c r="G130" s="205" t="s">
        <v>162</v>
      </c>
      <c r="H130" s="211">
        <v>40</v>
      </c>
      <c r="I130" s="234">
        <v>20</v>
      </c>
      <c r="J130" s="205" t="s">
        <v>179</v>
      </c>
      <c r="K130" s="205" t="s">
        <v>43</v>
      </c>
      <c r="M130">
        <f t="shared" si="0"/>
        <v>8</v>
      </c>
      <c r="P130" s="57"/>
    </row>
    <row r="131" spans="1:16" x14ac:dyDescent="0.25">
      <c r="A131" s="203">
        <v>18</v>
      </c>
      <c r="B131" s="205" t="s">
        <v>2151</v>
      </c>
      <c r="C131" s="205" t="s">
        <v>40</v>
      </c>
      <c r="D131" s="205" t="s">
        <v>931</v>
      </c>
      <c r="E131" s="205" t="s">
        <v>44</v>
      </c>
      <c r="F131" s="206" t="s">
        <v>2152</v>
      </c>
      <c r="G131" s="205" t="s">
        <v>42</v>
      </c>
      <c r="H131" s="211">
        <v>1500</v>
      </c>
      <c r="I131" s="234">
        <v>300</v>
      </c>
      <c r="J131" s="205" t="s">
        <v>179</v>
      </c>
      <c r="K131" s="205" t="s">
        <v>43</v>
      </c>
      <c r="M131">
        <f t="shared" si="0"/>
        <v>300</v>
      </c>
      <c r="P131" s="57"/>
    </row>
    <row r="132" spans="1:16" x14ac:dyDescent="0.25">
      <c r="A132" s="203">
        <v>19</v>
      </c>
      <c r="B132" s="205" t="s">
        <v>2153</v>
      </c>
      <c r="C132" s="205" t="s">
        <v>40</v>
      </c>
      <c r="D132" s="205" t="s">
        <v>609</v>
      </c>
      <c r="E132" s="205" t="s">
        <v>47</v>
      </c>
      <c r="F132" s="206" t="s">
        <v>2154</v>
      </c>
      <c r="G132" s="205" t="s">
        <v>42</v>
      </c>
      <c r="H132" s="211">
        <v>2200</v>
      </c>
      <c r="I132" s="234">
        <v>440</v>
      </c>
      <c r="J132" s="205" t="s">
        <v>179</v>
      </c>
      <c r="K132" s="205" t="s">
        <v>43</v>
      </c>
      <c r="M132">
        <f t="shared" si="0"/>
        <v>440</v>
      </c>
      <c r="P132" s="57"/>
    </row>
    <row r="133" spans="1:16" x14ac:dyDescent="0.25">
      <c r="A133" s="203">
        <v>19</v>
      </c>
      <c r="B133" s="205" t="s">
        <v>2155</v>
      </c>
      <c r="C133" s="205" t="s">
        <v>40</v>
      </c>
      <c r="D133" s="205" t="s">
        <v>981</v>
      </c>
      <c r="E133" s="205" t="s">
        <v>45</v>
      </c>
      <c r="F133" s="206" t="s">
        <v>2156</v>
      </c>
      <c r="G133" s="205" t="s">
        <v>163</v>
      </c>
      <c r="H133" s="211">
        <v>100</v>
      </c>
      <c r="I133" s="234">
        <v>100</v>
      </c>
      <c r="J133" s="205" t="s">
        <v>179</v>
      </c>
      <c r="K133" s="205" t="s">
        <v>43</v>
      </c>
      <c r="M133">
        <f t="shared" si="0"/>
        <v>20</v>
      </c>
      <c r="P133" s="57"/>
    </row>
    <row r="134" spans="1:16" x14ac:dyDescent="0.25">
      <c r="A134" s="203">
        <v>19</v>
      </c>
      <c r="B134" s="205" t="s">
        <v>2022</v>
      </c>
      <c r="C134" s="205" t="s">
        <v>48</v>
      </c>
      <c r="D134" s="205" t="s">
        <v>406</v>
      </c>
      <c r="E134" s="205" t="s">
        <v>57</v>
      </c>
      <c r="F134" s="206" t="s">
        <v>2157</v>
      </c>
      <c r="G134" s="205" t="s">
        <v>163</v>
      </c>
      <c r="H134" s="211">
        <v>2400</v>
      </c>
      <c r="I134" s="234">
        <v>2400</v>
      </c>
      <c r="J134" s="205" t="s">
        <v>179</v>
      </c>
      <c r="K134" s="205" t="s">
        <v>43</v>
      </c>
      <c r="M134">
        <f t="shared" si="0"/>
        <v>480</v>
      </c>
      <c r="P134" s="57"/>
    </row>
    <row r="135" spans="1:16" x14ac:dyDescent="0.25">
      <c r="A135" s="321">
        <v>19</v>
      </c>
      <c r="B135" s="205" t="s">
        <v>2158</v>
      </c>
      <c r="C135" s="205" t="s">
        <v>48</v>
      </c>
      <c r="D135" s="205" t="s">
        <v>2159</v>
      </c>
      <c r="E135" s="205" t="s">
        <v>79</v>
      </c>
      <c r="F135" s="206" t="s">
        <v>2160</v>
      </c>
      <c r="G135" s="205" t="s">
        <v>42</v>
      </c>
      <c r="H135" s="211">
        <v>6000</v>
      </c>
      <c r="I135" s="234">
        <v>1200</v>
      </c>
      <c r="J135" s="205" t="s">
        <v>179</v>
      </c>
      <c r="K135" s="205" t="s">
        <v>43</v>
      </c>
      <c r="L135">
        <v>17</v>
      </c>
      <c r="M135">
        <f t="shared" si="0"/>
        <v>1200</v>
      </c>
      <c r="P135" s="57"/>
    </row>
    <row r="136" spans="1:16" x14ac:dyDescent="0.25">
      <c r="A136" s="203">
        <v>20</v>
      </c>
      <c r="B136" s="205" t="s">
        <v>1978</v>
      </c>
      <c r="C136" s="205" t="s">
        <v>40</v>
      </c>
      <c r="D136" s="205" t="s">
        <v>1176</v>
      </c>
      <c r="E136" s="205" t="s">
        <v>59</v>
      </c>
      <c r="F136" s="206"/>
      <c r="G136" s="205" t="s">
        <v>163</v>
      </c>
      <c r="H136" s="211">
        <v>2000</v>
      </c>
      <c r="I136" s="234">
        <v>2000</v>
      </c>
      <c r="J136" s="205" t="s">
        <v>179</v>
      </c>
      <c r="K136" s="205" t="s">
        <v>43</v>
      </c>
      <c r="M136">
        <f t="shared" si="0"/>
        <v>400</v>
      </c>
      <c r="P136" s="57"/>
    </row>
    <row r="137" spans="1:16" x14ac:dyDescent="0.25">
      <c r="A137" s="203">
        <v>20</v>
      </c>
      <c r="B137" s="205" t="s">
        <v>642</v>
      </c>
      <c r="C137" s="205" t="s">
        <v>40</v>
      </c>
      <c r="D137" s="205" t="s">
        <v>76</v>
      </c>
      <c r="E137" s="205" t="s">
        <v>44</v>
      </c>
      <c r="F137" s="206"/>
      <c r="G137" s="205" t="s">
        <v>42</v>
      </c>
      <c r="H137" s="211">
        <v>4000</v>
      </c>
      <c r="I137" s="234">
        <v>800</v>
      </c>
      <c r="J137" s="205" t="s">
        <v>179</v>
      </c>
      <c r="K137" s="205" t="s">
        <v>43</v>
      </c>
      <c r="M137">
        <f t="shared" si="0"/>
        <v>800</v>
      </c>
      <c r="P137" s="57"/>
    </row>
    <row r="138" spans="1:16" x14ac:dyDescent="0.25">
      <c r="A138" s="203">
        <v>20</v>
      </c>
      <c r="B138" s="205" t="s">
        <v>642</v>
      </c>
      <c r="C138" s="205" t="s">
        <v>40</v>
      </c>
      <c r="D138" s="205" t="s">
        <v>76</v>
      </c>
      <c r="E138" s="205" t="s">
        <v>44</v>
      </c>
      <c r="F138" s="206"/>
      <c r="G138" s="205" t="s">
        <v>163</v>
      </c>
      <c r="H138" s="211">
        <v>200</v>
      </c>
      <c r="I138" s="234">
        <v>200</v>
      </c>
      <c r="J138" s="205" t="s">
        <v>179</v>
      </c>
      <c r="K138" s="205" t="s">
        <v>43</v>
      </c>
      <c r="M138">
        <f t="shared" si="0"/>
        <v>40</v>
      </c>
      <c r="P138" s="57"/>
    </row>
    <row r="139" spans="1:16" x14ac:dyDescent="0.25">
      <c r="A139" s="203">
        <v>20</v>
      </c>
      <c r="B139" s="205" t="s">
        <v>1911</v>
      </c>
      <c r="C139" s="205" t="s">
        <v>40</v>
      </c>
      <c r="D139" s="205" t="s">
        <v>1069</v>
      </c>
      <c r="E139" s="205" t="s">
        <v>67</v>
      </c>
      <c r="F139" s="206" t="s">
        <v>2163</v>
      </c>
      <c r="G139" s="205" t="s">
        <v>180</v>
      </c>
      <c r="H139" s="211">
        <v>200</v>
      </c>
      <c r="I139" s="234">
        <v>100</v>
      </c>
      <c r="J139" s="205" t="s">
        <v>179</v>
      </c>
      <c r="K139" s="205" t="s">
        <v>43</v>
      </c>
      <c r="M139">
        <f t="shared" si="0"/>
        <v>40</v>
      </c>
      <c r="P139" s="57"/>
    </row>
    <row r="140" spans="1:16" x14ac:dyDescent="0.25">
      <c r="A140" s="203">
        <v>20</v>
      </c>
      <c r="B140" s="205" t="s">
        <v>1911</v>
      </c>
      <c r="C140" s="205" t="s">
        <v>40</v>
      </c>
      <c r="D140" s="205" t="s">
        <v>1069</v>
      </c>
      <c r="E140" s="205" t="s">
        <v>67</v>
      </c>
      <c r="F140" s="206" t="s">
        <v>2163</v>
      </c>
      <c r="G140" s="205" t="s">
        <v>163</v>
      </c>
      <c r="H140" s="211">
        <v>300</v>
      </c>
      <c r="I140" s="234">
        <v>300</v>
      </c>
      <c r="J140" s="205" t="s">
        <v>179</v>
      </c>
      <c r="K140" s="205" t="s">
        <v>43</v>
      </c>
      <c r="M140">
        <f t="shared" si="0"/>
        <v>60</v>
      </c>
      <c r="P140" s="57"/>
    </row>
    <row r="141" spans="1:16" x14ac:dyDescent="0.25">
      <c r="A141" s="203">
        <v>20</v>
      </c>
      <c r="B141" s="205" t="s">
        <v>2164</v>
      </c>
      <c r="C141" s="205" t="s">
        <v>40</v>
      </c>
      <c r="D141" s="205" t="s">
        <v>465</v>
      </c>
      <c r="E141" s="205" t="s">
        <v>71</v>
      </c>
      <c r="F141" s="206"/>
      <c r="G141" s="205" t="s">
        <v>163</v>
      </c>
      <c r="H141" s="211">
        <v>1000</v>
      </c>
      <c r="I141" s="234">
        <v>1000</v>
      </c>
      <c r="J141" s="205" t="s">
        <v>179</v>
      </c>
      <c r="K141" s="205" t="s">
        <v>43</v>
      </c>
      <c r="M141">
        <f t="shared" si="0"/>
        <v>200</v>
      </c>
      <c r="P141" s="57"/>
    </row>
    <row r="142" spans="1:16" x14ac:dyDescent="0.25">
      <c r="A142" s="203">
        <v>20</v>
      </c>
      <c r="B142" s="205" t="s">
        <v>2165</v>
      </c>
      <c r="C142" s="205" t="s">
        <v>48</v>
      </c>
      <c r="D142" s="205" t="s">
        <v>2166</v>
      </c>
      <c r="E142" s="205" t="s">
        <v>58</v>
      </c>
      <c r="F142" s="206" t="s">
        <v>2167</v>
      </c>
      <c r="G142" s="205" t="s">
        <v>163</v>
      </c>
      <c r="H142" s="211">
        <v>2000</v>
      </c>
      <c r="I142" s="234">
        <v>2000</v>
      </c>
      <c r="J142" s="205" t="s">
        <v>179</v>
      </c>
      <c r="K142" s="205" t="s">
        <v>43</v>
      </c>
      <c r="M142">
        <f t="shared" si="0"/>
        <v>400</v>
      </c>
      <c r="P142" s="57"/>
    </row>
    <row r="143" spans="1:16" x14ac:dyDescent="0.25">
      <c r="A143" s="203">
        <v>20</v>
      </c>
      <c r="B143" s="205" t="s">
        <v>1617</v>
      </c>
      <c r="C143" s="205" t="s">
        <v>40</v>
      </c>
      <c r="D143" s="205"/>
      <c r="E143" s="205" t="s">
        <v>52</v>
      </c>
      <c r="F143" s="206"/>
      <c r="G143" s="205" t="s">
        <v>42</v>
      </c>
      <c r="H143" s="211">
        <v>500</v>
      </c>
      <c r="I143" s="234">
        <v>100</v>
      </c>
      <c r="J143" s="205" t="s">
        <v>179</v>
      </c>
      <c r="K143" s="205" t="s">
        <v>43</v>
      </c>
      <c r="M143">
        <f t="shared" si="0"/>
        <v>100</v>
      </c>
      <c r="P143" s="57"/>
    </row>
    <row r="144" spans="1:16" x14ac:dyDescent="0.25">
      <c r="A144" s="321">
        <v>20</v>
      </c>
      <c r="B144" s="205" t="s">
        <v>2017</v>
      </c>
      <c r="C144" s="205" t="s">
        <v>40</v>
      </c>
      <c r="D144" s="205"/>
      <c r="E144" s="205" t="s">
        <v>64</v>
      </c>
      <c r="F144" s="206"/>
      <c r="G144" s="205" t="s">
        <v>163</v>
      </c>
      <c r="H144" s="211">
        <v>450</v>
      </c>
      <c r="I144" s="234">
        <v>450</v>
      </c>
      <c r="J144" s="205" t="s">
        <v>179</v>
      </c>
      <c r="K144" s="205" t="s">
        <v>43</v>
      </c>
      <c r="L144">
        <v>7</v>
      </c>
      <c r="M144">
        <f t="shared" si="0"/>
        <v>90</v>
      </c>
      <c r="P144" s="57"/>
    </row>
    <row r="145" spans="1:16" x14ac:dyDescent="0.25">
      <c r="A145" s="203">
        <v>25</v>
      </c>
      <c r="B145" s="205" t="s">
        <v>2169</v>
      </c>
      <c r="C145" s="205" t="s">
        <v>48</v>
      </c>
      <c r="D145" s="205" t="s">
        <v>297</v>
      </c>
      <c r="E145" s="205" t="s">
        <v>46</v>
      </c>
      <c r="F145" s="206"/>
      <c r="G145" s="446" t="s">
        <v>2170</v>
      </c>
      <c r="H145" s="211">
        <v>950</v>
      </c>
      <c r="I145" s="234" t="s">
        <v>255</v>
      </c>
      <c r="J145" s="205" t="s">
        <v>179</v>
      </c>
      <c r="K145" s="205" t="s">
        <v>43</v>
      </c>
      <c r="M145">
        <f t="shared" si="0"/>
        <v>190</v>
      </c>
      <c r="P145" s="57"/>
    </row>
    <row r="146" spans="1:16" x14ac:dyDescent="0.25">
      <c r="A146" s="203">
        <v>25</v>
      </c>
      <c r="B146" s="205" t="s">
        <v>2082</v>
      </c>
      <c r="C146" s="205" t="s">
        <v>40</v>
      </c>
      <c r="D146" s="205" t="s">
        <v>2083</v>
      </c>
      <c r="E146" s="205" t="s">
        <v>72</v>
      </c>
      <c r="F146" s="206" t="s">
        <v>2084</v>
      </c>
      <c r="G146" s="205" t="s">
        <v>163</v>
      </c>
      <c r="H146" s="211">
        <v>500</v>
      </c>
      <c r="I146" s="234" t="s">
        <v>255</v>
      </c>
      <c r="J146" s="205" t="s">
        <v>179</v>
      </c>
      <c r="K146" s="205" t="s">
        <v>43</v>
      </c>
      <c r="M146">
        <f t="shared" si="0"/>
        <v>100</v>
      </c>
      <c r="P146" s="57"/>
    </row>
    <row r="147" spans="1:16" x14ac:dyDescent="0.25">
      <c r="A147" s="203">
        <v>25</v>
      </c>
      <c r="B147" s="205" t="s">
        <v>2082</v>
      </c>
      <c r="C147" s="205" t="s">
        <v>40</v>
      </c>
      <c r="D147" s="205" t="s">
        <v>2083</v>
      </c>
      <c r="E147" s="205" t="s">
        <v>72</v>
      </c>
      <c r="F147" s="206" t="s">
        <v>2084</v>
      </c>
      <c r="G147" s="205" t="s">
        <v>180</v>
      </c>
      <c r="H147" s="211">
        <v>300</v>
      </c>
      <c r="I147" s="234" t="s">
        <v>255</v>
      </c>
      <c r="J147" s="205" t="s">
        <v>179</v>
      </c>
      <c r="K147" s="205" t="s">
        <v>43</v>
      </c>
      <c r="M147">
        <f t="shared" si="0"/>
        <v>60</v>
      </c>
      <c r="P147" s="57"/>
    </row>
    <row r="148" spans="1:16" x14ac:dyDescent="0.25">
      <c r="A148" s="203">
        <v>25</v>
      </c>
      <c r="B148" s="205" t="s">
        <v>2171</v>
      </c>
      <c r="C148" s="205" t="s">
        <v>40</v>
      </c>
      <c r="D148" s="205" t="s">
        <v>144</v>
      </c>
      <c r="E148" s="205" t="s">
        <v>52</v>
      </c>
      <c r="F148" s="206" t="s">
        <v>2172</v>
      </c>
      <c r="G148" s="205" t="s">
        <v>162</v>
      </c>
      <c r="H148" s="211">
        <v>65</v>
      </c>
      <c r="I148" s="234">
        <v>325</v>
      </c>
      <c r="J148" s="205" t="s">
        <v>179</v>
      </c>
      <c r="K148" s="205" t="s">
        <v>43</v>
      </c>
      <c r="M148">
        <f t="shared" si="0"/>
        <v>13</v>
      </c>
      <c r="P148" s="57"/>
    </row>
    <row r="149" spans="1:16" x14ac:dyDescent="0.25">
      <c r="A149" s="203">
        <v>25</v>
      </c>
      <c r="B149" s="205" t="s">
        <v>2173</v>
      </c>
      <c r="C149" s="205" t="s">
        <v>40</v>
      </c>
      <c r="D149" s="205" t="s">
        <v>2174</v>
      </c>
      <c r="E149" s="205" t="s">
        <v>74</v>
      </c>
      <c r="F149" s="206" t="s">
        <v>2175</v>
      </c>
      <c r="G149" s="205" t="s">
        <v>42</v>
      </c>
      <c r="H149" s="211">
        <v>500</v>
      </c>
      <c r="I149" s="234">
        <v>100</v>
      </c>
      <c r="J149" s="205" t="s">
        <v>179</v>
      </c>
      <c r="K149" s="205" t="s">
        <v>43</v>
      </c>
      <c r="M149">
        <f t="shared" si="0"/>
        <v>100</v>
      </c>
      <c r="P149" s="57"/>
    </row>
    <row r="150" spans="1:16" x14ac:dyDescent="0.25">
      <c r="A150" s="203">
        <v>25</v>
      </c>
      <c r="B150" s="205" t="s">
        <v>2173</v>
      </c>
      <c r="C150" s="205" t="s">
        <v>40</v>
      </c>
      <c r="D150" s="205" t="s">
        <v>2174</v>
      </c>
      <c r="E150" s="205" t="s">
        <v>74</v>
      </c>
      <c r="F150" s="206" t="s">
        <v>2175</v>
      </c>
      <c r="G150" s="205" t="s">
        <v>163</v>
      </c>
      <c r="H150" s="211">
        <v>50</v>
      </c>
      <c r="I150" s="234">
        <v>50</v>
      </c>
      <c r="J150" s="205" t="s">
        <v>179</v>
      </c>
      <c r="K150" s="205" t="s">
        <v>43</v>
      </c>
      <c r="M150">
        <f t="shared" si="0"/>
        <v>10</v>
      </c>
      <c r="P150" s="57"/>
    </row>
    <row r="151" spans="1:16" x14ac:dyDescent="0.25">
      <c r="A151" s="203">
        <v>25</v>
      </c>
      <c r="B151" s="205" t="s">
        <v>2173</v>
      </c>
      <c r="C151" s="205" t="s">
        <v>40</v>
      </c>
      <c r="D151" s="205" t="s">
        <v>2174</v>
      </c>
      <c r="E151" s="205" t="s">
        <v>74</v>
      </c>
      <c r="F151" s="206" t="s">
        <v>2175</v>
      </c>
      <c r="G151" s="205" t="s">
        <v>162</v>
      </c>
      <c r="H151" s="211">
        <v>20</v>
      </c>
      <c r="I151" s="234">
        <v>100</v>
      </c>
      <c r="J151" s="205" t="s">
        <v>179</v>
      </c>
      <c r="K151" s="205" t="s">
        <v>43</v>
      </c>
      <c r="M151">
        <f t="shared" si="0"/>
        <v>4</v>
      </c>
      <c r="P151" s="57"/>
    </row>
    <row r="152" spans="1:16" x14ac:dyDescent="0.25">
      <c r="A152" s="203">
        <v>25</v>
      </c>
      <c r="B152" s="205" t="s">
        <v>2176</v>
      </c>
      <c r="C152" s="205" t="s">
        <v>40</v>
      </c>
      <c r="D152" s="205" t="s">
        <v>1041</v>
      </c>
      <c r="E152" s="205" t="s">
        <v>60</v>
      </c>
      <c r="F152" s="206"/>
      <c r="G152" s="205" t="s">
        <v>42</v>
      </c>
      <c r="H152" s="211">
        <v>5000</v>
      </c>
      <c r="I152" s="234">
        <v>1000</v>
      </c>
      <c r="J152" s="205" t="s">
        <v>179</v>
      </c>
      <c r="K152" s="205" t="s">
        <v>43</v>
      </c>
      <c r="M152">
        <f t="shared" si="0"/>
        <v>1000</v>
      </c>
      <c r="P152" s="57"/>
    </row>
    <row r="153" spans="1:16" x14ac:dyDescent="0.25">
      <c r="A153" s="203">
        <v>25</v>
      </c>
      <c r="B153" s="205" t="s">
        <v>2177</v>
      </c>
      <c r="C153" s="205" t="s">
        <v>40</v>
      </c>
      <c r="D153" s="205" t="s">
        <v>2178</v>
      </c>
      <c r="E153" s="205" t="s">
        <v>61</v>
      </c>
      <c r="F153" s="206" t="s">
        <v>2179</v>
      </c>
      <c r="G153" s="205" t="s">
        <v>42</v>
      </c>
      <c r="H153" s="211">
        <v>500</v>
      </c>
      <c r="I153" s="234">
        <v>150</v>
      </c>
      <c r="J153" s="205" t="s">
        <v>179</v>
      </c>
      <c r="K153" s="205" t="s">
        <v>43</v>
      </c>
      <c r="M153">
        <f t="shared" si="0"/>
        <v>100</v>
      </c>
      <c r="P153" s="57"/>
    </row>
    <row r="154" spans="1:16" x14ac:dyDescent="0.25">
      <c r="A154" s="203">
        <v>25</v>
      </c>
      <c r="B154" s="205" t="s">
        <v>2180</v>
      </c>
      <c r="C154" s="205" t="s">
        <v>40</v>
      </c>
      <c r="D154" s="205" t="s">
        <v>2181</v>
      </c>
      <c r="E154" s="205" t="s">
        <v>46</v>
      </c>
      <c r="F154" s="206" t="s">
        <v>2182</v>
      </c>
      <c r="G154" s="205" t="s">
        <v>42</v>
      </c>
      <c r="H154" s="211">
        <v>2000</v>
      </c>
      <c r="I154" s="234">
        <v>400</v>
      </c>
      <c r="J154" s="205" t="s">
        <v>179</v>
      </c>
      <c r="K154" s="205" t="s">
        <v>43</v>
      </c>
      <c r="M154">
        <f t="shared" si="0"/>
        <v>400</v>
      </c>
      <c r="P154" s="57"/>
    </row>
    <row r="155" spans="1:16" x14ac:dyDescent="0.25">
      <c r="A155" s="203">
        <v>25</v>
      </c>
      <c r="B155" s="205" t="s">
        <v>2183</v>
      </c>
      <c r="C155" s="205" t="s">
        <v>40</v>
      </c>
      <c r="D155" s="205" t="s">
        <v>144</v>
      </c>
      <c r="E155" s="205" t="s">
        <v>47</v>
      </c>
      <c r="F155" s="206" t="s">
        <v>2184</v>
      </c>
      <c r="G155" s="205" t="s">
        <v>42</v>
      </c>
      <c r="H155" s="211">
        <v>1500</v>
      </c>
      <c r="I155" s="234">
        <v>300</v>
      </c>
      <c r="J155" s="205" t="s">
        <v>179</v>
      </c>
      <c r="K155" s="205" t="s">
        <v>43</v>
      </c>
      <c r="M155">
        <f t="shared" si="0"/>
        <v>300</v>
      </c>
      <c r="P155" s="57"/>
    </row>
    <row r="156" spans="1:16" x14ac:dyDescent="0.25">
      <c r="A156" s="203">
        <v>25</v>
      </c>
      <c r="B156" s="205" t="s">
        <v>2185</v>
      </c>
      <c r="C156" s="205" t="s">
        <v>40</v>
      </c>
      <c r="D156" s="205" t="s">
        <v>501</v>
      </c>
      <c r="E156" s="205" t="s">
        <v>44</v>
      </c>
      <c r="F156" s="206"/>
      <c r="G156" s="205" t="s">
        <v>42</v>
      </c>
      <c r="H156" s="211">
        <v>1000</v>
      </c>
      <c r="I156" s="234">
        <v>200</v>
      </c>
      <c r="J156" s="205" t="s">
        <v>179</v>
      </c>
      <c r="K156" s="205" t="s">
        <v>43</v>
      </c>
      <c r="M156">
        <f t="shared" si="0"/>
        <v>200</v>
      </c>
      <c r="P156" s="57"/>
    </row>
    <row r="157" spans="1:16" x14ac:dyDescent="0.25">
      <c r="A157" s="203">
        <v>25</v>
      </c>
      <c r="B157" s="205" t="s">
        <v>2185</v>
      </c>
      <c r="C157" s="205" t="s">
        <v>40</v>
      </c>
      <c r="D157" s="205" t="s">
        <v>501</v>
      </c>
      <c r="E157" s="205" t="s">
        <v>44</v>
      </c>
      <c r="F157" s="206"/>
      <c r="G157" s="205" t="s">
        <v>163</v>
      </c>
      <c r="H157" s="211">
        <v>100</v>
      </c>
      <c r="I157" s="234">
        <v>100</v>
      </c>
      <c r="J157" s="205" t="s">
        <v>179</v>
      </c>
      <c r="K157" s="205" t="s">
        <v>43</v>
      </c>
      <c r="M157">
        <f t="shared" si="0"/>
        <v>20</v>
      </c>
      <c r="P157" s="57"/>
    </row>
    <row r="158" spans="1:16" x14ac:dyDescent="0.25">
      <c r="A158" s="203">
        <v>25</v>
      </c>
      <c r="B158" s="205" t="s">
        <v>2186</v>
      </c>
      <c r="C158" s="205" t="s">
        <v>40</v>
      </c>
      <c r="D158" s="205" t="s">
        <v>266</v>
      </c>
      <c r="E158" s="205" t="s">
        <v>56</v>
      </c>
      <c r="F158" s="206" t="s">
        <v>2187</v>
      </c>
      <c r="G158" s="205" t="s">
        <v>42</v>
      </c>
      <c r="H158" s="211">
        <v>1500</v>
      </c>
      <c r="I158" s="234">
        <v>300</v>
      </c>
      <c r="J158" s="205" t="s">
        <v>179</v>
      </c>
      <c r="K158" s="205" t="s">
        <v>43</v>
      </c>
      <c r="M158">
        <f t="shared" si="0"/>
        <v>300</v>
      </c>
      <c r="P158" s="57"/>
    </row>
    <row r="159" spans="1:16" x14ac:dyDescent="0.25">
      <c r="A159" s="203">
        <v>25</v>
      </c>
      <c r="B159" s="205" t="s">
        <v>2188</v>
      </c>
      <c r="C159" s="205" t="s">
        <v>40</v>
      </c>
      <c r="D159" s="205" t="s">
        <v>144</v>
      </c>
      <c r="E159" s="205" t="s">
        <v>61</v>
      </c>
      <c r="F159" s="206" t="s">
        <v>2189</v>
      </c>
      <c r="G159" s="205" t="s">
        <v>42</v>
      </c>
      <c r="H159" s="211">
        <v>750</v>
      </c>
      <c r="I159" s="234">
        <v>150</v>
      </c>
      <c r="J159" s="205" t="s">
        <v>179</v>
      </c>
      <c r="K159" s="205" t="s">
        <v>43</v>
      </c>
      <c r="M159">
        <f t="shared" si="0"/>
        <v>150</v>
      </c>
      <c r="P159" s="57"/>
    </row>
    <row r="160" spans="1:16" x14ac:dyDescent="0.25">
      <c r="A160" s="203">
        <v>25</v>
      </c>
      <c r="B160" s="205" t="s">
        <v>1102</v>
      </c>
      <c r="C160" s="205" t="s">
        <v>48</v>
      </c>
      <c r="D160" s="205" t="s">
        <v>141</v>
      </c>
      <c r="E160" s="205" t="s">
        <v>45</v>
      </c>
      <c r="F160" s="206" t="s">
        <v>2190</v>
      </c>
      <c r="G160" s="205" t="s">
        <v>42</v>
      </c>
      <c r="H160" s="211">
        <v>600</v>
      </c>
      <c r="I160" s="234">
        <v>120</v>
      </c>
      <c r="J160" s="205" t="s">
        <v>179</v>
      </c>
      <c r="K160" s="205" t="s">
        <v>43</v>
      </c>
      <c r="M160">
        <f t="shared" si="0"/>
        <v>120</v>
      </c>
      <c r="P160" s="57"/>
    </row>
    <row r="161" spans="1:16" x14ac:dyDescent="0.25">
      <c r="A161" s="203">
        <v>25</v>
      </c>
      <c r="B161" s="205" t="s">
        <v>2191</v>
      </c>
      <c r="C161" s="205" t="s">
        <v>40</v>
      </c>
      <c r="D161" s="205" t="s">
        <v>883</v>
      </c>
      <c r="E161" s="205" t="s">
        <v>60</v>
      </c>
      <c r="F161" s="206" t="s">
        <v>2192</v>
      </c>
      <c r="G161" s="205" t="s">
        <v>42</v>
      </c>
      <c r="H161" s="211">
        <v>1500</v>
      </c>
      <c r="I161" s="234">
        <v>300</v>
      </c>
      <c r="J161" s="205" t="s">
        <v>179</v>
      </c>
      <c r="K161" s="205" t="s">
        <v>43</v>
      </c>
      <c r="M161">
        <f t="shared" si="0"/>
        <v>300</v>
      </c>
      <c r="P161" s="57"/>
    </row>
    <row r="162" spans="1:16" x14ac:dyDescent="0.25">
      <c r="A162" s="203">
        <v>25</v>
      </c>
      <c r="B162" s="205" t="s">
        <v>2193</v>
      </c>
      <c r="C162" s="205" t="s">
        <v>40</v>
      </c>
      <c r="D162" s="205" t="s">
        <v>1944</v>
      </c>
      <c r="E162" s="205" t="s">
        <v>50</v>
      </c>
      <c r="F162" s="206" t="s">
        <v>2194</v>
      </c>
      <c r="G162" s="205" t="s">
        <v>163</v>
      </c>
      <c r="H162" s="211">
        <v>300</v>
      </c>
      <c r="I162" s="234">
        <v>300</v>
      </c>
      <c r="J162" s="205" t="s">
        <v>179</v>
      </c>
      <c r="K162" s="205" t="s">
        <v>43</v>
      </c>
      <c r="M162">
        <f t="shared" si="0"/>
        <v>60</v>
      </c>
      <c r="P162" s="57"/>
    </row>
    <row r="163" spans="1:16" x14ac:dyDescent="0.25">
      <c r="A163" s="203">
        <v>25</v>
      </c>
      <c r="B163" s="205" t="s">
        <v>2195</v>
      </c>
      <c r="C163" s="205" t="s">
        <v>40</v>
      </c>
      <c r="D163" s="205" t="s">
        <v>60</v>
      </c>
      <c r="E163" s="205" t="s">
        <v>50</v>
      </c>
      <c r="F163" s="206" t="s">
        <v>2196</v>
      </c>
      <c r="G163" s="205" t="s">
        <v>42</v>
      </c>
      <c r="H163" s="211">
        <v>200</v>
      </c>
      <c r="I163" s="234">
        <v>60</v>
      </c>
      <c r="J163" s="205" t="s">
        <v>179</v>
      </c>
      <c r="K163" s="205" t="s">
        <v>43</v>
      </c>
      <c r="M163">
        <f t="shared" si="0"/>
        <v>40</v>
      </c>
      <c r="P163" s="57"/>
    </row>
    <row r="164" spans="1:16" x14ac:dyDescent="0.25">
      <c r="A164" s="203">
        <v>25</v>
      </c>
      <c r="B164" s="205" t="s">
        <v>2197</v>
      </c>
      <c r="C164" s="205" t="s">
        <v>40</v>
      </c>
      <c r="D164" s="205" t="s">
        <v>927</v>
      </c>
      <c r="E164" s="205" t="s">
        <v>57</v>
      </c>
      <c r="F164" s="206"/>
      <c r="G164" s="205" t="s">
        <v>42</v>
      </c>
      <c r="H164" s="211">
        <v>500</v>
      </c>
      <c r="I164" s="234">
        <v>100</v>
      </c>
      <c r="J164" s="205" t="s">
        <v>179</v>
      </c>
      <c r="K164" s="205" t="s">
        <v>43</v>
      </c>
      <c r="M164">
        <f t="shared" si="0"/>
        <v>100</v>
      </c>
      <c r="P164" s="57"/>
    </row>
    <row r="165" spans="1:16" x14ac:dyDescent="0.25">
      <c r="A165" s="203">
        <v>25</v>
      </c>
      <c r="B165" s="205" t="s">
        <v>2198</v>
      </c>
      <c r="C165" s="205" t="s">
        <v>48</v>
      </c>
      <c r="D165" s="205" t="s">
        <v>2199</v>
      </c>
      <c r="E165" s="205" t="s">
        <v>53</v>
      </c>
      <c r="F165" s="206" t="s">
        <v>2200</v>
      </c>
      <c r="G165" s="205" t="s">
        <v>163</v>
      </c>
      <c r="H165" s="211">
        <v>300</v>
      </c>
      <c r="I165" s="234">
        <v>300</v>
      </c>
      <c r="J165" s="205" t="s">
        <v>179</v>
      </c>
      <c r="K165" s="205" t="s">
        <v>43</v>
      </c>
      <c r="M165">
        <f t="shared" si="0"/>
        <v>60</v>
      </c>
      <c r="P165" s="57"/>
    </row>
    <row r="166" spans="1:16" x14ac:dyDescent="0.25">
      <c r="A166" s="203">
        <v>25</v>
      </c>
      <c r="B166" s="205" t="s">
        <v>2198</v>
      </c>
      <c r="C166" s="205" t="s">
        <v>48</v>
      </c>
      <c r="D166" s="205" t="s">
        <v>2199</v>
      </c>
      <c r="E166" s="205" t="s">
        <v>53</v>
      </c>
      <c r="F166" s="206" t="s">
        <v>2200</v>
      </c>
      <c r="G166" s="205" t="s">
        <v>162</v>
      </c>
      <c r="H166" s="211">
        <v>90</v>
      </c>
      <c r="I166" s="234">
        <v>450</v>
      </c>
      <c r="J166" s="205" t="s">
        <v>179</v>
      </c>
      <c r="K166" s="205" t="s">
        <v>43</v>
      </c>
      <c r="M166">
        <f t="shared" si="0"/>
        <v>18</v>
      </c>
      <c r="P166" s="57"/>
    </row>
    <row r="167" spans="1:16" x14ac:dyDescent="0.25">
      <c r="A167" s="203">
        <v>25</v>
      </c>
      <c r="B167" s="205" t="s">
        <v>1992</v>
      </c>
      <c r="C167" s="205" t="s">
        <v>40</v>
      </c>
      <c r="D167" s="205" t="s">
        <v>1993</v>
      </c>
      <c r="E167" s="205" t="s">
        <v>50</v>
      </c>
      <c r="F167" s="206" t="s">
        <v>2201</v>
      </c>
      <c r="G167" s="205" t="s">
        <v>42</v>
      </c>
      <c r="H167" s="211">
        <v>500</v>
      </c>
      <c r="I167" s="234">
        <v>150</v>
      </c>
      <c r="J167" s="205" t="s">
        <v>179</v>
      </c>
      <c r="K167" s="205" t="s">
        <v>43</v>
      </c>
      <c r="M167">
        <f t="shared" si="0"/>
        <v>100</v>
      </c>
      <c r="P167" s="57"/>
    </row>
    <row r="168" spans="1:16" x14ac:dyDescent="0.25">
      <c r="A168" s="203">
        <v>25</v>
      </c>
      <c r="B168" s="205" t="s">
        <v>1992</v>
      </c>
      <c r="C168" s="205" t="s">
        <v>40</v>
      </c>
      <c r="D168" s="205" t="s">
        <v>1993</v>
      </c>
      <c r="E168" s="205" t="s">
        <v>50</v>
      </c>
      <c r="F168" s="206" t="s">
        <v>2201</v>
      </c>
      <c r="G168" s="205" t="s">
        <v>42</v>
      </c>
      <c r="H168" s="211">
        <v>2500</v>
      </c>
      <c r="I168" s="234">
        <v>500</v>
      </c>
      <c r="J168" s="205" t="s">
        <v>179</v>
      </c>
      <c r="K168" s="205" t="s">
        <v>43</v>
      </c>
      <c r="M168">
        <f t="shared" si="0"/>
        <v>500</v>
      </c>
      <c r="P168" s="57"/>
    </row>
    <row r="169" spans="1:16" x14ac:dyDescent="0.25">
      <c r="A169" s="203">
        <v>25</v>
      </c>
      <c r="B169" s="205" t="s">
        <v>2202</v>
      </c>
      <c r="C169" s="205" t="s">
        <v>40</v>
      </c>
      <c r="D169" s="205" t="s">
        <v>2203</v>
      </c>
      <c r="E169" s="205" t="s">
        <v>57</v>
      </c>
      <c r="F169" s="206"/>
      <c r="G169" s="205" t="s">
        <v>42</v>
      </c>
      <c r="H169" s="211">
        <v>1000</v>
      </c>
      <c r="I169" s="234">
        <v>200</v>
      </c>
      <c r="J169" s="205" t="s">
        <v>179</v>
      </c>
      <c r="K169" s="205" t="s">
        <v>43</v>
      </c>
      <c r="M169">
        <f t="shared" si="0"/>
        <v>200</v>
      </c>
      <c r="P169" s="57"/>
    </row>
    <row r="170" spans="1:16" x14ac:dyDescent="0.25">
      <c r="A170" s="203">
        <v>25</v>
      </c>
      <c r="B170" s="205" t="s">
        <v>2204</v>
      </c>
      <c r="C170" s="205" t="s">
        <v>48</v>
      </c>
      <c r="D170" s="205" t="s">
        <v>425</v>
      </c>
      <c r="E170" s="205" t="s">
        <v>57</v>
      </c>
      <c r="F170" s="206"/>
      <c r="G170" s="205" t="s">
        <v>42</v>
      </c>
      <c r="H170" s="211">
        <v>3000</v>
      </c>
      <c r="I170" s="234">
        <v>900</v>
      </c>
      <c r="J170" s="205" t="s">
        <v>179</v>
      </c>
      <c r="K170" s="205" t="s">
        <v>43</v>
      </c>
      <c r="M170">
        <f t="shared" si="0"/>
        <v>600</v>
      </c>
      <c r="P170" s="57"/>
    </row>
    <row r="171" spans="1:16" x14ac:dyDescent="0.25">
      <c r="A171" s="203">
        <v>25</v>
      </c>
      <c r="B171" s="205" t="s">
        <v>2205</v>
      </c>
      <c r="C171" s="205" t="s">
        <v>40</v>
      </c>
      <c r="D171" s="205" t="s">
        <v>1036</v>
      </c>
      <c r="E171" s="205" t="s">
        <v>60</v>
      </c>
      <c r="F171" s="206"/>
      <c r="G171" s="205" t="s">
        <v>42</v>
      </c>
      <c r="H171" s="211">
        <v>1000</v>
      </c>
      <c r="I171" s="234">
        <v>200</v>
      </c>
      <c r="J171" s="205" t="s">
        <v>179</v>
      </c>
      <c r="K171" s="205" t="s">
        <v>43</v>
      </c>
      <c r="M171">
        <f t="shared" si="0"/>
        <v>200</v>
      </c>
      <c r="P171" s="57"/>
    </row>
    <row r="172" spans="1:16" x14ac:dyDescent="0.25">
      <c r="A172" s="203">
        <v>25</v>
      </c>
      <c r="B172" s="205" t="s">
        <v>2206</v>
      </c>
      <c r="C172" s="205" t="s">
        <v>40</v>
      </c>
      <c r="D172" s="205" t="s">
        <v>890</v>
      </c>
      <c r="E172" s="205" t="s">
        <v>60</v>
      </c>
      <c r="F172" s="206"/>
      <c r="G172" s="205" t="s">
        <v>42</v>
      </c>
      <c r="H172" s="211">
        <v>2000</v>
      </c>
      <c r="I172" s="234">
        <v>600</v>
      </c>
      <c r="J172" s="205" t="s">
        <v>179</v>
      </c>
      <c r="K172" s="205" t="s">
        <v>43</v>
      </c>
      <c r="M172">
        <f t="shared" si="0"/>
        <v>400</v>
      </c>
      <c r="P172" s="57"/>
    </row>
    <row r="173" spans="1:16" x14ac:dyDescent="0.25">
      <c r="A173" s="203">
        <v>25</v>
      </c>
      <c r="B173" s="205" t="s">
        <v>1102</v>
      </c>
      <c r="C173" s="205" t="s">
        <v>48</v>
      </c>
      <c r="D173" s="205" t="s">
        <v>141</v>
      </c>
      <c r="E173" s="205" t="s">
        <v>45</v>
      </c>
      <c r="F173" s="206"/>
      <c r="G173" s="205" t="s">
        <v>42</v>
      </c>
      <c r="H173" s="211">
        <v>2000</v>
      </c>
      <c r="I173" s="234">
        <v>600</v>
      </c>
      <c r="J173" s="205" t="s">
        <v>179</v>
      </c>
      <c r="K173" s="205" t="s">
        <v>43</v>
      </c>
      <c r="M173">
        <f t="shared" si="0"/>
        <v>400</v>
      </c>
      <c r="P173" s="57"/>
    </row>
    <row r="174" spans="1:16" x14ac:dyDescent="0.25">
      <c r="A174" s="203">
        <v>25</v>
      </c>
      <c r="B174" s="205" t="s">
        <v>1724</v>
      </c>
      <c r="C174" s="205" t="s">
        <v>40</v>
      </c>
      <c r="D174" s="205" t="s">
        <v>1644</v>
      </c>
      <c r="E174" s="205" t="s">
        <v>46</v>
      </c>
      <c r="F174" s="206" t="s">
        <v>1726</v>
      </c>
      <c r="G174" s="205" t="s">
        <v>42</v>
      </c>
      <c r="H174" s="211">
        <v>4000</v>
      </c>
      <c r="I174" s="234">
        <v>1200</v>
      </c>
      <c r="J174" s="205" t="s">
        <v>179</v>
      </c>
      <c r="K174" s="205" t="s">
        <v>43</v>
      </c>
      <c r="M174">
        <f t="shared" si="0"/>
        <v>800</v>
      </c>
      <c r="P174" s="57"/>
    </row>
    <row r="175" spans="1:16" x14ac:dyDescent="0.25">
      <c r="A175" s="203">
        <v>26</v>
      </c>
      <c r="B175" s="205" t="s">
        <v>2211</v>
      </c>
      <c r="C175" s="205" t="s">
        <v>40</v>
      </c>
      <c r="D175" s="205" t="s">
        <v>380</v>
      </c>
      <c r="E175" s="205" t="s">
        <v>45</v>
      </c>
      <c r="F175" s="206" t="s">
        <v>2212</v>
      </c>
      <c r="G175" s="205" t="s">
        <v>42</v>
      </c>
      <c r="H175" s="211">
        <v>600</v>
      </c>
      <c r="I175" s="234">
        <v>120</v>
      </c>
      <c r="J175" s="205" t="s">
        <v>179</v>
      </c>
      <c r="K175" s="205" t="s">
        <v>43</v>
      </c>
      <c r="M175">
        <f t="shared" si="0"/>
        <v>120</v>
      </c>
      <c r="P175" s="57"/>
    </row>
    <row r="176" spans="1:16" x14ac:dyDescent="0.25">
      <c r="A176" s="203">
        <v>26</v>
      </c>
      <c r="B176" s="205" t="s">
        <v>2213</v>
      </c>
      <c r="C176" s="205" t="s">
        <v>40</v>
      </c>
      <c r="D176" s="205" t="s">
        <v>1455</v>
      </c>
      <c r="E176" s="205" t="s">
        <v>59</v>
      </c>
      <c r="F176" s="206" t="s">
        <v>2214</v>
      </c>
      <c r="G176" s="205" t="s">
        <v>42</v>
      </c>
      <c r="H176" s="211">
        <v>1950</v>
      </c>
      <c r="I176" s="234">
        <v>390</v>
      </c>
      <c r="J176" s="205" t="s">
        <v>179</v>
      </c>
      <c r="K176" s="205" t="s">
        <v>43</v>
      </c>
      <c r="L176" s="375">
        <v>105</v>
      </c>
      <c r="M176">
        <f t="shared" si="0"/>
        <v>390</v>
      </c>
      <c r="P176" s="57"/>
    </row>
    <row r="177" spans="1:16" x14ac:dyDescent="0.25">
      <c r="A177" s="230"/>
      <c r="B177" s="79"/>
      <c r="C177" s="199"/>
      <c r="D177" s="199"/>
      <c r="E177" s="199"/>
      <c r="F177" s="200"/>
      <c r="G177" s="199"/>
      <c r="H177" s="209"/>
      <c r="I177" s="210"/>
      <c r="J177" s="199"/>
      <c r="K177" s="199"/>
      <c r="M177">
        <f>SUM(M12:M176)</f>
        <v>57685</v>
      </c>
    </row>
    <row r="178" spans="1:16" x14ac:dyDescent="0.25">
      <c r="A178" s="324"/>
    </row>
    <row r="179" spans="1:16" x14ac:dyDescent="0.25">
      <c r="A179" s="324"/>
    </row>
    <row r="180" spans="1:16" x14ac:dyDescent="0.25">
      <c r="I180" s="92" t="s">
        <v>19</v>
      </c>
      <c r="J180" s="26"/>
    </row>
    <row r="181" spans="1:16" ht="16.5" customHeight="1" x14ac:dyDescent="0.25">
      <c r="B181" t="s">
        <v>20</v>
      </c>
      <c r="E181" t="s">
        <v>21</v>
      </c>
      <c r="I181" s="81" t="s">
        <v>114</v>
      </c>
      <c r="J181" s="97">
        <v>145</v>
      </c>
      <c r="P181" s="25"/>
    </row>
    <row r="182" spans="1:16" x14ac:dyDescent="0.25">
      <c r="I182" s="81" t="s">
        <v>115</v>
      </c>
      <c r="J182" s="97"/>
      <c r="K182" s="57"/>
      <c r="P182" s="57">
        <f>5950+J187</f>
        <v>45270</v>
      </c>
    </row>
    <row r="183" spans="1:16" x14ac:dyDescent="0.25">
      <c r="I183" s="81" t="s">
        <v>165</v>
      </c>
      <c r="J183" s="99">
        <v>237050</v>
      </c>
      <c r="K183" s="57"/>
      <c r="N183" s="25"/>
      <c r="P183" s="25"/>
    </row>
    <row r="184" spans="1:16" x14ac:dyDescent="0.25">
      <c r="I184" s="81" t="s">
        <v>567</v>
      </c>
      <c r="J184" s="99">
        <v>950</v>
      </c>
      <c r="P184" s="57"/>
    </row>
    <row r="185" spans="1:16" x14ac:dyDescent="0.25">
      <c r="B185" s="93" t="s">
        <v>538</v>
      </c>
      <c r="E185" s="533" t="s">
        <v>941</v>
      </c>
      <c r="F185" s="533"/>
      <c r="G185" s="533"/>
      <c r="H185" s="533"/>
      <c r="I185" s="81" t="s">
        <v>116</v>
      </c>
      <c r="J185" s="99">
        <v>530</v>
      </c>
      <c r="P185" s="57"/>
    </row>
    <row r="186" spans="1:16" x14ac:dyDescent="0.25">
      <c r="B186" t="s">
        <v>183</v>
      </c>
      <c r="E186" s="522" t="s">
        <v>942</v>
      </c>
      <c r="F186" s="522"/>
      <c r="G186" s="522"/>
      <c r="H186" s="522"/>
      <c r="I186" s="81" t="s">
        <v>117</v>
      </c>
      <c r="J186" s="99">
        <v>575</v>
      </c>
      <c r="P186" s="57"/>
    </row>
    <row r="187" spans="1:16" x14ac:dyDescent="0.25">
      <c r="I187" s="81" t="s">
        <v>119</v>
      </c>
      <c r="J187" s="99">
        <v>39320</v>
      </c>
      <c r="P187" s="25"/>
    </row>
    <row r="188" spans="1:16" x14ac:dyDescent="0.25">
      <c r="I188" s="94" t="s">
        <v>113</v>
      </c>
      <c r="J188" s="97"/>
    </row>
    <row r="189" spans="1:16" x14ac:dyDescent="0.25">
      <c r="I189" s="81" t="s">
        <v>23</v>
      </c>
      <c r="J189" s="323"/>
    </row>
    <row r="190" spans="1:16" x14ac:dyDescent="0.25">
      <c r="I190" s="95" t="s">
        <v>111</v>
      </c>
      <c r="J190" s="99"/>
    </row>
    <row r="191" spans="1:16" x14ac:dyDescent="0.25">
      <c r="B191" s="27"/>
      <c r="E191" s="27"/>
      <c r="F191" s="27"/>
      <c r="G191" s="27"/>
      <c r="I191" s="95" t="s">
        <v>112</v>
      </c>
      <c r="J191" s="58"/>
    </row>
    <row r="192" spans="1:16" x14ac:dyDescent="0.25">
      <c r="I192" s="81"/>
      <c r="J192" s="26"/>
    </row>
    <row r="193" spans="9:10" x14ac:dyDescent="0.25">
      <c r="I193" s="81"/>
      <c r="J193" s="26"/>
    </row>
    <row r="194" spans="9:10" x14ac:dyDescent="0.25">
      <c r="I194" s="81"/>
      <c r="J194" s="58"/>
    </row>
    <row r="195" spans="9:10" x14ac:dyDescent="0.25">
      <c r="I195" s="81"/>
      <c r="J195" s="58"/>
    </row>
    <row r="215" spans="12:12" x14ac:dyDescent="0.25">
      <c r="L215" s="25"/>
    </row>
    <row r="238" spans="12:12" x14ac:dyDescent="0.25">
      <c r="L238" s="25"/>
    </row>
    <row r="365" spans="12:12" x14ac:dyDescent="0.25">
      <c r="L365" s="25"/>
    </row>
  </sheetData>
  <mergeCells count="8">
    <mergeCell ref="E185:H185"/>
    <mergeCell ref="E186:H186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8947-65A4-482A-A471-0BC48B959FE7}">
  <sheetPr>
    <tabColor theme="5"/>
  </sheetPr>
  <dimension ref="A1:O32"/>
  <sheetViews>
    <sheetView view="pageBreakPreview" topLeftCell="A8" zoomScale="96" zoomScaleNormal="100" zoomScaleSheetLayoutView="96" workbookViewId="0">
      <selection activeCell="J15" sqref="J15:L16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6.7109375" customWidth="1"/>
    <col min="9" max="9" width="19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</row>
    <row r="2" spans="1:15" ht="18" x14ac:dyDescent="0.25">
      <c r="A2" s="524" t="s">
        <v>1681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</row>
    <row r="3" spans="1:15" x14ac:dyDescent="0.25">
      <c r="A3" s="183"/>
      <c r="B3" s="1"/>
      <c r="C3" s="28"/>
      <c r="D3" s="1"/>
      <c r="E3" s="1"/>
      <c r="G3" s="1"/>
      <c r="H3" s="28"/>
      <c r="I3" s="25"/>
      <c r="J3" s="29"/>
      <c r="K3" s="526" t="s">
        <v>1882</v>
      </c>
      <c r="L3" s="536"/>
    </row>
    <row r="4" spans="1:15" x14ac:dyDescent="0.25">
      <c r="A4" s="183"/>
      <c r="B4" s="1"/>
      <c r="C4" s="28"/>
      <c r="D4" s="1"/>
      <c r="E4" s="1"/>
      <c r="G4" s="1"/>
      <c r="H4" s="28"/>
      <c r="I4" s="25"/>
      <c r="J4" s="29"/>
      <c r="K4" s="31" t="s">
        <v>37</v>
      </c>
      <c r="L4" s="100">
        <v>3</v>
      </c>
    </row>
    <row r="5" spans="1:15" x14ac:dyDescent="0.25">
      <c r="A5" s="183"/>
      <c r="B5" s="1"/>
      <c r="C5" s="28"/>
      <c r="D5" s="1"/>
      <c r="E5" s="1"/>
      <c r="G5" s="1"/>
      <c r="H5" s="28"/>
      <c r="I5" s="25"/>
      <c r="J5" s="29"/>
      <c r="K5" s="31" t="s">
        <v>38</v>
      </c>
      <c r="L5" s="100"/>
    </row>
    <row r="6" spans="1:15" ht="18" x14ac:dyDescent="0.25">
      <c r="A6" s="528" t="s">
        <v>122</v>
      </c>
      <c r="B6" s="528"/>
      <c r="C6" s="32"/>
      <c r="D6" s="1"/>
      <c r="E6" s="4"/>
      <c r="F6" s="2"/>
      <c r="G6" s="1"/>
      <c r="H6" s="28"/>
      <c r="I6" s="25"/>
      <c r="J6" s="29"/>
      <c r="K6" s="5" t="s">
        <v>39</v>
      </c>
      <c r="L6" s="33"/>
    </row>
    <row r="7" spans="1:15" x14ac:dyDescent="0.25">
      <c r="A7" s="6"/>
      <c r="B7" s="7"/>
      <c r="C7" s="34" t="s">
        <v>24</v>
      </c>
      <c r="D7" s="8"/>
      <c r="E7" s="8"/>
      <c r="F7" s="35" t="s">
        <v>25</v>
      </c>
      <c r="G7" s="34" t="s">
        <v>26</v>
      </c>
      <c r="H7" s="529" t="s">
        <v>27</v>
      </c>
      <c r="I7" s="530"/>
      <c r="J7" s="36"/>
      <c r="K7" s="531" t="s">
        <v>2</v>
      </c>
      <c r="L7" s="532"/>
    </row>
    <row r="8" spans="1:15" x14ac:dyDescent="0.25">
      <c r="A8" s="519" t="s">
        <v>28</v>
      </c>
      <c r="B8" s="520"/>
      <c r="C8" s="35" t="s">
        <v>29</v>
      </c>
      <c r="D8" s="184" t="s">
        <v>5</v>
      </c>
      <c r="E8" s="9" t="s">
        <v>6</v>
      </c>
      <c r="F8" s="35" t="s">
        <v>30</v>
      </c>
      <c r="G8" s="37" t="s">
        <v>31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7"/>
      <c r="B9" s="14"/>
      <c r="C9" s="35" t="s">
        <v>32</v>
      </c>
      <c r="D9" s="15"/>
      <c r="E9" s="14"/>
      <c r="F9" s="35" t="s">
        <v>33</v>
      </c>
      <c r="G9" s="37" t="s">
        <v>34</v>
      </c>
      <c r="H9" s="40" t="s">
        <v>11</v>
      </c>
      <c r="I9" s="39" t="s">
        <v>12</v>
      </c>
      <c r="J9" s="41"/>
      <c r="K9" s="184" t="s">
        <v>13</v>
      </c>
      <c r="L9" s="184" t="s">
        <v>14</v>
      </c>
    </row>
    <row r="10" spans="1:15" x14ac:dyDescent="0.25">
      <c r="A10" s="18"/>
      <c r="B10" s="19"/>
      <c r="C10" s="42"/>
      <c r="D10" s="20"/>
      <c r="E10" s="20"/>
      <c r="F10" s="43" t="s">
        <v>35</v>
      </c>
      <c r="G10" s="22"/>
      <c r="H10" s="44"/>
      <c r="I10" s="45" t="s">
        <v>36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ht="25.5" customHeight="1" x14ac:dyDescent="0.25">
      <c r="A12" s="219">
        <v>3</v>
      </c>
      <c r="B12" s="220" t="s">
        <v>1802</v>
      </c>
      <c r="C12" s="49"/>
      <c r="D12" s="220"/>
      <c r="E12" s="220" t="s">
        <v>59</v>
      </c>
      <c r="F12" s="223" t="s">
        <v>1803</v>
      </c>
      <c r="G12" s="220" t="s">
        <v>1804</v>
      </c>
      <c r="H12" s="325" t="s">
        <v>42</v>
      </c>
      <c r="I12" s="221">
        <v>16000</v>
      </c>
      <c r="J12" s="194" t="s">
        <v>255</v>
      </c>
      <c r="K12" s="79"/>
      <c r="L12" s="145" t="s">
        <v>43</v>
      </c>
    </row>
    <row r="13" spans="1:15" ht="34.5" customHeight="1" x14ac:dyDescent="0.25">
      <c r="A13" s="336">
        <v>11</v>
      </c>
      <c r="B13" s="220" t="s">
        <v>1851</v>
      </c>
      <c r="C13" s="49"/>
      <c r="D13" s="220" t="s">
        <v>562</v>
      </c>
      <c r="E13" s="220" t="s">
        <v>46</v>
      </c>
      <c r="F13" s="231" t="s">
        <v>1852</v>
      </c>
      <c r="G13" s="220" t="s">
        <v>1853</v>
      </c>
      <c r="H13" s="325" t="s">
        <v>1146</v>
      </c>
      <c r="I13" s="221">
        <v>1000</v>
      </c>
      <c r="J13" s="194" t="s">
        <v>255</v>
      </c>
      <c r="K13" s="79"/>
      <c r="L13" s="145" t="s">
        <v>43</v>
      </c>
    </row>
    <row r="14" spans="1:15" ht="21" customHeight="1" x14ac:dyDescent="0.25">
      <c r="A14" s="300">
        <v>17</v>
      </c>
      <c r="B14" s="238" t="s">
        <v>776</v>
      </c>
      <c r="C14" s="190"/>
      <c r="D14" s="239"/>
      <c r="E14" s="145"/>
      <c r="F14" s="240"/>
      <c r="G14" s="374" t="s">
        <v>778</v>
      </c>
      <c r="H14" s="192" t="s">
        <v>180</v>
      </c>
      <c r="I14" s="278">
        <v>10000</v>
      </c>
      <c r="J14" s="194" t="s">
        <v>255</v>
      </c>
      <c r="K14" s="79"/>
      <c r="L14" s="145" t="s">
        <v>43</v>
      </c>
      <c r="M14" s="132"/>
    </row>
    <row r="15" spans="1:15" ht="25.5" customHeight="1" x14ac:dyDescent="0.25">
      <c r="A15" s="300"/>
      <c r="B15" s="238"/>
      <c r="C15" s="190"/>
      <c r="D15" s="239"/>
      <c r="E15" s="145"/>
      <c r="F15" s="191"/>
      <c r="G15" s="145"/>
      <c r="H15" s="325"/>
      <c r="I15" s="242"/>
      <c r="J15" s="194"/>
      <c r="K15" s="79"/>
      <c r="L15" s="145"/>
      <c r="M15" s="132"/>
      <c r="O15" s="57"/>
    </row>
    <row r="16" spans="1:15" ht="30.75" customHeight="1" x14ac:dyDescent="0.25">
      <c r="A16" s="300"/>
      <c r="B16" s="238"/>
      <c r="C16" s="190"/>
      <c r="D16" s="239"/>
      <c r="E16" s="145"/>
      <c r="F16" s="191"/>
      <c r="G16" s="145"/>
      <c r="H16" s="344"/>
      <c r="I16" s="242"/>
      <c r="J16" s="194"/>
      <c r="K16" s="80"/>
      <c r="L16" s="282"/>
      <c r="O16" s="57"/>
    </row>
    <row r="17" spans="1:15" ht="16.5" customHeight="1" x14ac:dyDescent="0.25">
      <c r="A17" s="222"/>
      <c r="B17" s="179"/>
      <c r="C17" s="79"/>
      <c r="D17" s="79"/>
      <c r="E17" s="79"/>
      <c r="F17" s="223"/>
      <c r="G17" s="79"/>
      <c r="H17" s="224"/>
      <c r="I17" s="195"/>
      <c r="J17" s="225"/>
      <c r="K17" s="79"/>
      <c r="L17" s="79"/>
      <c r="O17" s="57"/>
    </row>
    <row r="18" spans="1:15" x14ac:dyDescent="0.25">
      <c r="A18" s="222"/>
      <c r="B18" s="79"/>
      <c r="C18" s="190"/>
      <c r="D18" s="79"/>
      <c r="E18" s="79"/>
      <c r="F18" s="223"/>
      <c r="G18" s="79"/>
      <c r="H18" s="107"/>
      <c r="I18" s="195"/>
      <c r="J18" s="190"/>
      <c r="K18" s="79"/>
      <c r="L18" s="79"/>
      <c r="O18" s="57"/>
    </row>
    <row r="19" spans="1:15" x14ac:dyDescent="0.25">
      <c r="I19" s="26"/>
      <c r="J19" s="26"/>
    </row>
    <row r="20" spans="1:15" x14ac:dyDescent="0.25">
      <c r="I20" s="51" t="s">
        <v>19</v>
      </c>
      <c r="J20" s="26"/>
    </row>
    <row r="21" spans="1:15" x14ac:dyDescent="0.25">
      <c r="I21" s="26" t="s">
        <v>114</v>
      </c>
      <c r="J21" s="26"/>
    </row>
    <row r="22" spans="1:15" x14ac:dyDescent="0.25">
      <c r="B22" t="s">
        <v>20</v>
      </c>
      <c r="E22" t="s">
        <v>21</v>
      </c>
      <c r="I22" s="26" t="s">
        <v>115</v>
      </c>
      <c r="J22" s="99">
        <v>2</v>
      </c>
    </row>
    <row r="23" spans="1:15" x14ac:dyDescent="0.25">
      <c r="I23" s="26" t="s">
        <v>184</v>
      </c>
      <c r="J23" s="99">
        <v>16000</v>
      </c>
    </row>
    <row r="24" spans="1:15" x14ac:dyDescent="0.25">
      <c r="I24" s="26" t="s">
        <v>589</v>
      </c>
      <c r="J24" s="99">
        <v>1000</v>
      </c>
    </row>
    <row r="25" spans="1:15" x14ac:dyDescent="0.25">
      <c r="I25" s="26" t="s">
        <v>1368</v>
      </c>
      <c r="J25" s="99"/>
    </row>
    <row r="26" spans="1:15" x14ac:dyDescent="0.25">
      <c r="I26" s="26" t="s">
        <v>116</v>
      </c>
      <c r="J26" s="99">
        <v>10000</v>
      </c>
    </row>
    <row r="27" spans="1:15" x14ac:dyDescent="0.25">
      <c r="I27" s="26" t="s">
        <v>118</v>
      </c>
      <c r="J27" s="97"/>
    </row>
    <row r="28" spans="1:15" x14ac:dyDescent="0.25">
      <c r="B28" s="27" t="s">
        <v>538</v>
      </c>
      <c r="E28" s="521" t="s">
        <v>941</v>
      </c>
      <c r="F28" s="521"/>
      <c r="G28" s="521"/>
      <c r="H28" s="521"/>
      <c r="I28" s="26" t="s">
        <v>119</v>
      </c>
      <c r="J28" s="99"/>
      <c r="L28" s="57"/>
    </row>
    <row r="29" spans="1:15" x14ac:dyDescent="0.25">
      <c r="B29" t="s">
        <v>183</v>
      </c>
      <c r="E29" s="522" t="s">
        <v>942</v>
      </c>
      <c r="F29" s="522"/>
      <c r="G29" s="522"/>
      <c r="H29" s="522"/>
      <c r="I29" s="26" t="s">
        <v>120</v>
      </c>
      <c r="J29" s="97"/>
      <c r="L29" s="57"/>
    </row>
    <row r="30" spans="1:15" x14ac:dyDescent="0.25">
      <c r="I30" s="26" t="s">
        <v>23</v>
      </c>
      <c r="J30" s="98"/>
    </row>
    <row r="31" spans="1:15" x14ac:dyDescent="0.25">
      <c r="I31" s="3" t="s">
        <v>121</v>
      </c>
      <c r="J31" s="99"/>
    </row>
    <row r="32" spans="1:15" x14ac:dyDescent="0.25">
      <c r="I32" s="3" t="s">
        <v>91</v>
      </c>
      <c r="J32" s="99"/>
    </row>
  </sheetData>
  <mergeCells count="9">
    <mergeCell ref="A8:B8"/>
    <mergeCell ref="E28:H28"/>
    <mergeCell ref="E29:H29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B343-F014-423A-AA9A-927D2733ACC4}">
  <sheetPr>
    <tabColor theme="5"/>
  </sheetPr>
  <dimension ref="A1:Q393"/>
  <sheetViews>
    <sheetView view="pageBreakPreview" topLeftCell="A190" zoomScale="106" zoomScaleNormal="100" zoomScaleSheetLayoutView="106" workbookViewId="0">
      <selection activeCell="P3" sqref="P3"/>
    </sheetView>
  </sheetViews>
  <sheetFormatPr defaultRowHeight="15" x14ac:dyDescent="0.25"/>
  <cols>
    <col min="1" max="1" width="4.7109375" style="183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91" customWidth="1"/>
    <col min="10" max="10" width="9.5703125" customWidth="1"/>
    <col min="11" max="11" width="17.85546875" customWidth="1"/>
    <col min="15" max="15" width="11.140625" customWidth="1"/>
    <col min="16" max="16" width="20" customWidth="1"/>
  </cols>
  <sheetData>
    <row r="1" spans="1:17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</row>
    <row r="2" spans="1:17" ht="18" x14ac:dyDescent="0.25">
      <c r="A2" s="524" t="s">
        <v>1681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</row>
    <row r="3" spans="1:17" x14ac:dyDescent="0.25">
      <c r="B3" s="1"/>
      <c r="C3" s="3"/>
      <c r="D3" s="1"/>
      <c r="E3" s="1"/>
      <c r="G3" s="3"/>
      <c r="H3" s="67"/>
      <c r="I3" s="81"/>
      <c r="J3" s="82" t="s">
        <v>1947</v>
      </c>
      <c r="K3" s="83"/>
      <c r="P3" s="448">
        <f>SUM(I12:I59,I61:I71,I76:I103,I105:I122,I124:I127,I129:I161,I163:I177,I180:I188,I190:I193,I195:I204)</f>
        <v>99872</v>
      </c>
    </row>
    <row r="4" spans="1:17" x14ac:dyDescent="0.25">
      <c r="B4" s="1"/>
      <c r="C4" s="3"/>
      <c r="D4" s="1"/>
      <c r="E4" s="1"/>
      <c r="G4" s="3"/>
      <c r="H4" s="67"/>
      <c r="I4" s="84"/>
      <c r="J4" s="76" t="s">
        <v>93</v>
      </c>
      <c r="K4" s="96">
        <v>138</v>
      </c>
    </row>
    <row r="5" spans="1:17" x14ac:dyDescent="0.25">
      <c r="B5" s="1"/>
      <c r="C5" s="3"/>
      <c r="D5" s="1"/>
      <c r="E5" s="1"/>
      <c r="G5" s="3"/>
      <c r="H5" s="67"/>
      <c r="I5" s="84"/>
      <c r="J5" s="76" t="s">
        <v>95</v>
      </c>
      <c r="K5" s="96">
        <v>26</v>
      </c>
    </row>
    <row r="6" spans="1:17" x14ac:dyDescent="0.25">
      <c r="A6" s="534" t="s">
        <v>123</v>
      </c>
      <c r="B6" s="534"/>
      <c r="C6" s="3"/>
      <c r="D6" s="1"/>
      <c r="E6" s="4"/>
      <c r="G6" s="3"/>
      <c r="H6" s="67"/>
      <c r="I6" s="81"/>
      <c r="J6" s="80" t="s">
        <v>1948</v>
      </c>
      <c r="K6" s="85"/>
    </row>
    <row r="7" spans="1:17" x14ac:dyDescent="0.25">
      <c r="A7" s="6"/>
      <c r="B7" s="7"/>
      <c r="C7" s="64"/>
      <c r="D7" s="8"/>
      <c r="E7" s="8"/>
      <c r="F7" s="529" t="s">
        <v>1</v>
      </c>
      <c r="G7" s="535"/>
      <c r="H7" s="530"/>
      <c r="I7" s="86"/>
      <c r="J7" s="531" t="s">
        <v>2</v>
      </c>
      <c r="K7" s="532"/>
      <c r="P7" s="25"/>
    </row>
    <row r="8" spans="1:17" x14ac:dyDescent="0.25">
      <c r="A8" s="519" t="s">
        <v>3</v>
      </c>
      <c r="B8" s="520"/>
      <c r="C8" s="17" t="s">
        <v>4</v>
      </c>
      <c r="D8" s="184" t="s">
        <v>5</v>
      </c>
      <c r="E8" s="9" t="s">
        <v>6</v>
      </c>
      <c r="F8" s="10" t="s">
        <v>7</v>
      </c>
      <c r="G8" s="65"/>
      <c r="H8" s="11" t="s">
        <v>8</v>
      </c>
      <c r="I8" s="60" t="s">
        <v>9</v>
      </c>
      <c r="J8" s="77"/>
      <c r="K8" s="13"/>
    </row>
    <row r="9" spans="1:17" x14ac:dyDescent="0.25">
      <c r="A9" s="87"/>
      <c r="B9" s="14"/>
      <c r="C9" s="65"/>
      <c r="D9" s="15"/>
      <c r="E9" s="14"/>
      <c r="F9" s="16" t="s">
        <v>10</v>
      </c>
      <c r="G9" s="17" t="s">
        <v>11</v>
      </c>
      <c r="H9" s="11" t="s">
        <v>12</v>
      </c>
      <c r="I9" s="88"/>
      <c r="J9" s="184" t="s">
        <v>13</v>
      </c>
      <c r="K9" s="184" t="s">
        <v>14</v>
      </c>
      <c r="Q9" s="232"/>
    </row>
    <row r="10" spans="1:17" x14ac:dyDescent="0.25">
      <c r="A10" s="18"/>
      <c r="B10" s="19"/>
      <c r="C10" s="66"/>
      <c r="D10" s="20"/>
      <c r="E10" s="20"/>
      <c r="F10" s="21"/>
      <c r="G10" s="68"/>
      <c r="H10" s="69" t="s">
        <v>15</v>
      </c>
      <c r="I10" s="89"/>
      <c r="J10" s="21"/>
      <c r="K10" s="22" t="s">
        <v>16</v>
      </c>
      <c r="P10" s="232"/>
      <c r="Q10" s="232"/>
    </row>
    <row r="11" spans="1:17" x14ac:dyDescent="0.25">
      <c r="A11" s="47" t="s">
        <v>17</v>
      </c>
      <c r="B11" s="23"/>
      <c r="C11" s="23"/>
      <c r="D11" s="23"/>
      <c r="E11" s="23"/>
      <c r="F11" s="23"/>
      <c r="G11" s="23"/>
      <c r="H11" s="23"/>
      <c r="I11" s="61"/>
      <c r="J11" s="23"/>
      <c r="K11" s="23"/>
      <c r="O11" s="370" t="s">
        <v>1900</v>
      </c>
      <c r="P11" s="232"/>
      <c r="Q11" s="232"/>
    </row>
    <row r="12" spans="1:17" x14ac:dyDescent="0.25">
      <c r="A12" s="203">
        <v>1</v>
      </c>
      <c r="B12" s="205" t="s">
        <v>1682</v>
      </c>
      <c r="C12" s="205" t="s">
        <v>40</v>
      </c>
      <c r="D12" s="205" t="s">
        <v>63</v>
      </c>
      <c r="E12" s="205" t="s">
        <v>57</v>
      </c>
      <c r="F12" s="206"/>
      <c r="G12" s="208" t="s">
        <v>180</v>
      </c>
      <c r="H12" s="207">
        <v>340</v>
      </c>
      <c r="I12" s="204">
        <v>170</v>
      </c>
      <c r="J12" s="205" t="s">
        <v>1161</v>
      </c>
      <c r="K12" s="205" t="s">
        <v>43</v>
      </c>
      <c r="M12">
        <f t="shared" ref="M12:M204" si="0">H12/5</f>
        <v>68</v>
      </c>
      <c r="O12" s="356" t="s">
        <v>1146</v>
      </c>
      <c r="P12" s="232">
        <v>560</v>
      </c>
    </row>
    <row r="13" spans="1:17" x14ac:dyDescent="0.25">
      <c r="A13" s="203">
        <v>1</v>
      </c>
      <c r="B13" s="205" t="s">
        <v>1683</v>
      </c>
      <c r="C13" s="205" t="s">
        <v>40</v>
      </c>
      <c r="D13" s="205"/>
      <c r="E13" s="205" t="s">
        <v>1684</v>
      </c>
      <c r="F13" s="206" t="s">
        <v>1685</v>
      </c>
      <c r="G13" s="208" t="s">
        <v>42</v>
      </c>
      <c r="H13" s="207">
        <v>600</v>
      </c>
      <c r="I13" s="204">
        <v>120</v>
      </c>
      <c r="J13" s="205" t="s">
        <v>1161</v>
      </c>
      <c r="K13" s="205" t="s">
        <v>43</v>
      </c>
      <c r="M13">
        <f t="shared" si="0"/>
        <v>120</v>
      </c>
      <c r="O13" s="356" t="s">
        <v>42</v>
      </c>
      <c r="P13" s="232">
        <f>SUM(H13,H16:H18,H22:H23,H25,H27,H30:H32,H34:H35,H37,H39:H42,H45,H51:H59,H61:H62,H64:H65,H67:H68,H71:H72,H74:H75,H77:H84,H86:H88,H90,H92:H93,H95:H97,H100)</f>
        <v>168100</v>
      </c>
    </row>
    <row r="14" spans="1:17" x14ac:dyDescent="0.25">
      <c r="A14" s="203">
        <v>1</v>
      </c>
      <c r="B14" s="205" t="s">
        <v>1683</v>
      </c>
      <c r="C14" s="205" t="s">
        <v>40</v>
      </c>
      <c r="D14" s="205"/>
      <c r="E14" s="205" t="s">
        <v>1684</v>
      </c>
      <c r="F14" s="206" t="s">
        <v>1685</v>
      </c>
      <c r="G14" s="208" t="s">
        <v>163</v>
      </c>
      <c r="H14" s="207">
        <v>200</v>
      </c>
      <c r="I14" s="204">
        <v>200</v>
      </c>
      <c r="J14" s="205" t="s">
        <v>179</v>
      </c>
      <c r="K14" s="205" t="s">
        <v>43</v>
      </c>
      <c r="M14">
        <f t="shared" si="0"/>
        <v>40</v>
      </c>
      <c r="O14" s="356" t="s">
        <v>1607</v>
      </c>
      <c r="P14" s="232">
        <f>SUM(H12,H15,H26,H29,H43,H46,H49,H94,H98)</f>
        <v>3140</v>
      </c>
    </row>
    <row r="15" spans="1:17" x14ac:dyDescent="0.25">
      <c r="A15" s="203">
        <v>1</v>
      </c>
      <c r="B15" s="205" t="s">
        <v>1683</v>
      </c>
      <c r="C15" s="205" t="s">
        <v>40</v>
      </c>
      <c r="D15" s="205"/>
      <c r="E15" s="205" t="s">
        <v>1684</v>
      </c>
      <c r="F15" s="206" t="s">
        <v>1685</v>
      </c>
      <c r="G15" s="208" t="s">
        <v>180</v>
      </c>
      <c r="H15" s="207">
        <v>200</v>
      </c>
      <c r="I15" s="204">
        <v>100</v>
      </c>
      <c r="J15" s="205" t="s">
        <v>179</v>
      </c>
      <c r="K15" s="205" t="s">
        <v>43</v>
      </c>
      <c r="M15">
        <f t="shared" si="0"/>
        <v>40</v>
      </c>
      <c r="O15" s="360" t="s">
        <v>163</v>
      </c>
      <c r="P15" s="232">
        <f>SUM(H14,H19:H21,H24,H28,H33,H36,H38,H44,H47:H48,H50,H63,H66,H69:H70,H73,H76,H85,H89,H91,H99,H101:H103)</f>
        <v>27440</v>
      </c>
    </row>
    <row r="16" spans="1:17" x14ac:dyDescent="0.25">
      <c r="A16" s="203">
        <v>1</v>
      </c>
      <c r="B16" s="205" t="s">
        <v>1686</v>
      </c>
      <c r="C16" s="205" t="s">
        <v>40</v>
      </c>
      <c r="D16" s="205" t="s">
        <v>1687</v>
      </c>
      <c r="E16" s="205" t="s">
        <v>59</v>
      </c>
      <c r="F16" s="206" t="s">
        <v>1688</v>
      </c>
      <c r="G16" s="208" t="s">
        <v>42</v>
      </c>
      <c r="H16" s="207">
        <v>200</v>
      </c>
      <c r="I16" s="204">
        <v>40</v>
      </c>
      <c r="J16" s="205" t="s">
        <v>179</v>
      </c>
      <c r="K16" s="205" t="s">
        <v>43</v>
      </c>
      <c r="M16">
        <f t="shared" si="0"/>
        <v>40</v>
      </c>
      <c r="O16" s="357"/>
      <c r="P16" s="232"/>
    </row>
    <row r="17" spans="1:17" x14ac:dyDescent="0.25">
      <c r="A17" s="203">
        <v>1</v>
      </c>
      <c r="B17" s="205" t="s">
        <v>1689</v>
      </c>
      <c r="C17" s="205" t="s">
        <v>40</v>
      </c>
      <c r="D17" s="205" t="s">
        <v>288</v>
      </c>
      <c r="E17" s="205" t="s">
        <v>52</v>
      </c>
      <c r="F17" s="206" t="s">
        <v>1690</v>
      </c>
      <c r="G17" s="208" t="s">
        <v>42</v>
      </c>
      <c r="H17" s="207">
        <v>3000</v>
      </c>
      <c r="I17" s="204">
        <v>600</v>
      </c>
      <c r="J17" s="205" t="s">
        <v>179</v>
      </c>
      <c r="K17" s="205" t="s">
        <v>43</v>
      </c>
      <c r="M17">
        <f t="shared" si="0"/>
        <v>600</v>
      </c>
      <c r="O17" s="371" t="s">
        <v>1844</v>
      </c>
      <c r="P17" s="232"/>
    </row>
    <row r="18" spans="1:17" x14ac:dyDescent="0.25">
      <c r="A18" s="203">
        <v>1</v>
      </c>
      <c r="B18" s="205" t="s">
        <v>1691</v>
      </c>
      <c r="C18" s="205" t="s">
        <v>40</v>
      </c>
      <c r="D18" s="205" t="s">
        <v>288</v>
      </c>
      <c r="E18" s="205" t="s">
        <v>63</v>
      </c>
      <c r="F18" s="206" t="s">
        <v>1692</v>
      </c>
      <c r="G18" s="208" t="s">
        <v>42</v>
      </c>
      <c r="H18" s="207">
        <v>500</v>
      </c>
      <c r="I18" s="204">
        <v>100</v>
      </c>
      <c r="J18" s="205" t="s">
        <v>179</v>
      </c>
      <c r="K18" s="205" t="s">
        <v>43</v>
      </c>
      <c r="M18">
        <f t="shared" si="0"/>
        <v>100</v>
      </c>
      <c r="O18" s="356" t="s">
        <v>42</v>
      </c>
      <c r="P18" s="233">
        <f>SUM(H105,H108:H121,H125)</f>
        <v>52300</v>
      </c>
      <c r="Q18" s="25"/>
    </row>
    <row r="19" spans="1:17" x14ac:dyDescent="0.25">
      <c r="A19" s="203">
        <v>1</v>
      </c>
      <c r="B19" s="205" t="s">
        <v>1691</v>
      </c>
      <c r="C19" s="205" t="s">
        <v>40</v>
      </c>
      <c r="D19" s="205" t="s">
        <v>288</v>
      </c>
      <c r="E19" s="205" t="s">
        <v>63</v>
      </c>
      <c r="F19" s="206" t="s">
        <v>1692</v>
      </c>
      <c r="G19" s="208" t="s">
        <v>163</v>
      </c>
      <c r="H19" s="207">
        <v>500</v>
      </c>
      <c r="I19" s="204">
        <v>500</v>
      </c>
      <c r="J19" s="205" t="s">
        <v>179</v>
      </c>
      <c r="K19" s="205" t="s">
        <v>43</v>
      </c>
      <c r="M19">
        <f t="shared" si="0"/>
        <v>100</v>
      </c>
      <c r="O19" s="356" t="s">
        <v>1607</v>
      </c>
      <c r="P19" s="232">
        <f>H106+H122</f>
        <v>700</v>
      </c>
    </row>
    <row r="20" spans="1:17" x14ac:dyDescent="0.25">
      <c r="A20" s="203">
        <v>1</v>
      </c>
      <c r="B20" s="205" t="s">
        <v>1693</v>
      </c>
      <c r="C20" s="205" t="s">
        <v>40</v>
      </c>
      <c r="D20" s="205"/>
      <c r="E20" s="205" t="s">
        <v>45</v>
      </c>
      <c r="F20" s="206" t="s">
        <v>1694</v>
      </c>
      <c r="G20" s="208" t="s">
        <v>163</v>
      </c>
      <c r="H20" s="207">
        <v>1000</v>
      </c>
      <c r="I20" s="204">
        <v>1000</v>
      </c>
      <c r="J20" s="205" t="s">
        <v>179</v>
      </c>
      <c r="K20" s="205" t="s">
        <v>43</v>
      </c>
      <c r="M20">
        <f t="shared" si="0"/>
        <v>200</v>
      </c>
      <c r="O20" s="360" t="s">
        <v>163</v>
      </c>
      <c r="P20" s="232">
        <f>H107+H123+H124</f>
        <v>1550</v>
      </c>
    </row>
    <row r="21" spans="1:17" x14ac:dyDescent="0.25">
      <c r="A21" s="203">
        <v>1</v>
      </c>
      <c r="B21" s="205" t="s">
        <v>1695</v>
      </c>
      <c r="C21" s="205" t="s">
        <v>40</v>
      </c>
      <c r="D21" s="205" t="s">
        <v>288</v>
      </c>
      <c r="E21" s="205" t="s">
        <v>63</v>
      </c>
      <c r="F21" s="206" t="s">
        <v>1696</v>
      </c>
      <c r="G21" s="208" t="s">
        <v>163</v>
      </c>
      <c r="H21" s="207">
        <v>150</v>
      </c>
      <c r="I21" s="204">
        <v>150</v>
      </c>
      <c r="J21" s="205" t="s">
        <v>179</v>
      </c>
      <c r="K21" s="205" t="s">
        <v>43</v>
      </c>
      <c r="M21">
        <f t="shared" si="0"/>
        <v>30</v>
      </c>
      <c r="O21" s="372" t="s">
        <v>1848</v>
      </c>
      <c r="P21" s="232"/>
    </row>
    <row r="22" spans="1:17" x14ac:dyDescent="0.25">
      <c r="A22" s="203">
        <v>1</v>
      </c>
      <c r="B22" s="205" t="s">
        <v>1697</v>
      </c>
      <c r="C22" s="205" t="s">
        <v>48</v>
      </c>
      <c r="D22" s="205" t="s">
        <v>562</v>
      </c>
      <c r="E22" s="205" t="s">
        <v>46</v>
      </c>
      <c r="F22" s="206" t="s">
        <v>1698</v>
      </c>
      <c r="G22" s="208" t="s">
        <v>42</v>
      </c>
      <c r="H22" s="207">
        <v>2100</v>
      </c>
      <c r="I22" s="204">
        <v>420</v>
      </c>
      <c r="J22" s="205" t="s">
        <v>179</v>
      </c>
      <c r="K22" s="205" t="s">
        <v>43</v>
      </c>
      <c r="M22">
        <f t="shared" si="0"/>
        <v>420</v>
      </c>
      <c r="O22" s="356" t="s">
        <v>42</v>
      </c>
      <c r="P22" s="232">
        <v>2600</v>
      </c>
    </row>
    <row r="23" spans="1:17" x14ac:dyDescent="0.25">
      <c r="A23" s="203">
        <v>1</v>
      </c>
      <c r="B23" s="205" t="s">
        <v>1699</v>
      </c>
      <c r="C23" s="205" t="s">
        <v>40</v>
      </c>
      <c r="D23" s="205" t="s">
        <v>1176</v>
      </c>
      <c r="E23" s="205" t="s">
        <v>44</v>
      </c>
      <c r="F23" s="206" t="s">
        <v>1700</v>
      </c>
      <c r="G23" s="208" t="s">
        <v>42</v>
      </c>
      <c r="H23" s="207">
        <v>100</v>
      </c>
      <c r="I23" s="204">
        <v>20</v>
      </c>
      <c r="J23" s="205" t="s">
        <v>179</v>
      </c>
      <c r="K23" s="205" t="s">
        <v>43</v>
      </c>
      <c r="M23">
        <f t="shared" si="0"/>
        <v>20</v>
      </c>
      <c r="O23" s="373" t="s">
        <v>1850</v>
      </c>
      <c r="P23" s="233"/>
    </row>
    <row r="24" spans="1:17" x14ac:dyDescent="0.25">
      <c r="A24" s="203">
        <v>1</v>
      </c>
      <c r="B24" s="205" t="s">
        <v>1699</v>
      </c>
      <c r="C24" s="205" t="s">
        <v>40</v>
      </c>
      <c r="D24" s="205" t="s">
        <v>1176</v>
      </c>
      <c r="E24" s="205" t="s">
        <v>44</v>
      </c>
      <c r="F24" s="206" t="s">
        <v>1700</v>
      </c>
      <c r="G24" s="208" t="s">
        <v>163</v>
      </c>
      <c r="H24" s="207">
        <v>100</v>
      </c>
      <c r="I24" s="204">
        <v>100</v>
      </c>
      <c r="J24" s="205" t="s">
        <v>179</v>
      </c>
      <c r="K24" s="205" t="s">
        <v>43</v>
      </c>
      <c r="M24">
        <f t="shared" si="0"/>
        <v>20</v>
      </c>
      <c r="O24" s="357" t="s">
        <v>1880</v>
      </c>
      <c r="P24" s="233">
        <v>1000</v>
      </c>
    </row>
    <row r="25" spans="1:17" x14ac:dyDescent="0.25">
      <c r="A25" s="203">
        <v>1</v>
      </c>
      <c r="B25" s="205" t="s">
        <v>1701</v>
      </c>
      <c r="C25" s="205" t="s">
        <v>40</v>
      </c>
      <c r="D25" s="205" t="s">
        <v>609</v>
      </c>
      <c r="E25" s="205" t="s">
        <v>47</v>
      </c>
      <c r="F25" s="206" t="s">
        <v>1702</v>
      </c>
      <c r="G25" s="208" t="s">
        <v>42</v>
      </c>
      <c r="H25" s="207">
        <v>3000</v>
      </c>
      <c r="I25" s="204">
        <v>600</v>
      </c>
      <c r="J25" s="205" t="s">
        <v>179</v>
      </c>
      <c r="K25" s="205" t="s">
        <v>43</v>
      </c>
      <c r="M25">
        <f t="shared" si="0"/>
        <v>600</v>
      </c>
      <c r="O25" s="358" t="s">
        <v>1607</v>
      </c>
      <c r="P25" s="25">
        <v>500</v>
      </c>
      <c r="Q25" s="25"/>
    </row>
    <row r="26" spans="1:17" x14ac:dyDescent="0.25">
      <c r="A26" s="203">
        <v>1</v>
      </c>
      <c r="B26" s="205" t="s">
        <v>1701</v>
      </c>
      <c r="C26" s="205" t="s">
        <v>40</v>
      </c>
      <c r="D26" s="205" t="s">
        <v>609</v>
      </c>
      <c r="E26" s="205" t="s">
        <v>47</v>
      </c>
      <c r="F26" s="206" t="s">
        <v>1702</v>
      </c>
      <c r="G26" s="208" t="s">
        <v>180</v>
      </c>
      <c r="H26" s="207">
        <v>500</v>
      </c>
      <c r="I26" s="204">
        <v>250</v>
      </c>
      <c r="J26" s="205" t="s">
        <v>179</v>
      </c>
      <c r="K26" s="205" t="s">
        <v>43</v>
      </c>
      <c r="M26">
        <f t="shared" si="0"/>
        <v>100</v>
      </c>
      <c r="O26" s="370" t="s">
        <v>1881</v>
      </c>
      <c r="P26" s="25"/>
      <c r="Q26" s="25"/>
    </row>
    <row r="27" spans="1:17" x14ac:dyDescent="0.25">
      <c r="A27" s="203">
        <v>1</v>
      </c>
      <c r="B27" s="205" t="s">
        <v>161</v>
      </c>
      <c r="C27" s="205" t="s">
        <v>40</v>
      </c>
      <c r="D27" s="205" t="s">
        <v>76</v>
      </c>
      <c r="E27" s="205" t="s">
        <v>44</v>
      </c>
      <c r="F27" s="206" t="s">
        <v>1703</v>
      </c>
      <c r="G27" s="208" t="s">
        <v>42</v>
      </c>
      <c r="H27" s="207">
        <v>2000</v>
      </c>
      <c r="I27" s="204">
        <v>400</v>
      </c>
      <c r="J27" s="205" t="s">
        <v>179</v>
      </c>
      <c r="K27" s="205" t="s">
        <v>43</v>
      </c>
      <c r="M27">
        <f t="shared" si="0"/>
        <v>400</v>
      </c>
      <c r="O27" t="s">
        <v>42</v>
      </c>
      <c r="P27" s="25">
        <f>SUM(H129:H131,H133:H145)</f>
        <v>33250</v>
      </c>
    </row>
    <row r="28" spans="1:17" x14ac:dyDescent="0.25">
      <c r="A28" s="203">
        <v>1</v>
      </c>
      <c r="B28" s="205" t="s">
        <v>161</v>
      </c>
      <c r="C28" s="205" t="s">
        <v>40</v>
      </c>
      <c r="D28" s="205" t="s">
        <v>76</v>
      </c>
      <c r="E28" s="205" t="s">
        <v>44</v>
      </c>
      <c r="F28" s="206" t="s">
        <v>1703</v>
      </c>
      <c r="G28" s="208" t="s">
        <v>163</v>
      </c>
      <c r="H28" s="207">
        <v>100</v>
      </c>
      <c r="I28" s="204">
        <v>100</v>
      </c>
      <c r="J28" s="205" t="s">
        <v>179</v>
      </c>
      <c r="K28" s="205" t="s">
        <v>43</v>
      </c>
      <c r="M28">
        <f t="shared" si="0"/>
        <v>20</v>
      </c>
      <c r="O28" t="s">
        <v>1607</v>
      </c>
      <c r="P28" s="25">
        <f>H146+H147</f>
        <v>1050</v>
      </c>
    </row>
    <row r="29" spans="1:17" x14ac:dyDescent="0.25">
      <c r="A29" s="203">
        <v>1</v>
      </c>
      <c r="B29" s="205" t="s">
        <v>1704</v>
      </c>
      <c r="C29" s="205" t="s">
        <v>40</v>
      </c>
      <c r="D29" s="205" t="s">
        <v>380</v>
      </c>
      <c r="E29" s="205" t="s">
        <v>45</v>
      </c>
      <c r="F29" s="206"/>
      <c r="G29" s="208" t="s">
        <v>180</v>
      </c>
      <c r="H29" s="207">
        <v>400</v>
      </c>
      <c r="I29" s="204">
        <v>200</v>
      </c>
      <c r="J29" s="205" t="s">
        <v>179</v>
      </c>
      <c r="K29" s="205" t="s">
        <v>43</v>
      </c>
      <c r="M29">
        <f t="shared" si="0"/>
        <v>80</v>
      </c>
      <c r="O29" t="s">
        <v>163</v>
      </c>
      <c r="P29">
        <v>120</v>
      </c>
    </row>
    <row r="30" spans="1:17" x14ac:dyDescent="0.25">
      <c r="A30" s="203">
        <v>1</v>
      </c>
      <c r="B30" s="205" t="s">
        <v>1705</v>
      </c>
      <c r="C30" s="205" t="s">
        <v>40</v>
      </c>
      <c r="D30" s="205" t="s">
        <v>1610</v>
      </c>
      <c r="E30" s="205" t="s">
        <v>60</v>
      </c>
      <c r="F30" s="206"/>
      <c r="G30" s="208" t="s">
        <v>42</v>
      </c>
      <c r="H30" s="207">
        <v>1500</v>
      </c>
      <c r="I30" s="204">
        <v>300</v>
      </c>
      <c r="J30" s="205" t="s">
        <v>179</v>
      </c>
      <c r="K30" s="205" t="s">
        <v>43</v>
      </c>
      <c r="M30">
        <f t="shared" si="0"/>
        <v>300</v>
      </c>
      <c r="O30" s="370" t="s">
        <v>1899</v>
      </c>
    </row>
    <row r="31" spans="1:17" x14ac:dyDescent="0.25">
      <c r="A31" s="203">
        <v>1</v>
      </c>
      <c r="B31" s="205" t="s">
        <v>1706</v>
      </c>
      <c r="C31" s="205" t="s">
        <v>40</v>
      </c>
      <c r="D31" s="205" t="s">
        <v>1707</v>
      </c>
      <c r="E31" s="205" t="s">
        <v>52</v>
      </c>
      <c r="F31" s="206" t="s">
        <v>1708</v>
      </c>
      <c r="G31" s="208" t="s">
        <v>42</v>
      </c>
      <c r="H31" s="207">
        <v>3000</v>
      </c>
      <c r="I31" s="204">
        <v>600</v>
      </c>
      <c r="J31" s="205" t="s">
        <v>179</v>
      </c>
      <c r="K31" s="205" t="s">
        <v>43</v>
      </c>
      <c r="M31">
        <f t="shared" si="0"/>
        <v>600</v>
      </c>
      <c r="O31" s="338" t="s">
        <v>42</v>
      </c>
      <c r="P31" s="57">
        <f>SUM(H148:H156,H158,H160,H162:H164)</f>
        <v>14750</v>
      </c>
    </row>
    <row r="32" spans="1:17" x14ac:dyDescent="0.25">
      <c r="A32" s="203">
        <v>1</v>
      </c>
      <c r="B32" s="205" t="s">
        <v>1709</v>
      </c>
      <c r="C32" s="205" t="s">
        <v>40</v>
      </c>
      <c r="D32" s="205" t="s">
        <v>288</v>
      </c>
      <c r="E32" s="205" t="s">
        <v>63</v>
      </c>
      <c r="F32" s="206"/>
      <c r="G32" s="208" t="s">
        <v>42</v>
      </c>
      <c r="H32" s="207">
        <v>1000</v>
      </c>
      <c r="I32" s="204">
        <v>200</v>
      </c>
      <c r="J32" s="205" t="s">
        <v>179</v>
      </c>
      <c r="K32" s="205" t="s">
        <v>43</v>
      </c>
      <c r="M32">
        <f t="shared" si="0"/>
        <v>200</v>
      </c>
      <c r="O32" t="s">
        <v>1607</v>
      </c>
      <c r="P32" s="25">
        <f>H159+H166</f>
        <v>136</v>
      </c>
    </row>
    <row r="33" spans="1:16" ht="16.5" customHeight="1" x14ac:dyDescent="0.25">
      <c r="A33" s="203">
        <v>1</v>
      </c>
      <c r="B33" s="205" t="s">
        <v>1030</v>
      </c>
      <c r="C33" s="205" t="s">
        <v>40</v>
      </c>
      <c r="D33" s="205" t="s">
        <v>565</v>
      </c>
      <c r="E33" s="205" t="s">
        <v>44</v>
      </c>
      <c r="F33" s="206"/>
      <c r="G33" s="208" t="s">
        <v>163</v>
      </c>
      <c r="H33" s="207">
        <v>350</v>
      </c>
      <c r="I33" s="204">
        <v>350</v>
      </c>
      <c r="J33" s="205" t="s">
        <v>179</v>
      </c>
      <c r="K33" s="205" t="s">
        <v>43</v>
      </c>
      <c r="M33">
        <f t="shared" si="0"/>
        <v>70</v>
      </c>
      <c r="O33" t="s">
        <v>1129</v>
      </c>
      <c r="P33" s="57">
        <f>H157+H161+H165</f>
        <v>189</v>
      </c>
    </row>
    <row r="34" spans="1:16" x14ac:dyDescent="0.25">
      <c r="A34" s="203">
        <v>1</v>
      </c>
      <c r="B34" s="205" t="s">
        <v>1710</v>
      </c>
      <c r="C34" s="205" t="s">
        <v>40</v>
      </c>
      <c r="D34" s="205" t="s">
        <v>366</v>
      </c>
      <c r="E34" s="205" t="s">
        <v>57</v>
      </c>
      <c r="F34" s="206" t="s">
        <v>613</v>
      </c>
      <c r="G34" s="208" t="s">
        <v>42</v>
      </c>
      <c r="H34" s="207">
        <v>1000</v>
      </c>
      <c r="I34" s="204">
        <v>200</v>
      </c>
      <c r="J34" s="205" t="s">
        <v>179</v>
      </c>
      <c r="K34" s="205" t="s">
        <v>43</v>
      </c>
      <c r="M34">
        <f t="shared" si="0"/>
        <v>200</v>
      </c>
      <c r="O34" s="375" t="s">
        <v>1946</v>
      </c>
      <c r="P34" s="181"/>
    </row>
    <row r="35" spans="1:16" x14ac:dyDescent="0.25">
      <c r="A35" s="203">
        <v>1</v>
      </c>
      <c r="B35" s="205" t="s">
        <v>1711</v>
      </c>
      <c r="C35" s="205" t="s">
        <v>48</v>
      </c>
      <c r="D35" s="205" t="s">
        <v>1712</v>
      </c>
      <c r="E35" s="205" t="s">
        <v>44</v>
      </c>
      <c r="F35" s="206" t="s">
        <v>1713</v>
      </c>
      <c r="G35" s="208" t="s">
        <v>42</v>
      </c>
      <c r="H35" s="207">
        <v>1500</v>
      </c>
      <c r="I35" s="204">
        <v>300</v>
      </c>
      <c r="J35" s="205" t="s">
        <v>179</v>
      </c>
      <c r="K35" s="205" t="s">
        <v>43</v>
      </c>
      <c r="M35">
        <f t="shared" si="0"/>
        <v>300</v>
      </c>
      <c r="O35" t="s">
        <v>42</v>
      </c>
      <c r="P35" s="57">
        <f>SUM(H167,H169,H171:H185,H187:H191,H193,H197,H199,H202)</f>
        <v>30720</v>
      </c>
    </row>
    <row r="36" spans="1:16" x14ac:dyDescent="0.25">
      <c r="A36" s="203">
        <v>1</v>
      </c>
      <c r="B36" s="205" t="s">
        <v>1711</v>
      </c>
      <c r="C36" s="205" t="s">
        <v>48</v>
      </c>
      <c r="D36" s="205" t="s">
        <v>1712</v>
      </c>
      <c r="E36" s="205" t="s">
        <v>44</v>
      </c>
      <c r="F36" s="206" t="s">
        <v>1713</v>
      </c>
      <c r="G36" s="208" t="s">
        <v>163</v>
      </c>
      <c r="H36" s="207">
        <v>100</v>
      </c>
      <c r="I36" s="204">
        <v>100</v>
      </c>
      <c r="J36" s="205" t="s">
        <v>179</v>
      </c>
      <c r="K36" s="205" t="s">
        <v>43</v>
      </c>
      <c r="M36">
        <f t="shared" si="0"/>
        <v>20</v>
      </c>
      <c r="O36" t="s">
        <v>1607</v>
      </c>
      <c r="P36" s="57">
        <f>SUM(H168,H170)</f>
        <v>1800</v>
      </c>
    </row>
    <row r="37" spans="1:16" x14ac:dyDescent="0.25">
      <c r="A37" s="203">
        <v>1</v>
      </c>
      <c r="B37" s="205" t="s">
        <v>1714</v>
      </c>
      <c r="C37" s="205" t="s">
        <v>40</v>
      </c>
      <c r="D37" s="205" t="s">
        <v>369</v>
      </c>
      <c r="E37" s="205" t="s">
        <v>52</v>
      </c>
      <c r="F37" s="206" t="s">
        <v>1715</v>
      </c>
      <c r="G37" s="208" t="s">
        <v>42</v>
      </c>
      <c r="H37" s="207">
        <v>8000</v>
      </c>
      <c r="I37" s="204">
        <v>1600</v>
      </c>
      <c r="J37" s="205" t="s">
        <v>179</v>
      </c>
      <c r="K37" s="205" t="s">
        <v>43</v>
      </c>
      <c r="M37">
        <f t="shared" si="0"/>
        <v>1600</v>
      </c>
      <c r="O37" s="340" t="s">
        <v>163</v>
      </c>
      <c r="P37" s="57">
        <f>SUM(H186,H192,H194:H196,H200:H201,H203:H204)</f>
        <v>9100</v>
      </c>
    </row>
    <row r="38" spans="1:16" x14ac:dyDescent="0.25">
      <c r="A38" s="203">
        <v>1</v>
      </c>
      <c r="B38" s="205" t="s">
        <v>1714</v>
      </c>
      <c r="C38" s="205" t="s">
        <v>40</v>
      </c>
      <c r="D38" s="205" t="s">
        <v>369</v>
      </c>
      <c r="E38" s="205" t="s">
        <v>52</v>
      </c>
      <c r="F38" s="206" t="s">
        <v>1715</v>
      </c>
      <c r="G38" s="205" t="s">
        <v>163</v>
      </c>
      <c r="H38" s="211">
        <v>1000</v>
      </c>
      <c r="I38" s="234">
        <v>1000</v>
      </c>
      <c r="J38" s="205" t="s">
        <v>179</v>
      </c>
      <c r="K38" s="205" t="s">
        <v>43</v>
      </c>
      <c r="M38">
        <f t="shared" si="0"/>
        <v>200</v>
      </c>
      <c r="O38" t="s">
        <v>1129</v>
      </c>
      <c r="P38" s="57">
        <v>3</v>
      </c>
    </row>
    <row r="39" spans="1:16" x14ac:dyDescent="0.25">
      <c r="A39" s="203">
        <v>1</v>
      </c>
      <c r="B39" s="205" t="s">
        <v>1716</v>
      </c>
      <c r="C39" s="205" t="s">
        <v>40</v>
      </c>
      <c r="D39" s="205" t="s">
        <v>146</v>
      </c>
      <c r="E39" s="205" t="s">
        <v>57</v>
      </c>
      <c r="F39" s="206" t="s">
        <v>1717</v>
      </c>
      <c r="G39" s="205" t="s">
        <v>42</v>
      </c>
      <c r="H39" s="211">
        <v>1500</v>
      </c>
      <c r="I39" s="234">
        <v>300</v>
      </c>
      <c r="J39" s="205" t="s">
        <v>179</v>
      </c>
      <c r="K39" s="205" t="s">
        <v>43</v>
      </c>
      <c r="M39">
        <f t="shared" si="0"/>
        <v>300</v>
      </c>
      <c r="P39" s="181"/>
    </row>
    <row r="40" spans="1:16" x14ac:dyDescent="0.25">
      <c r="A40" s="203">
        <v>1</v>
      </c>
      <c r="B40" s="205" t="s">
        <v>1718</v>
      </c>
      <c r="C40" s="205" t="s">
        <v>40</v>
      </c>
      <c r="D40" s="205" t="s">
        <v>1719</v>
      </c>
      <c r="E40" s="205" t="s">
        <v>52</v>
      </c>
      <c r="F40" s="206"/>
      <c r="G40" s="205" t="s">
        <v>42</v>
      </c>
      <c r="H40" s="211">
        <v>1500</v>
      </c>
      <c r="I40" s="234">
        <v>300</v>
      </c>
      <c r="J40" s="205" t="s">
        <v>179</v>
      </c>
      <c r="K40" s="205" t="s">
        <v>43</v>
      </c>
      <c r="M40">
        <f t="shared" si="0"/>
        <v>300</v>
      </c>
      <c r="P40" s="57"/>
    </row>
    <row r="41" spans="1:16" x14ac:dyDescent="0.25">
      <c r="A41" s="203">
        <v>1</v>
      </c>
      <c r="B41" s="205" t="s">
        <v>412</v>
      </c>
      <c r="C41" s="205" t="s">
        <v>40</v>
      </c>
      <c r="D41" s="205" t="s">
        <v>380</v>
      </c>
      <c r="E41" s="205" t="s">
        <v>45</v>
      </c>
      <c r="F41" s="206"/>
      <c r="G41" s="205" t="s">
        <v>42</v>
      </c>
      <c r="H41" s="211">
        <v>10000</v>
      </c>
      <c r="I41" s="234">
        <v>2000</v>
      </c>
      <c r="J41" s="205" t="s">
        <v>179</v>
      </c>
      <c r="K41" s="205" t="s">
        <v>43</v>
      </c>
      <c r="M41">
        <f t="shared" si="0"/>
        <v>2000</v>
      </c>
      <c r="O41" s="340"/>
    </row>
    <row r="42" spans="1:16" x14ac:dyDescent="0.25">
      <c r="A42" s="203">
        <v>1</v>
      </c>
      <c r="B42" s="205" t="s">
        <v>1720</v>
      </c>
      <c r="C42" s="205" t="s">
        <v>40</v>
      </c>
      <c r="D42" s="205" t="s">
        <v>471</v>
      </c>
      <c r="E42" s="205" t="s">
        <v>47</v>
      </c>
      <c r="F42" s="206"/>
      <c r="G42" s="205" t="s">
        <v>42</v>
      </c>
      <c r="H42" s="211">
        <v>1000</v>
      </c>
      <c r="I42" s="234">
        <v>200</v>
      </c>
      <c r="J42" s="205" t="s">
        <v>179</v>
      </c>
      <c r="K42" s="205" t="s">
        <v>43</v>
      </c>
      <c r="M42">
        <f t="shared" si="0"/>
        <v>200</v>
      </c>
      <c r="P42" s="181"/>
    </row>
    <row r="43" spans="1:16" x14ac:dyDescent="0.25">
      <c r="A43" s="203">
        <v>1</v>
      </c>
      <c r="B43" s="205" t="s">
        <v>1720</v>
      </c>
      <c r="C43" s="205" t="s">
        <v>40</v>
      </c>
      <c r="D43" s="205" t="s">
        <v>471</v>
      </c>
      <c r="E43" s="205" t="s">
        <v>47</v>
      </c>
      <c r="F43" s="206"/>
      <c r="G43" s="205" t="s">
        <v>180</v>
      </c>
      <c r="H43" s="211">
        <v>200</v>
      </c>
      <c r="I43" s="234">
        <v>100</v>
      </c>
      <c r="J43" s="205" t="s">
        <v>179</v>
      </c>
      <c r="K43" s="205" t="s">
        <v>43</v>
      </c>
      <c r="M43">
        <f t="shared" si="0"/>
        <v>40</v>
      </c>
    </row>
    <row r="44" spans="1:16" x14ac:dyDescent="0.25">
      <c r="A44" s="203">
        <v>1</v>
      </c>
      <c r="B44" s="205" t="s">
        <v>1720</v>
      </c>
      <c r="C44" s="205" t="s">
        <v>40</v>
      </c>
      <c r="D44" s="205" t="s">
        <v>471</v>
      </c>
      <c r="E44" s="205" t="s">
        <v>47</v>
      </c>
      <c r="F44" s="206"/>
      <c r="G44" s="205" t="s">
        <v>163</v>
      </c>
      <c r="H44" s="211">
        <v>100</v>
      </c>
      <c r="I44" s="234">
        <v>100</v>
      </c>
      <c r="J44" s="205" t="s">
        <v>179</v>
      </c>
      <c r="K44" s="205" t="s">
        <v>43</v>
      </c>
      <c r="M44">
        <f t="shared" si="0"/>
        <v>20</v>
      </c>
      <c r="O44" s="340"/>
    </row>
    <row r="45" spans="1:16" x14ac:dyDescent="0.25">
      <c r="A45" s="203">
        <v>1</v>
      </c>
      <c r="B45" s="205" t="s">
        <v>1721</v>
      </c>
      <c r="C45" s="205" t="s">
        <v>40</v>
      </c>
      <c r="D45" s="205" t="s">
        <v>471</v>
      </c>
      <c r="E45" s="205" t="s">
        <v>47</v>
      </c>
      <c r="F45" s="206"/>
      <c r="G45" s="205" t="s">
        <v>42</v>
      </c>
      <c r="H45" s="211">
        <v>2000</v>
      </c>
      <c r="I45" s="234">
        <v>400</v>
      </c>
      <c r="J45" s="205" t="s">
        <v>179</v>
      </c>
      <c r="K45" s="205" t="s">
        <v>43</v>
      </c>
      <c r="M45">
        <f t="shared" si="0"/>
        <v>400</v>
      </c>
      <c r="P45" s="342"/>
    </row>
    <row r="46" spans="1:16" x14ac:dyDescent="0.25">
      <c r="A46" s="203">
        <v>1</v>
      </c>
      <c r="B46" s="205" t="s">
        <v>1721</v>
      </c>
      <c r="C46" s="205" t="s">
        <v>40</v>
      </c>
      <c r="D46" s="205" t="s">
        <v>471</v>
      </c>
      <c r="E46" s="205" t="s">
        <v>47</v>
      </c>
      <c r="F46" s="206"/>
      <c r="G46" s="205" t="s">
        <v>180</v>
      </c>
      <c r="H46" s="211">
        <v>200</v>
      </c>
      <c r="I46" s="234">
        <v>100</v>
      </c>
      <c r="J46" s="205" t="s">
        <v>179</v>
      </c>
      <c r="K46" s="205" t="s">
        <v>43</v>
      </c>
      <c r="M46">
        <f t="shared" si="0"/>
        <v>40</v>
      </c>
    </row>
    <row r="47" spans="1:16" x14ac:dyDescent="0.25">
      <c r="A47" s="203">
        <v>1</v>
      </c>
      <c r="B47" s="205" t="s">
        <v>1721</v>
      </c>
      <c r="C47" s="205" t="s">
        <v>40</v>
      </c>
      <c r="D47" s="205" t="s">
        <v>471</v>
      </c>
      <c r="E47" s="205" t="s">
        <v>47</v>
      </c>
      <c r="F47" s="206"/>
      <c r="G47" s="205" t="s">
        <v>163</v>
      </c>
      <c r="H47" s="211">
        <v>300</v>
      </c>
      <c r="I47" s="234">
        <v>300</v>
      </c>
      <c r="J47" s="205" t="s">
        <v>179</v>
      </c>
      <c r="K47" s="205" t="s">
        <v>43</v>
      </c>
      <c r="M47">
        <f t="shared" si="0"/>
        <v>60</v>
      </c>
      <c r="O47" s="340"/>
      <c r="P47" s="135"/>
    </row>
    <row r="48" spans="1:16" x14ac:dyDescent="0.25">
      <c r="A48" s="203">
        <v>1</v>
      </c>
      <c r="B48" s="205" t="s">
        <v>1722</v>
      </c>
      <c r="C48" s="205" t="s">
        <v>40</v>
      </c>
      <c r="D48" s="205" t="s">
        <v>143</v>
      </c>
      <c r="E48" s="205" t="s">
        <v>45</v>
      </c>
      <c r="F48" s="206" t="s">
        <v>1723</v>
      </c>
      <c r="G48" s="205" t="s">
        <v>163</v>
      </c>
      <c r="H48" s="211">
        <v>600</v>
      </c>
      <c r="I48" s="234">
        <v>600</v>
      </c>
      <c r="J48" s="205" t="s">
        <v>179</v>
      </c>
      <c r="K48" s="205" t="s">
        <v>43</v>
      </c>
      <c r="M48">
        <f t="shared" si="0"/>
        <v>120</v>
      </c>
      <c r="P48" s="342"/>
    </row>
    <row r="49" spans="1:16" x14ac:dyDescent="0.25">
      <c r="A49" s="203">
        <v>1</v>
      </c>
      <c r="B49" s="205" t="s">
        <v>1724</v>
      </c>
      <c r="C49" s="205" t="s">
        <v>40</v>
      </c>
      <c r="D49" s="205" t="s">
        <v>1725</v>
      </c>
      <c r="E49" s="205" t="s">
        <v>46</v>
      </c>
      <c r="F49" s="206" t="s">
        <v>1726</v>
      </c>
      <c r="G49" s="205" t="s">
        <v>180</v>
      </c>
      <c r="H49" s="211">
        <v>1000</v>
      </c>
      <c r="I49" s="234">
        <v>500</v>
      </c>
      <c r="J49" s="205" t="s">
        <v>179</v>
      </c>
      <c r="K49" s="205" t="s">
        <v>43</v>
      </c>
      <c r="M49">
        <f t="shared" si="0"/>
        <v>200</v>
      </c>
    </row>
    <row r="50" spans="1:16" x14ac:dyDescent="0.25">
      <c r="A50" s="203">
        <v>1</v>
      </c>
      <c r="B50" s="205" t="s">
        <v>1724</v>
      </c>
      <c r="C50" s="205" t="s">
        <v>40</v>
      </c>
      <c r="D50" s="205" t="s">
        <v>1725</v>
      </c>
      <c r="E50" s="205" t="s">
        <v>46</v>
      </c>
      <c r="F50" s="206" t="s">
        <v>1726</v>
      </c>
      <c r="G50" s="205" t="s">
        <v>163</v>
      </c>
      <c r="H50" s="211">
        <v>100</v>
      </c>
      <c r="I50" s="234">
        <v>100</v>
      </c>
      <c r="J50" s="205" t="s">
        <v>179</v>
      </c>
      <c r="K50" s="205" t="s">
        <v>43</v>
      </c>
      <c r="M50">
        <f t="shared" si="0"/>
        <v>20</v>
      </c>
      <c r="O50" s="340"/>
    </row>
    <row r="51" spans="1:16" x14ac:dyDescent="0.25">
      <c r="A51" s="203">
        <v>1</v>
      </c>
      <c r="B51" s="205" t="s">
        <v>767</v>
      </c>
      <c r="C51" s="205" t="s">
        <v>40</v>
      </c>
      <c r="D51" s="205" t="s">
        <v>565</v>
      </c>
      <c r="E51" s="205" t="s">
        <v>44</v>
      </c>
      <c r="F51" s="206"/>
      <c r="G51" s="205" t="s">
        <v>42</v>
      </c>
      <c r="H51" s="211">
        <v>2000</v>
      </c>
      <c r="I51" s="234">
        <v>400</v>
      </c>
      <c r="J51" s="205" t="s">
        <v>179</v>
      </c>
      <c r="K51" s="205" t="s">
        <v>43</v>
      </c>
      <c r="M51">
        <f t="shared" si="0"/>
        <v>400</v>
      </c>
      <c r="P51" s="181"/>
    </row>
    <row r="52" spans="1:16" x14ac:dyDescent="0.25">
      <c r="A52" s="203">
        <v>1</v>
      </c>
      <c r="B52" s="205" t="s">
        <v>1727</v>
      </c>
      <c r="C52" s="205" t="s">
        <v>48</v>
      </c>
      <c r="D52" s="205" t="s">
        <v>141</v>
      </c>
      <c r="E52" s="205" t="s">
        <v>45</v>
      </c>
      <c r="F52" s="206"/>
      <c r="G52" s="205" t="s">
        <v>42</v>
      </c>
      <c r="H52" s="211">
        <v>2000</v>
      </c>
      <c r="I52" s="234">
        <v>400</v>
      </c>
      <c r="J52" s="205" t="s">
        <v>179</v>
      </c>
      <c r="K52" s="205" t="s">
        <v>43</v>
      </c>
      <c r="M52">
        <f t="shared" si="0"/>
        <v>400</v>
      </c>
    </row>
    <row r="53" spans="1:16" x14ac:dyDescent="0.25">
      <c r="A53" s="203">
        <v>1</v>
      </c>
      <c r="B53" s="205" t="s">
        <v>1728</v>
      </c>
      <c r="C53" s="205" t="s">
        <v>40</v>
      </c>
      <c r="D53" s="205" t="s">
        <v>1729</v>
      </c>
      <c r="E53" s="205" t="s">
        <v>57</v>
      </c>
      <c r="F53" s="206" t="s">
        <v>1730</v>
      </c>
      <c r="G53" s="205" t="s">
        <v>42</v>
      </c>
      <c r="H53" s="211">
        <v>1500</v>
      </c>
      <c r="I53" s="234">
        <v>300</v>
      </c>
      <c r="J53" s="205" t="s">
        <v>179</v>
      </c>
      <c r="K53" s="205" t="s">
        <v>43</v>
      </c>
      <c r="M53">
        <f t="shared" si="0"/>
        <v>300</v>
      </c>
    </row>
    <row r="54" spans="1:16" x14ac:dyDescent="0.25">
      <c r="A54" s="203">
        <v>1</v>
      </c>
      <c r="B54" s="205" t="s">
        <v>1731</v>
      </c>
      <c r="C54" s="205" t="s">
        <v>48</v>
      </c>
      <c r="D54" s="205" t="s">
        <v>159</v>
      </c>
      <c r="E54" s="205" t="s">
        <v>51</v>
      </c>
      <c r="F54" s="206" t="s">
        <v>1732</v>
      </c>
      <c r="G54" s="205" t="s">
        <v>42</v>
      </c>
      <c r="H54" s="211">
        <v>200</v>
      </c>
      <c r="I54" s="234">
        <v>40</v>
      </c>
      <c r="J54" s="205" t="s">
        <v>179</v>
      </c>
      <c r="K54" s="205" t="s">
        <v>43</v>
      </c>
      <c r="M54">
        <f t="shared" si="0"/>
        <v>40</v>
      </c>
      <c r="P54" s="25"/>
    </row>
    <row r="55" spans="1:16" x14ac:dyDescent="0.25">
      <c r="A55" s="203">
        <v>1</v>
      </c>
      <c r="B55" s="205" t="s">
        <v>1733</v>
      </c>
      <c r="C55" s="205" t="s">
        <v>40</v>
      </c>
      <c r="D55" s="205" t="s">
        <v>369</v>
      </c>
      <c r="E55" s="205" t="s">
        <v>52</v>
      </c>
      <c r="F55" s="206"/>
      <c r="G55" s="206" t="s">
        <v>42</v>
      </c>
      <c r="H55" s="211">
        <v>1000</v>
      </c>
      <c r="I55" s="234">
        <v>200</v>
      </c>
      <c r="J55" s="205" t="s">
        <v>179</v>
      </c>
      <c r="K55" s="205" t="s">
        <v>43</v>
      </c>
      <c r="M55">
        <f t="shared" si="0"/>
        <v>200</v>
      </c>
    </row>
    <row r="56" spans="1:16" x14ac:dyDescent="0.25">
      <c r="A56" s="203">
        <v>1</v>
      </c>
      <c r="B56" s="205" t="s">
        <v>1734</v>
      </c>
      <c r="C56" s="205" t="s">
        <v>40</v>
      </c>
      <c r="D56" s="205" t="s">
        <v>1735</v>
      </c>
      <c r="E56" s="205" t="s">
        <v>56</v>
      </c>
      <c r="F56" s="206" t="s">
        <v>1736</v>
      </c>
      <c r="G56" s="205" t="s">
        <v>42</v>
      </c>
      <c r="H56" s="211">
        <v>15000</v>
      </c>
      <c r="I56" s="234">
        <v>3000</v>
      </c>
      <c r="J56" s="205" t="s">
        <v>179</v>
      </c>
      <c r="K56" s="205" t="s">
        <v>43</v>
      </c>
      <c r="M56">
        <f t="shared" si="0"/>
        <v>3000</v>
      </c>
    </row>
    <row r="57" spans="1:16" x14ac:dyDescent="0.25">
      <c r="A57" s="203">
        <v>1</v>
      </c>
      <c r="B57" s="205" t="s">
        <v>1737</v>
      </c>
      <c r="C57" s="205" t="s">
        <v>40</v>
      </c>
      <c r="D57" s="205" t="s">
        <v>1610</v>
      </c>
      <c r="E57" s="205" t="s">
        <v>60</v>
      </c>
      <c r="F57" s="206" t="s">
        <v>1738</v>
      </c>
      <c r="G57" s="205" t="s">
        <v>42</v>
      </c>
      <c r="H57" s="211">
        <v>3500</v>
      </c>
      <c r="I57" s="234">
        <v>700</v>
      </c>
      <c r="J57" s="205" t="s">
        <v>179</v>
      </c>
      <c r="K57" s="205" t="s">
        <v>43</v>
      </c>
      <c r="M57">
        <f t="shared" si="0"/>
        <v>700</v>
      </c>
    </row>
    <row r="58" spans="1:16" x14ac:dyDescent="0.25">
      <c r="A58" s="203">
        <v>1</v>
      </c>
      <c r="B58" s="205" t="s">
        <v>1739</v>
      </c>
      <c r="C58" s="205" t="s">
        <v>48</v>
      </c>
      <c r="D58" s="205" t="s">
        <v>552</v>
      </c>
      <c r="E58" s="205" t="s">
        <v>62</v>
      </c>
      <c r="F58" s="206"/>
      <c r="G58" s="205" t="s">
        <v>42</v>
      </c>
      <c r="H58" s="211">
        <v>7000</v>
      </c>
      <c r="I58" s="234">
        <v>1400</v>
      </c>
      <c r="J58" s="205" t="s">
        <v>179</v>
      </c>
      <c r="K58" s="205" t="s">
        <v>43</v>
      </c>
      <c r="M58">
        <f t="shared" si="0"/>
        <v>1400</v>
      </c>
    </row>
    <row r="59" spans="1:16" x14ac:dyDescent="0.25">
      <c r="A59" s="203">
        <v>1</v>
      </c>
      <c r="B59" s="205" t="s">
        <v>1740</v>
      </c>
      <c r="C59" s="205" t="s">
        <v>40</v>
      </c>
      <c r="D59" s="205" t="s">
        <v>671</v>
      </c>
      <c r="E59" s="205" t="s">
        <v>49</v>
      </c>
      <c r="F59" s="206"/>
      <c r="G59" s="205" t="s">
        <v>42</v>
      </c>
      <c r="H59" s="211">
        <v>10000</v>
      </c>
      <c r="I59" s="234">
        <v>2000</v>
      </c>
      <c r="J59" s="205" t="s">
        <v>179</v>
      </c>
      <c r="K59" s="205" t="s">
        <v>43</v>
      </c>
      <c r="L59">
        <v>28</v>
      </c>
      <c r="M59">
        <f t="shared" si="0"/>
        <v>2000</v>
      </c>
    </row>
    <row r="60" spans="1:16" x14ac:dyDescent="0.25">
      <c r="A60" s="203">
        <v>1</v>
      </c>
      <c r="B60" s="205" t="s">
        <v>1740</v>
      </c>
      <c r="C60" s="205" t="s">
        <v>40</v>
      </c>
      <c r="D60" s="205" t="s">
        <v>671</v>
      </c>
      <c r="E60" s="205" t="s">
        <v>49</v>
      </c>
      <c r="F60" s="206"/>
      <c r="G60" s="446" t="s">
        <v>1741</v>
      </c>
      <c r="H60" s="211">
        <v>160</v>
      </c>
      <c r="I60" s="234" t="s">
        <v>255</v>
      </c>
      <c r="J60" s="205" t="s">
        <v>179</v>
      </c>
      <c r="K60" s="205" t="s">
        <v>43</v>
      </c>
      <c r="M60">
        <f t="shared" si="0"/>
        <v>32</v>
      </c>
    </row>
    <row r="61" spans="1:16" x14ac:dyDescent="0.25">
      <c r="A61" s="203">
        <v>1</v>
      </c>
      <c r="B61" s="205" t="s">
        <v>1016</v>
      </c>
      <c r="C61" s="205" t="s">
        <v>40</v>
      </c>
      <c r="D61" s="205" t="s">
        <v>141</v>
      </c>
      <c r="E61" s="205" t="s">
        <v>45</v>
      </c>
      <c r="F61" s="206"/>
      <c r="G61" s="205" t="s">
        <v>42</v>
      </c>
      <c r="H61" s="211">
        <v>5000</v>
      </c>
      <c r="I61" s="234">
        <v>1000</v>
      </c>
      <c r="J61" s="205" t="s">
        <v>179</v>
      </c>
      <c r="K61" s="205" t="s">
        <v>43</v>
      </c>
      <c r="M61">
        <f t="shared" si="0"/>
        <v>1000</v>
      </c>
    </row>
    <row r="62" spans="1:16" x14ac:dyDescent="0.25">
      <c r="A62" s="203">
        <v>1</v>
      </c>
      <c r="B62" s="205" t="s">
        <v>1742</v>
      </c>
      <c r="C62" s="205" t="s">
        <v>40</v>
      </c>
      <c r="D62" s="205" t="s">
        <v>146</v>
      </c>
      <c r="E62" s="205" t="s">
        <v>57</v>
      </c>
      <c r="F62" s="206" t="s">
        <v>1743</v>
      </c>
      <c r="G62" s="205" t="s">
        <v>42</v>
      </c>
      <c r="H62" s="211">
        <v>500</v>
      </c>
      <c r="I62" s="234">
        <v>100</v>
      </c>
      <c r="J62" s="205" t="s">
        <v>179</v>
      </c>
      <c r="K62" s="205" t="s">
        <v>43</v>
      </c>
      <c r="M62">
        <f t="shared" si="0"/>
        <v>100</v>
      </c>
    </row>
    <row r="63" spans="1:16" x14ac:dyDescent="0.25">
      <c r="A63" s="203">
        <v>1</v>
      </c>
      <c r="B63" s="205" t="s">
        <v>1742</v>
      </c>
      <c r="C63" s="205" t="s">
        <v>40</v>
      </c>
      <c r="D63" s="205" t="s">
        <v>146</v>
      </c>
      <c r="E63" s="205" t="s">
        <v>57</v>
      </c>
      <c r="F63" s="206" t="s">
        <v>1743</v>
      </c>
      <c r="G63" s="205" t="s">
        <v>163</v>
      </c>
      <c r="H63" s="211">
        <v>100</v>
      </c>
      <c r="I63" s="234">
        <v>100</v>
      </c>
      <c r="J63" s="205" t="s">
        <v>179</v>
      </c>
      <c r="K63" s="205" t="s">
        <v>43</v>
      </c>
      <c r="M63">
        <f t="shared" si="0"/>
        <v>20</v>
      </c>
    </row>
    <row r="64" spans="1:16" x14ac:dyDescent="0.25">
      <c r="A64" s="203">
        <v>1</v>
      </c>
      <c r="B64" s="205" t="s">
        <v>528</v>
      </c>
      <c r="C64" s="205" t="s">
        <v>40</v>
      </c>
      <c r="D64" s="205" t="s">
        <v>529</v>
      </c>
      <c r="E64" s="205" t="s">
        <v>59</v>
      </c>
      <c r="F64" s="206" t="s">
        <v>530</v>
      </c>
      <c r="G64" s="205" t="s">
        <v>42</v>
      </c>
      <c r="H64" s="211">
        <v>5000</v>
      </c>
      <c r="I64" s="234">
        <v>1000</v>
      </c>
      <c r="J64" s="205" t="s">
        <v>179</v>
      </c>
      <c r="K64" s="205" t="s">
        <v>43</v>
      </c>
      <c r="M64">
        <f t="shared" si="0"/>
        <v>1000</v>
      </c>
    </row>
    <row r="65" spans="1:13" x14ac:dyDescent="0.25">
      <c r="A65" s="203">
        <v>1</v>
      </c>
      <c r="B65" s="205" t="s">
        <v>1744</v>
      </c>
      <c r="C65" s="205" t="s">
        <v>40</v>
      </c>
      <c r="D65" s="205" t="s">
        <v>529</v>
      </c>
      <c r="E65" s="205" t="s">
        <v>59</v>
      </c>
      <c r="F65" s="206" t="s">
        <v>1745</v>
      </c>
      <c r="G65" s="205" t="s">
        <v>1400</v>
      </c>
      <c r="H65" s="211">
        <v>500</v>
      </c>
      <c r="I65" s="234">
        <v>100</v>
      </c>
      <c r="J65" s="205" t="s">
        <v>179</v>
      </c>
      <c r="K65" s="205" t="s">
        <v>43</v>
      </c>
      <c r="M65">
        <f t="shared" si="0"/>
        <v>100</v>
      </c>
    </row>
    <row r="66" spans="1:13" x14ac:dyDescent="0.25">
      <c r="A66" s="203">
        <v>1</v>
      </c>
      <c r="B66" s="205" t="s">
        <v>1746</v>
      </c>
      <c r="C66" s="205" t="s">
        <v>40</v>
      </c>
      <c r="D66" s="205" t="s">
        <v>451</v>
      </c>
      <c r="E66" s="205" t="s">
        <v>60</v>
      </c>
      <c r="F66" s="206" t="s">
        <v>1747</v>
      </c>
      <c r="G66" s="205" t="s">
        <v>163</v>
      </c>
      <c r="H66" s="211">
        <v>2000</v>
      </c>
      <c r="I66" s="234">
        <v>2000</v>
      </c>
      <c r="J66" s="205" t="s">
        <v>179</v>
      </c>
      <c r="K66" s="205" t="s">
        <v>43</v>
      </c>
      <c r="M66">
        <f t="shared" si="0"/>
        <v>400</v>
      </c>
    </row>
    <row r="67" spans="1:13" x14ac:dyDescent="0.25">
      <c r="A67" s="203">
        <v>1</v>
      </c>
      <c r="B67" s="205" t="s">
        <v>1748</v>
      </c>
      <c r="C67" s="205" t="s">
        <v>48</v>
      </c>
      <c r="D67" s="205" t="s">
        <v>141</v>
      </c>
      <c r="E67" s="205" t="s">
        <v>45</v>
      </c>
      <c r="F67" s="206" t="s">
        <v>1749</v>
      </c>
      <c r="G67" s="205" t="s">
        <v>42</v>
      </c>
      <c r="H67" s="211">
        <v>2000</v>
      </c>
      <c r="I67" s="234">
        <v>400</v>
      </c>
      <c r="J67" s="205" t="s">
        <v>179</v>
      </c>
      <c r="K67" s="205" t="s">
        <v>43</v>
      </c>
      <c r="M67">
        <f t="shared" si="0"/>
        <v>400</v>
      </c>
    </row>
    <row r="68" spans="1:13" x14ac:dyDescent="0.25">
      <c r="A68" s="203">
        <v>1</v>
      </c>
      <c r="B68" s="205" t="s">
        <v>1005</v>
      </c>
      <c r="C68" s="205" t="s">
        <v>48</v>
      </c>
      <c r="D68" s="205" t="s">
        <v>1735</v>
      </c>
      <c r="E68" s="205" t="s">
        <v>56</v>
      </c>
      <c r="F68" s="206" t="s">
        <v>1750</v>
      </c>
      <c r="G68" s="205" t="s">
        <v>42</v>
      </c>
      <c r="H68" s="211">
        <v>15000</v>
      </c>
      <c r="I68" s="234">
        <v>3000</v>
      </c>
      <c r="J68" s="205" t="s">
        <v>179</v>
      </c>
      <c r="K68" s="205" t="s">
        <v>43</v>
      </c>
      <c r="M68">
        <f t="shared" si="0"/>
        <v>3000</v>
      </c>
    </row>
    <row r="69" spans="1:13" x14ac:dyDescent="0.25">
      <c r="A69" s="203">
        <v>1</v>
      </c>
      <c r="B69" s="205" t="s">
        <v>1751</v>
      </c>
      <c r="C69" s="205" t="s">
        <v>40</v>
      </c>
      <c r="D69" s="205" t="s">
        <v>1798</v>
      </c>
      <c r="E69" s="205" t="s">
        <v>75</v>
      </c>
      <c r="F69" s="206" t="s">
        <v>1752</v>
      </c>
      <c r="G69" s="205" t="s">
        <v>163</v>
      </c>
      <c r="H69" s="211">
        <v>1500</v>
      </c>
      <c r="I69" s="234">
        <v>1500</v>
      </c>
      <c r="J69" s="205" t="s">
        <v>179</v>
      </c>
      <c r="K69" s="205" t="s">
        <v>43</v>
      </c>
      <c r="M69">
        <f t="shared" si="0"/>
        <v>300</v>
      </c>
    </row>
    <row r="70" spans="1:13" x14ac:dyDescent="0.25">
      <c r="A70" s="203">
        <v>1</v>
      </c>
      <c r="B70" s="205" t="s">
        <v>1753</v>
      </c>
      <c r="C70" s="205" t="s">
        <v>40</v>
      </c>
      <c r="D70" s="205" t="s">
        <v>1754</v>
      </c>
      <c r="E70" s="205" t="s">
        <v>49</v>
      </c>
      <c r="F70" s="206" t="s">
        <v>1755</v>
      </c>
      <c r="G70" s="205" t="s">
        <v>163</v>
      </c>
      <c r="H70" s="211">
        <v>300</v>
      </c>
      <c r="I70" s="234">
        <v>300</v>
      </c>
      <c r="J70" s="205" t="s">
        <v>179</v>
      </c>
      <c r="K70" s="205" t="s">
        <v>43</v>
      </c>
      <c r="M70">
        <f t="shared" si="0"/>
        <v>60</v>
      </c>
    </row>
    <row r="71" spans="1:13" x14ac:dyDescent="0.25">
      <c r="A71" s="203">
        <v>1</v>
      </c>
      <c r="B71" s="205" t="s">
        <v>1756</v>
      </c>
      <c r="C71" s="205" t="s">
        <v>40</v>
      </c>
      <c r="D71" s="205" t="s">
        <v>1757</v>
      </c>
      <c r="E71" s="205" t="s">
        <v>56</v>
      </c>
      <c r="F71" s="206"/>
      <c r="G71" s="205" t="s">
        <v>42</v>
      </c>
      <c r="H71" s="211">
        <v>1000</v>
      </c>
      <c r="I71" s="234">
        <v>200</v>
      </c>
      <c r="J71" s="205" t="s">
        <v>179</v>
      </c>
      <c r="K71" s="205" t="s">
        <v>43</v>
      </c>
      <c r="M71">
        <f t="shared" si="0"/>
        <v>200</v>
      </c>
    </row>
    <row r="72" spans="1:13" x14ac:dyDescent="0.25">
      <c r="A72" s="203">
        <v>1</v>
      </c>
      <c r="B72" s="205" t="s">
        <v>1758</v>
      </c>
      <c r="C72" s="205" t="s">
        <v>40</v>
      </c>
      <c r="D72" s="205" t="s">
        <v>1759</v>
      </c>
      <c r="E72" s="205" t="s">
        <v>61</v>
      </c>
      <c r="F72" s="206"/>
      <c r="G72" s="205" t="s">
        <v>42</v>
      </c>
      <c r="H72" s="211">
        <v>1400</v>
      </c>
      <c r="I72" s="234" t="s">
        <v>255</v>
      </c>
      <c r="J72" s="205" t="s">
        <v>179</v>
      </c>
      <c r="K72" s="205" t="s">
        <v>43</v>
      </c>
      <c r="M72">
        <f t="shared" si="0"/>
        <v>280</v>
      </c>
    </row>
    <row r="73" spans="1:13" x14ac:dyDescent="0.25">
      <c r="A73" s="203">
        <v>1</v>
      </c>
      <c r="B73" s="205" t="s">
        <v>1758</v>
      </c>
      <c r="C73" s="205" t="s">
        <v>40</v>
      </c>
      <c r="D73" s="205" t="s">
        <v>1759</v>
      </c>
      <c r="E73" s="205" t="s">
        <v>61</v>
      </c>
      <c r="F73" s="206"/>
      <c r="G73" s="205" t="s">
        <v>163</v>
      </c>
      <c r="H73" s="211">
        <v>800</v>
      </c>
      <c r="I73" s="234" t="s">
        <v>255</v>
      </c>
      <c r="J73" s="205" t="s">
        <v>179</v>
      </c>
      <c r="K73" s="205" t="s">
        <v>43</v>
      </c>
      <c r="M73">
        <f t="shared" si="0"/>
        <v>160</v>
      </c>
    </row>
    <row r="74" spans="1:13" x14ac:dyDescent="0.25">
      <c r="A74" s="203">
        <v>1</v>
      </c>
      <c r="B74" s="205" t="s">
        <v>1760</v>
      </c>
      <c r="C74" s="205" t="s">
        <v>40</v>
      </c>
      <c r="D74" s="205" t="s">
        <v>1761</v>
      </c>
      <c r="E74" s="205" t="s">
        <v>61</v>
      </c>
      <c r="F74" s="206"/>
      <c r="G74" s="205" t="s">
        <v>42</v>
      </c>
      <c r="H74" s="211">
        <v>3000</v>
      </c>
      <c r="I74" s="234" t="s">
        <v>255</v>
      </c>
      <c r="J74" s="205" t="s">
        <v>179</v>
      </c>
      <c r="K74" s="205" t="s">
        <v>43</v>
      </c>
      <c r="M74">
        <f t="shared" si="0"/>
        <v>600</v>
      </c>
    </row>
    <row r="75" spans="1:13" x14ac:dyDescent="0.25">
      <c r="A75" s="203">
        <v>1</v>
      </c>
      <c r="B75" s="205" t="s">
        <v>1762</v>
      </c>
      <c r="C75" s="205" t="s">
        <v>48</v>
      </c>
      <c r="D75" s="205" t="s">
        <v>1763</v>
      </c>
      <c r="E75" s="205" t="s">
        <v>75</v>
      </c>
      <c r="F75" s="206" t="s">
        <v>1764</v>
      </c>
      <c r="G75" s="205" t="s">
        <v>42</v>
      </c>
      <c r="H75" s="211">
        <v>100</v>
      </c>
      <c r="I75" s="234" t="s">
        <v>255</v>
      </c>
      <c r="J75" s="205" t="s">
        <v>179</v>
      </c>
      <c r="K75" s="205" t="s">
        <v>43</v>
      </c>
      <c r="M75">
        <f t="shared" si="0"/>
        <v>20</v>
      </c>
    </row>
    <row r="76" spans="1:13" x14ac:dyDescent="0.25">
      <c r="A76" s="203">
        <v>1</v>
      </c>
      <c r="B76" s="205" t="s">
        <v>1765</v>
      </c>
      <c r="C76" s="205" t="s">
        <v>40</v>
      </c>
      <c r="D76" s="205" t="s">
        <v>1766</v>
      </c>
      <c r="E76" s="205" t="s">
        <v>68</v>
      </c>
      <c r="F76" s="206" t="s">
        <v>1767</v>
      </c>
      <c r="G76" s="205" t="s">
        <v>163</v>
      </c>
      <c r="H76" s="211">
        <v>5000</v>
      </c>
      <c r="I76" s="234">
        <v>5000</v>
      </c>
      <c r="J76" s="205" t="s">
        <v>179</v>
      </c>
      <c r="K76" s="205" t="s">
        <v>43</v>
      </c>
      <c r="M76">
        <f t="shared" si="0"/>
        <v>1000</v>
      </c>
    </row>
    <row r="77" spans="1:13" x14ac:dyDescent="0.25">
      <c r="A77" s="203">
        <v>1</v>
      </c>
      <c r="B77" s="205" t="s">
        <v>1768</v>
      </c>
      <c r="C77" s="205" t="s">
        <v>40</v>
      </c>
      <c r="D77" s="205" t="s">
        <v>151</v>
      </c>
      <c r="E77" s="205" t="s">
        <v>52</v>
      </c>
      <c r="F77" s="206"/>
      <c r="G77" s="205" t="s">
        <v>42</v>
      </c>
      <c r="H77" s="211">
        <v>4000</v>
      </c>
      <c r="I77" s="234">
        <v>800</v>
      </c>
      <c r="J77" s="205" t="s">
        <v>179</v>
      </c>
      <c r="K77" s="205" t="s">
        <v>43</v>
      </c>
      <c r="M77">
        <f t="shared" si="0"/>
        <v>800</v>
      </c>
    </row>
    <row r="78" spans="1:13" x14ac:dyDescent="0.25">
      <c r="A78" s="203">
        <v>1</v>
      </c>
      <c r="B78" s="205" t="s">
        <v>1769</v>
      </c>
      <c r="C78" s="205" t="s">
        <v>40</v>
      </c>
      <c r="D78" s="205" t="s">
        <v>1263</v>
      </c>
      <c r="E78" s="205" t="s">
        <v>59</v>
      </c>
      <c r="F78" s="206" t="s">
        <v>1770</v>
      </c>
      <c r="G78" s="205" t="s">
        <v>1400</v>
      </c>
      <c r="H78" s="211">
        <v>2500</v>
      </c>
      <c r="I78" s="234">
        <v>500</v>
      </c>
      <c r="J78" s="205" t="s">
        <v>179</v>
      </c>
      <c r="K78" s="205" t="s">
        <v>43</v>
      </c>
      <c r="M78">
        <f t="shared" si="0"/>
        <v>500</v>
      </c>
    </row>
    <row r="79" spans="1:13" x14ac:dyDescent="0.25">
      <c r="A79" s="203">
        <v>1</v>
      </c>
      <c r="B79" s="205" t="s">
        <v>1771</v>
      </c>
      <c r="C79" s="205" t="s">
        <v>40</v>
      </c>
      <c r="D79" s="205" t="s">
        <v>1231</v>
      </c>
      <c r="E79" s="205" t="s">
        <v>52</v>
      </c>
      <c r="F79" s="206" t="s">
        <v>1772</v>
      </c>
      <c r="G79" s="205" t="s">
        <v>42</v>
      </c>
      <c r="H79" s="211">
        <v>3000</v>
      </c>
      <c r="I79" s="234">
        <v>600</v>
      </c>
      <c r="J79" s="205" t="s">
        <v>179</v>
      </c>
      <c r="K79" s="205" t="s">
        <v>43</v>
      </c>
      <c r="M79">
        <f t="shared" si="0"/>
        <v>600</v>
      </c>
    </row>
    <row r="80" spans="1:13" x14ac:dyDescent="0.25">
      <c r="A80" s="203">
        <v>1</v>
      </c>
      <c r="B80" s="205" t="s">
        <v>919</v>
      </c>
      <c r="C80" s="205" t="s">
        <v>48</v>
      </c>
      <c r="D80" s="205" t="s">
        <v>658</v>
      </c>
      <c r="E80" s="205" t="s">
        <v>50</v>
      </c>
      <c r="F80" s="206"/>
      <c r="G80" s="205" t="s">
        <v>42</v>
      </c>
      <c r="H80" s="211">
        <v>2000</v>
      </c>
      <c r="I80" s="234">
        <v>400</v>
      </c>
      <c r="J80" s="205" t="s">
        <v>179</v>
      </c>
      <c r="K80" s="205" t="s">
        <v>43</v>
      </c>
      <c r="M80">
        <f t="shared" si="0"/>
        <v>400</v>
      </c>
    </row>
    <row r="81" spans="1:16" x14ac:dyDescent="0.25">
      <c r="A81" s="203">
        <v>2</v>
      </c>
      <c r="B81" s="205" t="s">
        <v>427</v>
      </c>
      <c r="C81" s="205" t="s">
        <v>40</v>
      </c>
      <c r="D81" s="205" t="s">
        <v>288</v>
      </c>
      <c r="E81" s="205" t="s">
        <v>57</v>
      </c>
      <c r="F81" s="206" t="s">
        <v>1628</v>
      </c>
      <c r="G81" s="205" t="s">
        <v>42</v>
      </c>
      <c r="H81" s="211">
        <v>1500</v>
      </c>
      <c r="I81" s="234">
        <v>300</v>
      </c>
      <c r="J81" s="205" t="s">
        <v>179</v>
      </c>
      <c r="K81" s="205" t="s">
        <v>43</v>
      </c>
      <c r="M81">
        <f t="shared" si="0"/>
        <v>300</v>
      </c>
    </row>
    <row r="82" spans="1:16" x14ac:dyDescent="0.25">
      <c r="A82" s="203">
        <v>2</v>
      </c>
      <c r="B82" s="205" t="s">
        <v>1773</v>
      </c>
      <c r="C82" s="205" t="s">
        <v>40</v>
      </c>
      <c r="D82" s="205" t="s">
        <v>288</v>
      </c>
      <c r="E82" s="205" t="s">
        <v>63</v>
      </c>
      <c r="F82" s="206" t="s">
        <v>1774</v>
      </c>
      <c r="G82" s="205" t="s">
        <v>42</v>
      </c>
      <c r="H82" s="211">
        <v>5000</v>
      </c>
      <c r="I82" s="234">
        <v>1000</v>
      </c>
      <c r="J82" s="205" t="s">
        <v>179</v>
      </c>
      <c r="K82" s="205" t="s">
        <v>43</v>
      </c>
      <c r="M82">
        <f t="shared" si="0"/>
        <v>1000</v>
      </c>
    </row>
    <row r="83" spans="1:16" x14ac:dyDescent="0.25">
      <c r="A83" s="203">
        <v>2</v>
      </c>
      <c r="B83" s="205" t="s">
        <v>1775</v>
      </c>
      <c r="C83" s="205" t="s">
        <v>40</v>
      </c>
      <c r="D83" s="205" t="s">
        <v>1776</v>
      </c>
      <c r="E83" s="206" t="s">
        <v>45</v>
      </c>
      <c r="F83" s="206" t="s">
        <v>1777</v>
      </c>
      <c r="G83" s="205" t="s">
        <v>42</v>
      </c>
      <c r="H83" s="211">
        <v>5000</v>
      </c>
      <c r="I83" s="234">
        <v>1000</v>
      </c>
      <c r="J83" s="205" t="s">
        <v>179</v>
      </c>
      <c r="K83" s="205" t="s">
        <v>43</v>
      </c>
      <c r="M83">
        <f t="shared" si="0"/>
        <v>1000</v>
      </c>
    </row>
    <row r="84" spans="1:16" x14ac:dyDescent="0.25">
      <c r="A84" s="203">
        <v>2</v>
      </c>
      <c r="B84" s="205" t="s">
        <v>1778</v>
      </c>
      <c r="C84" s="205" t="s">
        <v>40</v>
      </c>
      <c r="D84" s="205" t="s">
        <v>159</v>
      </c>
      <c r="E84" s="205" t="s">
        <v>52</v>
      </c>
      <c r="F84" s="206" t="s">
        <v>1779</v>
      </c>
      <c r="G84" s="205" t="s">
        <v>42</v>
      </c>
      <c r="H84" s="211">
        <v>5000</v>
      </c>
      <c r="I84" s="234">
        <v>1000</v>
      </c>
      <c r="J84" s="205" t="s">
        <v>179</v>
      </c>
      <c r="K84" s="205" t="s">
        <v>43</v>
      </c>
      <c r="M84">
        <f t="shared" si="0"/>
        <v>1000</v>
      </c>
    </row>
    <row r="85" spans="1:16" x14ac:dyDescent="0.25">
      <c r="A85" s="203">
        <v>2</v>
      </c>
      <c r="B85" s="205" t="s">
        <v>1778</v>
      </c>
      <c r="C85" s="205" t="s">
        <v>40</v>
      </c>
      <c r="D85" s="205" t="s">
        <v>159</v>
      </c>
      <c r="E85" s="205" t="s">
        <v>52</v>
      </c>
      <c r="F85" s="206" t="s">
        <v>1779</v>
      </c>
      <c r="G85" s="205" t="s">
        <v>163</v>
      </c>
      <c r="H85" s="211">
        <v>200</v>
      </c>
      <c r="I85" s="234">
        <v>200</v>
      </c>
      <c r="J85" s="205" t="s">
        <v>179</v>
      </c>
      <c r="K85" s="205" t="s">
        <v>43</v>
      </c>
      <c r="M85">
        <f t="shared" si="0"/>
        <v>40</v>
      </c>
    </row>
    <row r="86" spans="1:16" x14ac:dyDescent="0.25">
      <c r="A86" s="203">
        <v>2</v>
      </c>
      <c r="B86" s="205" t="s">
        <v>1780</v>
      </c>
      <c r="C86" s="205" t="s">
        <v>48</v>
      </c>
      <c r="D86" s="205" t="s">
        <v>501</v>
      </c>
      <c r="E86" s="205" t="s">
        <v>44</v>
      </c>
      <c r="F86" s="206" t="s">
        <v>1781</v>
      </c>
      <c r="G86" s="205" t="s">
        <v>42</v>
      </c>
      <c r="H86" s="211">
        <v>300</v>
      </c>
      <c r="I86" s="234">
        <v>60</v>
      </c>
      <c r="J86" s="205" t="s">
        <v>179</v>
      </c>
      <c r="K86" s="205" t="s">
        <v>43</v>
      </c>
      <c r="M86">
        <f t="shared" si="0"/>
        <v>60</v>
      </c>
    </row>
    <row r="87" spans="1:16" x14ac:dyDescent="0.25">
      <c r="A87" s="203">
        <v>3</v>
      </c>
      <c r="B87" s="205" t="s">
        <v>1782</v>
      </c>
      <c r="C87" s="205" t="s">
        <v>48</v>
      </c>
      <c r="D87" s="205" t="s">
        <v>1176</v>
      </c>
      <c r="E87" s="205" t="s">
        <v>59</v>
      </c>
      <c r="F87" s="206" t="s">
        <v>1783</v>
      </c>
      <c r="G87" s="205" t="s">
        <v>42</v>
      </c>
      <c r="H87" s="211">
        <v>9000</v>
      </c>
      <c r="I87" s="234">
        <v>1800</v>
      </c>
      <c r="J87" s="205" t="s">
        <v>179</v>
      </c>
      <c r="K87" s="205" t="s">
        <v>43</v>
      </c>
      <c r="M87">
        <f t="shared" si="0"/>
        <v>1800</v>
      </c>
    </row>
    <row r="88" spans="1:16" x14ac:dyDescent="0.25">
      <c r="A88" s="203">
        <v>3</v>
      </c>
      <c r="B88" s="205" t="s">
        <v>1784</v>
      </c>
      <c r="C88" s="205" t="s">
        <v>40</v>
      </c>
      <c r="D88" s="205" t="s">
        <v>288</v>
      </c>
      <c r="E88" s="205" t="s">
        <v>60</v>
      </c>
      <c r="F88" s="206" t="s">
        <v>1349</v>
      </c>
      <c r="G88" s="205" t="s">
        <v>42</v>
      </c>
      <c r="H88" s="211">
        <v>4000</v>
      </c>
      <c r="I88" s="234">
        <v>800</v>
      </c>
      <c r="J88" s="205" t="s">
        <v>179</v>
      </c>
      <c r="K88" s="205" t="s">
        <v>43</v>
      </c>
      <c r="M88">
        <f t="shared" si="0"/>
        <v>800</v>
      </c>
      <c r="P88" s="57"/>
    </row>
    <row r="89" spans="1:16" x14ac:dyDescent="0.25">
      <c r="A89" s="203">
        <v>3</v>
      </c>
      <c r="B89" s="205" t="s">
        <v>1785</v>
      </c>
      <c r="C89" s="205" t="s">
        <v>40</v>
      </c>
      <c r="D89" s="205"/>
      <c r="E89" s="205" t="s">
        <v>89</v>
      </c>
      <c r="F89" s="206" t="s">
        <v>1786</v>
      </c>
      <c r="G89" s="205" t="s">
        <v>163</v>
      </c>
      <c r="H89" s="211">
        <v>240</v>
      </c>
      <c r="I89" s="234">
        <v>240</v>
      </c>
      <c r="J89" s="205" t="s">
        <v>179</v>
      </c>
      <c r="K89" s="205" t="s">
        <v>43</v>
      </c>
      <c r="M89">
        <f t="shared" si="0"/>
        <v>48</v>
      </c>
    </row>
    <row r="90" spans="1:16" x14ac:dyDescent="0.25">
      <c r="A90" s="203">
        <v>3</v>
      </c>
      <c r="B90" s="205" t="s">
        <v>1787</v>
      </c>
      <c r="C90" s="205" t="s">
        <v>40</v>
      </c>
      <c r="D90" s="205" t="s">
        <v>288</v>
      </c>
      <c r="E90" s="205" t="s">
        <v>44</v>
      </c>
      <c r="F90" s="206" t="s">
        <v>1788</v>
      </c>
      <c r="G90" s="205" t="s">
        <v>42</v>
      </c>
      <c r="H90" s="211">
        <v>1000</v>
      </c>
      <c r="I90" s="234">
        <v>200</v>
      </c>
      <c r="J90" s="205" t="s">
        <v>179</v>
      </c>
      <c r="K90" s="205" t="s">
        <v>43</v>
      </c>
      <c r="M90">
        <f t="shared" si="0"/>
        <v>200</v>
      </c>
    </row>
    <row r="91" spans="1:16" x14ac:dyDescent="0.25">
      <c r="A91" s="203">
        <v>3</v>
      </c>
      <c r="B91" s="205" t="s">
        <v>765</v>
      </c>
      <c r="C91" s="205" t="s">
        <v>40</v>
      </c>
      <c r="D91" s="205" t="s">
        <v>342</v>
      </c>
      <c r="E91" s="205" t="s">
        <v>47</v>
      </c>
      <c r="F91" s="206"/>
      <c r="G91" s="205" t="s">
        <v>163</v>
      </c>
      <c r="H91" s="211">
        <v>5000</v>
      </c>
      <c r="I91" s="234">
        <v>5000</v>
      </c>
      <c r="J91" s="205" t="s">
        <v>179</v>
      </c>
      <c r="K91" s="205" t="s">
        <v>43</v>
      </c>
      <c r="M91">
        <f t="shared" si="0"/>
        <v>1000</v>
      </c>
    </row>
    <row r="92" spans="1:16" x14ac:dyDescent="0.25">
      <c r="A92" s="203">
        <v>3</v>
      </c>
      <c r="B92" s="205" t="s">
        <v>1789</v>
      </c>
      <c r="C92" s="205" t="s">
        <v>48</v>
      </c>
      <c r="D92" s="205" t="s">
        <v>1179</v>
      </c>
      <c r="E92" s="205" t="s">
        <v>52</v>
      </c>
      <c r="F92" s="206" t="s">
        <v>1790</v>
      </c>
      <c r="G92" s="205" t="s">
        <v>42</v>
      </c>
      <c r="H92" s="211">
        <v>1000</v>
      </c>
      <c r="I92" s="234">
        <v>200</v>
      </c>
      <c r="J92" s="205" t="s">
        <v>179</v>
      </c>
      <c r="K92" s="205" t="s">
        <v>43</v>
      </c>
      <c r="M92">
        <f t="shared" si="0"/>
        <v>200</v>
      </c>
    </row>
    <row r="93" spans="1:16" x14ac:dyDescent="0.25">
      <c r="A93" s="203">
        <v>3</v>
      </c>
      <c r="B93" s="205" t="s">
        <v>1791</v>
      </c>
      <c r="C93" s="205" t="s">
        <v>40</v>
      </c>
      <c r="D93" s="205" t="s">
        <v>1267</v>
      </c>
      <c r="E93" s="205" t="s">
        <v>60</v>
      </c>
      <c r="F93" s="206" t="s">
        <v>1792</v>
      </c>
      <c r="G93" s="205" t="s">
        <v>42</v>
      </c>
      <c r="H93" s="211">
        <v>1500</v>
      </c>
      <c r="I93" s="234">
        <v>300</v>
      </c>
      <c r="J93" s="205" t="s">
        <v>179</v>
      </c>
      <c r="K93" s="205" t="s">
        <v>43</v>
      </c>
      <c r="M93">
        <f t="shared" si="0"/>
        <v>300</v>
      </c>
    </row>
    <row r="94" spans="1:16" x14ac:dyDescent="0.25">
      <c r="A94" s="203">
        <v>3</v>
      </c>
      <c r="B94" s="205" t="s">
        <v>1791</v>
      </c>
      <c r="C94" s="205" t="s">
        <v>40</v>
      </c>
      <c r="D94" s="205" t="s">
        <v>1267</v>
      </c>
      <c r="E94" s="205" t="s">
        <v>60</v>
      </c>
      <c r="F94" s="206" t="s">
        <v>1792</v>
      </c>
      <c r="G94" s="205" t="s">
        <v>180</v>
      </c>
      <c r="H94" s="211">
        <v>200</v>
      </c>
      <c r="I94" s="234">
        <v>100</v>
      </c>
      <c r="J94" s="205" t="s">
        <v>179</v>
      </c>
      <c r="K94" s="205" t="s">
        <v>43</v>
      </c>
      <c r="M94">
        <f t="shared" si="0"/>
        <v>40</v>
      </c>
    </row>
    <row r="95" spans="1:16" x14ac:dyDescent="0.25">
      <c r="A95" s="203">
        <v>3</v>
      </c>
      <c r="B95" s="205" t="s">
        <v>1793</v>
      </c>
      <c r="C95" s="205" t="s">
        <v>40</v>
      </c>
      <c r="D95" s="205" t="s">
        <v>1263</v>
      </c>
      <c r="E95" s="205" t="s">
        <v>51</v>
      </c>
      <c r="F95" s="206" t="s">
        <v>1794</v>
      </c>
      <c r="G95" s="205" t="s">
        <v>42</v>
      </c>
      <c r="H95" s="211">
        <v>3000</v>
      </c>
      <c r="I95" s="234">
        <v>600</v>
      </c>
      <c r="J95" s="205" t="s">
        <v>179</v>
      </c>
      <c r="K95" s="205" t="s">
        <v>43</v>
      </c>
      <c r="M95">
        <f t="shared" si="0"/>
        <v>600</v>
      </c>
    </row>
    <row r="96" spans="1:16" x14ac:dyDescent="0.25">
      <c r="A96" s="203">
        <v>3</v>
      </c>
      <c r="B96" s="205" t="s">
        <v>1795</v>
      </c>
      <c r="C96" s="205" t="s">
        <v>48</v>
      </c>
      <c r="D96" s="205" t="s">
        <v>981</v>
      </c>
      <c r="E96" s="205" t="s">
        <v>45</v>
      </c>
      <c r="F96" s="206" t="s">
        <v>1796</v>
      </c>
      <c r="G96" s="205" t="s">
        <v>42</v>
      </c>
      <c r="H96" s="211">
        <v>300</v>
      </c>
      <c r="I96" s="234">
        <v>60</v>
      </c>
      <c r="J96" s="205" t="s">
        <v>179</v>
      </c>
      <c r="K96" s="205" t="s">
        <v>43</v>
      </c>
      <c r="M96">
        <f t="shared" si="0"/>
        <v>60</v>
      </c>
    </row>
    <row r="97" spans="1:16" x14ac:dyDescent="0.25">
      <c r="A97" s="203">
        <v>3</v>
      </c>
      <c r="B97" s="205" t="s">
        <v>1797</v>
      </c>
      <c r="C97" s="205" t="s">
        <v>40</v>
      </c>
      <c r="D97" s="205" t="s">
        <v>1798</v>
      </c>
      <c r="E97" s="205" t="s">
        <v>75</v>
      </c>
      <c r="F97" s="206" t="s">
        <v>1799</v>
      </c>
      <c r="G97" s="205" t="s">
        <v>42</v>
      </c>
      <c r="H97" s="211">
        <v>500</v>
      </c>
      <c r="I97" s="234">
        <v>100</v>
      </c>
      <c r="J97" s="205" t="s">
        <v>179</v>
      </c>
      <c r="K97" s="205" t="s">
        <v>43</v>
      </c>
      <c r="M97">
        <f t="shared" si="0"/>
        <v>100</v>
      </c>
    </row>
    <row r="98" spans="1:16" x14ac:dyDescent="0.25">
      <c r="A98" s="203">
        <v>3</v>
      </c>
      <c r="B98" s="205" t="s">
        <v>1695</v>
      </c>
      <c r="C98" s="205" t="s">
        <v>40</v>
      </c>
      <c r="D98" s="205" t="s">
        <v>288</v>
      </c>
      <c r="E98" s="205" t="s">
        <v>63</v>
      </c>
      <c r="F98" s="206" t="s">
        <v>1696</v>
      </c>
      <c r="G98" s="205" t="s">
        <v>180</v>
      </c>
      <c r="H98" s="211">
        <v>100</v>
      </c>
      <c r="I98" s="234">
        <v>50</v>
      </c>
      <c r="J98" s="205" t="s">
        <v>179</v>
      </c>
      <c r="K98" s="205" t="s">
        <v>43</v>
      </c>
      <c r="M98">
        <f t="shared" si="0"/>
        <v>20</v>
      </c>
    </row>
    <row r="99" spans="1:16" x14ac:dyDescent="0.25">
      <c r="A99" s="203">
        <v>3</v>
      </c>
      <c r="B99" s="205" t="s">
        <v>1695</v>
      </c>
      <c r="C99" s="205" t="s">
        <v>40</v>
      </c>
      <c r="D99" s="205" t="s">
        <v>288</v>
      </c>
      <c r="E99" s="205" t="s">
        <v>63</v>
      </c>
      <c r="F99" s="206" t="s">
        <v>1696</v>
      </c>
      <c r="G99" s="205" t="s">
        <v>163</v>
      </c>
      <c r="H99" s="211">
        <v>200</v>
      </c>
      <c r="I99" s="234">
        <v>200</v>
      </c>
      <c r="J99" s="205" t="s">
        <v>179</v>
      </c>
      <c r="K99" s="205" t="s">
        <v>43</v>
      </c>
      <c r="M99">
        <f t="shared" si="0"/>
        <v>40</v>
      </c>
    </row>
    <row r="100" spans="1:16" x14ac:dyDescent="0.25">
      <c r="A100" s="203">
        <v>3</v>
      </c>
      <c r="B100" s="205" t="s">
        <v>1800</v>
      </c>
      <c r="C100" s="205" t="s">
        <v>40</v>
      </c>
      <c r="D100" s="205" t="s">
        <v>1801</v>
      </c>
      <c r="E100" s="205" t="s">
        <v>59</v>
      </c>
      <c r="F100" s="206"/>
      <c r="G100" s="205" t="s">
        <v>42</v>
      </c>
      <c r="H100" s="211">
        <v>300</v>
      </c>
      <c r="I100" s="234">
        <v>60</v>
      </c>
      <c r="J100" s="205" t="s">
        <v>179</v>
      </c>
      <c r="K100" s="205" t="s">
        <v>43</v>
      </c>
      <c r="M100">
        <f t="shared" si="0"/>
        <v>60</v>
      </c>
    </row>
    <row r="101" spans="1:16" x14ac:dyDescent="0.25">
      <c r="A101" s="203">
        <v>3</v>
      </c>
      <c r="B101" s="205" t="s">
        <v>1805</v>
      </c>
      <c r="C101" s="205" t="s">
        <v>40</v>
      </c>
      <c r="D101" s="205" t="s">
        <v>562</v>
      </c>
      <c r="E101" s="205" t="s">
        <v>46</v>
      </c>
      <c r="F101" s="206" t="s">
        <v>1806</v>
      </c>
      <c r="G101" s="205" t="s">
        <v>163</v>
      </c>
      <c r="H101" s="211">
        <v>3500</v>
      </c>
      <c r="I101" s="234">
        <v>3500</v>
      </c>
      <c r="J101" s="205" t="s">
        <v>179</v>
      </c>
      <c r="K101" s="205" t="s">
        <v>43</v>
      </c>
      <c r="M101">
        <f t="shared" si="0"/>
        <v>700</v>
      </c>
    </row>
    <row r="102" spans="1:16" x14ac:dyDescent="0.25">
      <c r="A102" s="203">
        <v>3</v>
      </c>
      <c r="B102" s="205" t="s">
        <v>1807</v>
      </c>
      <c r="C102" s="205" t="s">
        <v>40</v>
      </c>
      <c r="D102" s="205" t="s">
        <v>620</v>
      </c>
      <c r="E102" s="205" t="s">
        <v>61</v>
      </c>
      <c r="F102" s="206" t="s">
        <v>1808</v>
      </c>
      <c r="G102" s="205" t="s">
        <v>163</v>
      </c>
      <c r="H102" s="211">
        <v>2000</v>
      </c>
      <c r="I102" s="234">
        <v>2000</v>
      </c>
      <c r="J102" s="205" t="s">
        <v>179</v>
      </c>
      <c r="K102" s="205" t="s">
        <v>43</v>
      </c>
      <c r="M102">
        <f t="shared" si="0"/>
        <v>400</v>
      </c>
    </row>
    <row r="103" spans="1:16" x14ac:dyDescent="0.25">
      <c r="A103" s="203">
        <v>3</v>
      </c>
      <c r="B103" s="205" t="s">
        <v>1809</v>
      </c>
      <c r="C103" s="205" t="s">
        <v>40</v>
      </c>
      <c r="D103" s="205"/>
      <c r="E103" s="205" t="s">
        <v>62</v>
      </c>
      <c r="F103" s="206" t="s">
        <v>1810</v>
      </c>
      <c r="G103" s="205" t="s">
        <v>163</v>
      </c>
      <c r="H103" s="211">
        <v>2000</v>
      </c>
      <c r="I103" s="234">
        <v>2000</v>
      </c>
      <c r="J103" s="205" t="s">
        <v>179</v>
      </c>
      <c r="K103" s="205" t="s">
        <v>43</v>
      </c>
      <c r="M103">
        <f t="shared" si="0"/>
        <v>400</v>
      </c>
    </row>
    <row r="104" spans="1:16" x14ac:dyDescent="0.25">
      <c r="A104" s="321">
        <v>4</v>
      </c>
      <c r="B104" s="205" t="s">
        <v>353</v>
      </c>
      <c r="C104" s="205" t="s">
        <v>40</v>
      </c>
      <c r="D104" s="205" t="s">
        <v>927</v>
      </c>
      <c r="E104" s="205" t="s">
        <v>57</v>
      </c>
      <c r="F104" s="206" t="s">
        <v>566</v>
      </c>
      <c r="G104" s="446" t="s">
        <v>1741</v>
      </c>
      <c r="H104" s="211">
        <v>400</v>
      </c>
      <c r="I104" s="234" t="s">
        <v>255</v>
      </c>
      <c r="J104" s="205" t="s">
        <v>179</v>
      </c>
      <c r="K104" s="205" t="s">
        <v>43</v>
      </c>
      <c r="M104">
        <f t="shared" si="0"/>
        <v>80</v>
      </c>
    </row>
    <row r="105" spans="1:16" x14ac:dyDescent="0.25">
      <c r="A105" s="203">
        <v>7</v>
      </c>
      <c r="B105" s="369" t="s">
        <v>698</v>
      </c>
      <c r="C105" s="205" t="s">
        <v>40</v>
      </c>
      <c r="D105" s="205" t="s">
        <v>699</v>
      </c>
      <c r="E105" s="205" t="s">
        <v>50</v>
      </c>
      <c r="F105" s="206" t="s">
        <v>700</v>
      </c>
      <c r="G105" s="205" t="s">
        <v>42</v>
      </c>
      <c r="H105" s="211">
        <v>2500</v>
      </c>
      <c r="I105" s="234">
        <v>500</v>
      </c>
      <c r="J105" s="205" t="s">
        <v>179</v>
      </c>
      <c r="K105" s="205" t="s">
        <v>43</v>
      </c>
      <c r="L105">
        <v>57</v>
      </c>
      <c r="M105">
        <f t="shared" si="0"/>
        <v>500</v>
      </c>
      <c r="P105" s="25"/>
    </row>
    <row r="106" spans="1:16" x14ac:dyDescent="0.25">
      <c r="A106" s="203">
        <v>7</v>
      </c>
      <c r="B106" s="205" t="s">
        <v>1812</v>
      </c>
      <c r="C106" s="205" t="s">
        <v>40</v>
      </c>
      <c r="D106" s="205" t="s">
        <v>1813</v>
      </c>
      <c r="E106" s="205" t="s">
        <v>45</v>
      </c>
      <c r="F106" s="206" t="s">
        <v>1814</v>
      </c>
      <c r="G106" s="205" t="s">
        <v>180</v>
      </c>
      <c r="H106" s="211">
        <v>200</v>
      </c>
      <c r="I106" s="234">
        <v>100</v>
      </c>
      <c r="J106" s="205" t="s">
        <v>179</v>
      </c>
      <c r="K106" s="205" t="s">
        <v>43</v>
      </c>
      <c r="M106">
        <f t="shared" si="0"/>
        <v>40</v>
      </c>
      <c r="P106" s="57"/>
    </row>
    <row r="107" spans="1:16" x14ac:dyDescent="0.25">
      <c r="A107" s="203">
        <v>7</v>
      </c>
      <c r="B107" s="205" t="s">
        <v>1812</v>
      </c>
      <c r="C107" s="205" t="s">
        <v>40</v>
      </c>
      <c r="D107" s="205" t="s">
        <v>1813</v>
      </c>
      <c r="E107" s="205" t="s">
        <v>45</v>
      </c>
      <c r="F107" s="206" t="s">
        <v>1814</v>
      </c>
      <c r="G107" s="205" t="s">
        <v>163</v>
      </c>
      <c r="H107" s="211">
        <v>50</v>
      </c>
      <c r="I107" s="234">
        <v>50</v>
      </c>
      <c r="J107" s="205" t="s">
        <v>179</v>
      </c>
      <c r="K107" s="205" t="s">
        <v>43</v>
      </c>
      <c r="M107">
        <f t="shared" si="0"/>
        <v>10</v>
      </c>
      <c r="P107" s="57"/>
    </row>
    <row r="108" spans="1:16" x14ac:dyDescent="0.25">
      <c r="A108" s="203">
        <v>7</v>
      </c>
      <c r="B108" s="205" t="s">
        <v>717</v>
      </c>
      <c r="C108" s="205" t="s">
        <v>40</v>
      </c>
      <c r="D108" s="205" t="s">
        <v>529</v>
      </c>
      <c r="E108" s="205" t="s">
        <v>59</v>
      </c>
      <c r="F108" s="206"/>
      <c r="G108" s="205" t="s">
        <v>42</v>
      </c>
      <c r="H108" s="211">
        <v>700</v>
      </c>
      <c r="I108" s="234">
        <v>140</v>
      </c>
      <c r="J108" s="205" t="s">
        <v>179</v>
      </c>
      <c r="K108" s="205" t="s">
        <v>43</v>
      </c>
      <c r="M108">
        <f t="shared" si="0"/>
        <v>140</v>
      </c>
      <c r="P108" s="57"/>
    </row>
    <row r="109" spans="1:16" x14ac:dyDescent="0.25">
      <c r="A109" s="203">
        <v>7</v>
      </c>
      <c r="B109" s="205" t="s">
        <v>1815</v>
      </c>
      <c r="C109" s="205" t="s">
        <v>48</v>
      </c>
      <c r="D109" s="205" t="s">
        <v>63</v>
      </c>
      <c r="E109" s="205" t="s">
        <v>57</v>
      </c>
      <c r="F109" s="206" t="s">
        <v>1816</v>
      </c>
      <c r="G109" s="205" t="s">
        <v>42</v>
      </c>
      <c r="H109" s="211">
        <v>10000</v>
      </c>
      <c r="I109" s="234">
        <v>2000</v>
      </c>
      <c r="J109" s="205" t="s">
        <v>179</v>
      </c>
      <c r="K109" s="205" t="s">
        <v>43</v>
      </c>
      <c r="M109">
        <f t="shared" si="0"/>
        <v>2000</v>
      </c>
      <c r="P109" s="57"/>
    </row>
    <row r="110" spans="1:16" x14ac:dyDescent="0.25">
      <c r="A110" s="203">
        <v>7</v>
      </c>
      <c r="B110" s="205" t="s">
        <v>1817</v>
      </c>
      <c r="C110" s="205" t="s">
        <v>48</v>
      </c>
      <c r="D110" s="205" t="s">
        <v>1553</v>
      </c>
      <c r="E110" s="205" t="s">
        <v>50</v>
      </c>
      <c r="F110" s="206" t="s">
        <v>1818</v>
      </c>
      <c r="G110" s="205" t="s">
        <v>42</v>
      </c>
      <c r="H110" s="211">
        <v>500</v>
      </c>
      <c r="I110" s="234">
        <v>100</v>
      </c>
      <c r="J110" s="205" t="s">
        <v>179</v>
      </c>
      <c r="K110" s="205" t="s">
        <v>43</v>
      </c>
      <c r="M110">
        <f t="shared" si="0"/>
        <v>100</v>
      </c>
      <c r="P110" s="57"/>
    </row>
    <row r="111" spans="1:16" x14ac:dyDescent="0.25">
      <c r="A111" s="203">
        <v>7</v>
      </c>
      <c r="B111" s="205" t="s">
        <v>1819</v>
      </c>
      <c r="C111" s="205" t="s">
        <v>40</v>
      </c>
      <c r="D111" s="205" t="s">
        <v>1258</v>
      </c>
      <c r="E111" s="205" t="s">
        <v>44</v>
      </c>
      <c r="F111" s="206"/>
      <c r="G111" s="205" t="s">
        <v>42</v>
      </c>
      <c r="H111" s="211">
        <v>1000</v>
      </c>
      <c r="I111" s="234">
        <v>200</v>
      </c>
      <c r="J111" s="205" t="s">
        <v>179</v>
      </c>
      <c r="K111" s="205" t="s">
        <v>43</v>
      </c>
      <c r="M111">
        <f t="shared" si="0"/>
        <v>200</v>
      </c>
      <c r="P111" s="57"/>
    </row>
    <row r="112" spans="1:16" x14ac:dyDescent="0.25">
      <c r="A112" s="203">
        <v>7</v>
      </c>
      <c r="B112" s="205" t="s">
        <v>1820</v>
      </c>
      <c r="C112" s="205" t="s">
        <v>48</v>
      </c>
      <c r="D112" s="205" t="s">
        <v>1821</v>
      </c>
      <c r="E112" s="205" t="s">
        <v>49</v>
      </c>
      <c r="F112" s="206" t="s">
        <v>1822</v>
      </c>
      <c r="G112" s="205" t="s">
        <v>42</v>
      </c>
      <c r="H112" s="211">
        <v>3000</v>
      </c>
      <c r="I112" s="234">
        <v>600</v>
      </c>
      <c r="J112" s="205" t="s">
        <v>179</v>
      </c>
      <c r="K112" s="205" t="s">
        <v>43</v>
      </c>
      <c r="M112">
        <f t="shared" si="0"/>
        <v>600</v>
      </c>
      <c r="P112" s="57"/>
    </row>
    <row r="113" spans="1:16" x14ac:dyDescent="0.25">
      <c r="A113" s="203">
        <v>7</v>
      </c>
      <c r="B113" s="205" t="s">
        <v>1823</v>
      </c>
      <c r="C113" s="205" t="s">
        <v>40</v>
      </c>
      <c r="D113" s="205" t="s">
        <v>1824</v>
      </c>
      <c r="E113" s="205" t="s">
        <v>45</v>
      </c>
      <c r="F113" s="206"/>
      <c r="G113" s="205" t="s">
        <v>42</v>
      </c>
      <c r="H113" s="211">
        <v>300</v>
      </c>
      <c r="I113" s="234">
        <v>60</v>
      </c>
      <c r="J113" s="205" t="s">
        <v>179</v>
      </c>
      <c r="K113" s="205" t="s">
        <v>43</v>
      </c>
      <c r="M113">
        <f t="shared" si="0"/>
        <v>60</v>
      </c>
      <c r="P113" s="57"/>
    </row>
    <row r="114" spans="1:16" x14ac:dyDescent="0.25">
      <c r="A114" s="203">
        <v>7</v>
      </c>
      <c r="B114" s="205" t="s">
        <v>1825</v>
      </c>
      <c r="C114" s="205" t="s">
        <v>40</v>
      </c>
      <c r="D114" s="205" t="s">
        <v>1826</v>
      </c>
      <c r="E114" s="205" t="s">
        <v>57</v>
      </c>
      <c r="F114" s="206"/>
      <c r="G114" s="205" t="s">
        <v>42</v>
      </c>
      <c r="H114" s="211">
        <v>600</v>
      </c>
      <c r="I114" s="234">
        <v>60</v>
      </c>
      <c r="J114" s="205" t="s">
        <v>179</v>
      </c>
      <c r="K114" s="205" t="s">
        <v>43</v>
      </c>
      <c r="M114">
        <f t="shared" si="0"/>
        <v>120</v>
      </c>
      <c r="P114" s="57"/>
    </row>
    <row r="115" spans="1:16" x14ac:dyDescent="0.25">
      <c r="A115" s="203">
        <v>7</v>
      </c>
      <c r="B115" s="205" t="s">
        <v>1827</v>
      </c>
      <c r="C115" s="205" t="s">
        <v>40</v>
      </c>
      <c r="D115" s="205" t="s">
        <v>501</v>
      </c>
      <c r="E115" s="205" t="s">
        <v>52</v>
      </c>
      <c r="F115" s="206" t="s">
        <v>1828</v>
      </c>
      <c r="G115" s="205" t="s">
        <v>42</v>
      </c>
      <c r="H115" s="211">
        <v>3000</v>
      </c>
      <c r="I115" s="234">
        <v>600</v>
      </c>
      <c r="J115" s="205" t="s">
        <v>179</v>
      </c>
      <c r="K115" s="205" t="s">
        <v>43</v>
      </c>
      <c r="M115">
        <f t="shared" si="0"/>
        <v>600</v>
      </c>
      <c r="P115" s="57"/>
    </row>
    <row r="116" spans="1:16" x14ac:dyDescent="0.25">
      <c r="A116" s="203">
        <v>7</v>
      </c>
      <c r="B116" s="205" t="s">
        <v>1829</v>
      </c>
      <c r="C116" s="205" t="s">
        <v>40</v>
      </c>
      <c r="D116" s="205" t="s">
        <v>144</v>
      </c>
      <c r="E116" s="205" t="s">
        <v>52</v>
      </c>
      <c r="F116" s="206" t="s">
        <v>1830</v>
      </c>
      <c r="G116" s="205" t="s">
        <v>42</v>
      </c>
      <c r="H116" s="211">
        <v>500</v>
      </c>
      <c r="I116" s="234">
        <v>100</v>
      </c>
      <c r="J116" s="205" t="s">
        <v>179</v>
      </c>
      <c r="K116" s="205" t="s">
        <v>43</v>
      </c>
      <c r="M116">
        <f t="shared" si="0"/>
        <v>100</v>
      </c>
      <c r="P116" s="57"/>
    </row>
    <row r="117" spans="1:16" x14ac:dyDescent="0.25">
      <c r="A117" s="203">
        <v>7</v>
      </c>
      <c r="B117" s="205" t="s">
        <v>1686</v>
      </c>
      <c r="C117" s="205" t="s">
        <v>40</v>
      </c>
      <c r="D117" s="205" t="s">
        <v>1687</v>
      </c>
      <c r="E117" s="205" t="s">
        <v>59</v>
      </c>
      <c r="F117" s="206" t="s">
        <v>1831</v>
      </c>
      <c r="G117" s="205" t="s">
        <v>42</v>
      </c>
      <c r="H117" s="211">
        <v>100</v>
      </c>
      <c r="I117" s="234">
        <v>20</v>
      </c>
      <c r="J117" s="205" t="s">
        <v>179</v>
      </c>
      <c r="K117" s="205" t="s">
        <v>43</v>
      </c>
      <c r="M117">
        <f t="shared" si="0"/>
        <v>20</v>
      </c>
      <c r="P117" s="57"/>
    </row>
    <row r="118" spans="1:16" x14ac:dyDescent="0.25">
      <c r="A118" s="203">
        <v>7</v>
      </c>
      <c r="B118" s="205" t="s">
        <v>427</v>
      </c>
      <c r="C118" s="205" t="s">
        <v>40</v>
      </c>
      <c r="D118" s="205" t="s">
        <v>144</v>
      </c>
      <c r="E118" s="205" t="s">
        <v>57</v>
      </c>
      <c r="F118" s="206" t="s">
        <v>1628</v>
      </c>
      <c r="G118" s="205" t="s">
        <v>42</v>
      </c>
      <c r="H118" s="211">
        <v>6600</v>
      </c>
      <c r="I118" s="234">
        <v>1320</v>
      </c>
      <c r="J118" s="205" t="s">
        <v>179</v>
      </c>
      <c r="K118" s="205" t="s">
        <v>43</v>
      </c>
      <c r="M118">
        <f t="shared" si="0"/>
        <v>1320</v>
      </c>
      <c r="P118" s="57"/>
    </row>
    <row r="119" spans="1:16" x14ac:dyDescent="0.25">
      <c r="A119" s="203">
        <v>7</v>
      </c>
      <c r="B119" s="205" t="s">
        <v>1832</v>
      </c>
      <c r="C119" s="205" t="s">
        <v>40</v>
      </c>
      <c r="D119" s="205" t="s">
        <v>302</v>
      </c>
      <c r="E119" s="205" t="s">
        <v>57</v>
      </c>
      <c r="F119" s="206" t="s">
        <v>1833</v>
      </c>
      <c r="G119" s="205" t="s">
        <v>42</v>
      </c>
      <c r="H119" s="211">
        <v>1000</v>
      </c>
      <c r="I119" s="234">
        <v>300</v>
      </c>
      <c r="J119" s="205" t="s">
        <v>179</v>
      </c>
      <c r="K119" s="205" t="s">
        <v>43</v>
      </c>
      <c r="M119">
        <f t="shared" si="0"/>
        <v>200</v>
      </c>
      <c r="P119" s="57"/>
    </row>
    <row r="120" spans="1:16" x14ac:dyDescent="0.25">
      <c r="A120" s="203">
        <v>7</v>
      </c>
      <c r="B120" s="205" t="s">
        <v>1834</v>
      </c>
      <c r="C120" s="205" t="s">
        <v>40</v>
      </c>
      <c r="D120" s="205" t="s">
        <v>1835</v>
      </c>
      <c r="E120" s="205" t="s">
        <v>59</v>
      </c>
      <c r="F120" s="206" t="s">
        <v>1836</v>
      </c>
      <c r="G120" s="205" t="s">
        <v>42</v>
      </c>
      <c r="H120" s="211">
        <v>500</v>
      </c>
      <c r="I120" s="234">
        <v>100</v>
      </c>
      <c r="J120" s="205" t="s">
        <v>179</v>
      </c>
      <c r="K120" s="205" t="s">
        <v>43</v>
      </c>
      <c r="M120">
        <f t="shared" si="0"/>
        <v>100</v>
      </c>
      <c r="P120" s="57"/>
    </row>
    <row r="121" spans="1:16" x14ac:dyDescent="0.25">
      <c r="A121" s="203">
        <v>7</v>
      </c>
      <c r="B121" s="205" t="s">
        <v>1837</v>
      </c>
      <c r="C121" s="205" t="s">
        <v>40</v>
      </c>
      <c r="D121" s="205" t="s">
        <v>159</v>
      </c>
      <c r="E121" s="205" t="s">
        <v>52</v>
      </c>
      <c r="F121" s="206" t="s">
        <v>1838</v>
      </c>
      <c r="G121" s="205" t="s">
        <v>1400</v>
      </c>
      <c r="H121" s="211">
        <v>12000</v>
      </c>
      <c r="I121" s="234">
        <v>2400</v>
      </c>
      <c r="J121" s="205" t="s">
        <v>179</v>
      </c>
      <c r="K121" s="205" t="s">
        <v>43</v>
      </c>
      <c r="M121">
        <f t="shared" si="0"/>
        <v>2400</v>
      </c>
      <c r="P121" s="57"/>
    </row>
    <row r="122" spans="1:16" x14ac:dyDescent="0.25">
      <c r="A122" s="203">
        <v>7</v>
      </c>
      <c r="B122" s="205" t="s">
        <v>1837</v>
      </c>
      <c r="C122" s="205" t="s">
        <v>40</v>
      </c>
      <c r="D122" s="205" t="s">
        <v>159</v>
      </c>
      <c r="E122" s="205" t="s">
        <v>52</v>
      </c>
      <c r="F122" s="206" t="s">
        <v>1838</v>
      </c>
      <c r="G122" s="205" t="s">
        <v>180</v>
      </c>
      <c r="H122" s="211">
        <v>500</v>
      </c>
      <c r="I122" s="234">
        <v>250</v>
      </c>
      <c r="J122" s="205" t="s">
        <v>179</v>
      </c>
      <c r="K122" s="205" t="s">
        <v>43</v>
      </c>
      <c r="M122">
        <f t="shared" si="0"/>
        <v>100</v>
      </c>
      <c r="P122" s="57"/>
    </row>
    <row r="123" spans="1:16" x14ac:dyDescent="0.25">
      <c r="A123" s="203">
        <v>7</v>
      </c>
      <c r="B123" s="205" t="s">
        <v>1839</v>
      </c>
      <c r="C123" s="205" t="s">
        <v>40</v>
      </c>
      <c r="D123" s="205" t="s">
        <v>1840</v>
      </c>
      <c r="E123" s="205" t="s">
        <v>66</v>
      </c>
      <c r="F123" s="206" t="s">
        <v>1841</v>
      </c>
      <c r="G123" s="205" t="s">
        <v>163</v>
      </c>
      <c r="H123" s="211">
        <v>500</v>
      </c>
      <c r="I123" s="234" t="s">
        <v>255</v>
      </c>
      <c r="J123" s="205" t="s">
        <v>179</v>
      </c>
      <c r="K123" s="205" t="s">
        <v>43</v>
      </c>
      <c r="M123">
        <f t="shared" si="0"/>
        <v>100</v>
      </c>
      <c r="P123" s="57"/>
    </row>
    <row r="124" spans="1:16" x14ac:dyDescent="0.25">
      <c r="A124" s="203">
        <v>7</v>
      </c>
      <c r="B124" s="205" t="s">
        <v>1842</v>
      </c>
      <c r="C124" s="205" t="s">
        <v>40</v>
      </c>
      <c r="D124" s="205" t="s">
        <v>562</v>
      </c>
      <c r="E124" s="205" t="s">
        <v>46</v>
      </c>
      <c r="F124" s="206" t="s">
        <v>1843</v>
      </c>
      <c r="G124" s="205" t="s">
        <v>163</v>
      </c>
      <c r="H124" s="211">
        <v>1000</v>
      </c>
      <c r="I124" s="234">
        <v>1000</v>
      </c>
      <c r="J124" s="205" t="s">
        <v>179</v>
      </c>
      <c r="K124" s="205" t="s">
        <v>43</v>
      </c>
      <c r="M124">
        <f t="shared" si="0"/>
        <v>200</v>
      </c>
      <c r="P124" s="57"/>
    </row>
    <row r="125" spans="1:16" x14ac:dyDescent="0.25">
      <c r="A125" s="203">
        <v>7</v>
      </c>
      <c r="B125" s="205" t="s">
        <v>760</v>
      </c>
      <c r="C125" s="205" t="s">
        <v>48</v>
      </c>
      <c r="D125" s="205" t="s">
        <v>380</v>
      </c>
      <c r="E125" s="205" t="s">
        <v>45</v>
      </c>
      <c r="F125" s="206"/>
      <c r="G125" s="205" t="s">
        <v>42</v>
      </c>
      <c r="H125" s="211">
        <v>10000</v>
      </c>
      <c r="I125" s="234">
        <v>2000</v>
      </c>
      <c r="J125" s="205" t="s">
        <v>179</v>
      </c>
      <c r="K125" s="205" t="s">
        <v>43</v>
      </c>
      <c r="M125">
        <f t="shared" si="0"/>
        <v>2000</v>
      </c>
      <c r="P125" s="57"/>
    </row>
    <row r="126" spans="1:16" x14ac:dyDescent="0.25">
      <c r="A126" s="203">
        <v>8</v>
      </c>
      <c r="B126" s="205" t="s">
        <v>1845</v>
      </c>
      <c r="C126" s="205" t="s">
        <v>40</v>
      </c>
      <c r="D126" s="205" t="s">
        <v>1776</v>
      </c>
      <c r="E126" s="205" t="s">
        <v>45</v>
      </c>
      <c r="F126" s="206" t="s">
        <v>1846</v>
      </c>
      <c r="G126" s="205" t="s">
        <v>42</v>
      </c>
      <c r="H126" s="211">
        <v>2000</v>
      </c>
      <c r="I126" s="234">
        <v>400</v>
      </c>
      <c r="J126" s="205" t="s">
        <v>179</v>
      </c>
      <c r="K126" s="205" t="s">
        <v>43</v>
      </c>
      <c r="M126">
        <f t="shared" si="0"/>
        <v>400</v>
      </c>
      <c r="P126" s="57"/>
    </row>
    <row r="127" spans="1:16" x14ac:dyDescent="0.25">
      <c r="A127" s="321">
        <v>8</v>
      </c>
      <c r="B127" s="205" t="s">
        <v>1847</v>
      </c>
      <c r="C127" s="205" t="s">
        <v>40</v>
      </c>
      <c r="D127" s="205" t="s">
        <v>157</v>
      </c>
      <c r="E127" s="205" t="s">
        <v>50</v>
      </c>
      <c r="F127" s="206"/>
      <c r="G127" s="205" t="s">
        <v>42</v>
      </c>
      <c r="H127" s="211">
        <v>600</v>
      </c>
      <c r="I127" s="234">
        <v>120</v>
      </c>
      <c r="J127" s="205" t="s">
        <v>179</v>
      </c>
      <c r="K127" s="205" t="s">
        <v>43</v>
      </c>
      <c r="M127">
        <f t="shared" si="0"/>
        <v>120</v>
      </c>
      <c r="P127" s="57"/>
    </row>
    <row r="128" spans="1:16" x14ac:dyDescent="0.25">
      <c r="A128" s="321">
        <v>11</v>
      </c>
      <c r="B128" s="205" t="s">
        <v>1853</v>
      </c>
      <c r="C128" s="205" t="s">
        <v>40</v>
      </c>
      <c r="D128" s="205" t="s">
        <v>1854</v>
      </c>
      <c r="E128" s="205" t="s">
        <v>51</v>
      </c>
      <c r="F128" s="206" t="s">
        <v>1852</v>
      </c>
      <c r="G128" s="205" t="s">
        <v>180</v>
      </c>
      <c r="H128" s="211">
        <v>500</v>
      </c>
      <c r="I128" s="234" t="s">
        <v>255</v>
      </c>
      <c r="J128" s="205" t="s">
        <v>179</v>
      </c>
      <c r="K128" s="205" t="s">
        <v>43</v>
      </c>
      <c r="M128">
        <f t="shared" si="0"/>
        <v>100</v>
      </c>
      <c r="P128" s="57"/>
    </row>
    <row r="129" spans="1:16" x14ac:dyDescent="0.25">
      <c r="A129" s="203">
        <v>14</v>
      </c>
      <c r="B129" s="205" t="s">
        <v>427</v>
      </c>
      <c r="C129" s="205" t="s">
        <v>40</v>
      </c>
      <c r="D129" s="205" t="s">
        <v>144</v>
      </c>
      <c r="E129" s="205" t="s">
        <v>57</v>
      </c>
      <c r="F129" s="206" t="s">
        <v>1628</v>
      </c>
      <c r="G129" s="205" t="s">
        <v>42</v>
      </c>
      <c r="H129" s="211">
        <v>2800</v>
      </c>
      <c r="I129" s="234">
        <v>560</v>
      </c>
      <c r="J129" s="205" t="s">
        <v>179</v>
      </c>
      <c r="K129" s="205" t="s">
        <v>43</v>
      </c>
      <c r="M129">
        <f t="shared" si="0"/>
        <v>560</v>
      </c>
      <c r="P129" s="57"/>
    </row>
    <row r="130" spans="1:16" x14ac:dyDescent="0.25">
      <c r="A130" s="203">
        <v>14</v>
      </c>
      <c r="B130" s="205" t="s">
        <v>1855</v>
      </c>
      <c r="C130" s="205" t="s">
        <v>40</v>
      </c>
      <c r="D130" s="205" t="s">
        <v>899</v>
      </c>
      <c r="E130" s="205" t="s">
        <v>44</v>
      </c>
      <c r="F130" s="206" t="s">
        <v>1856</v>
      </c>
      <c r="G130" s="205" t="s">
        <v>42</v>
      </c>
      <c r="H130" s="211">
        <v>5000</v>
      </c>
      <c r="I130" s="234">
        <v>1000</v>
      </c>
      <c r="J130" s="205" t="s">
        <v>179</v>
      </c>
      <c r="K130" s="205" t="s">
        <v>43</v>
      </c>
      <c r="M130">
        <f t="shared" si="0"/>
        <v>1000</v>
      </c>
      <c r="P130" s="57"/>
    </row>
    <row r="131" spans="1:16" x14ac:dyDescent="0.25">
      <c r="A131" s="203">
        <v>14</v>
      </c>
      <c r="B131" s="205" t="s">
        <v>1857</v>
      </c>
      <c r="C131" s="205" t="s">
        <v>40</v>
      </c>
      <c r="D131" s="205" t="s">
        <v>565</v>
      </c>
      <c r="E131" s="205" t="s">
        <v>44</v>
      </c>
      <c r="F131" s="206"/>
      <c r="G131" s="205" t="s">
        <v>42</v>
      </c>
      <c r="H131" s="211">
        <v>3000</v>
      </c>
      <c r="I131" s="234">
        <v>600</v>
      </c>
      <c r="J131" s="205" t="s">
        <v>179</v>
      </c>
      <c r="K131" s="205" t="s">
        <v>43</v>
      </c>
      <c r="M131">
        <f t="shared" si="0"/>
        <v>600</v>
      </c>
      <c r="P131" s="57"/>
    </row>
    <row r="132" spans="1:16" x14ac:dyDescent="0.25">
      <c r="A132" s="203">
        <v>14</v>
      </c>
      <c r="B132" s="205" t="s">
        <v>1858</v>
      </c>
      <c r="C132" s="205" t="s">
        <v>40</v>
      </c>
      <c r="D132" s="205" t="s">
        <v>76</v>
      </c>
      <c r="E132" s="205" t="s">
        <v>44</v>
      </c>
      <c r="F132" s="206" t="s">
        <v>1859</v>
      </c>
      <c r="G132" s="205" t="s">
        <v>163</v>
      </c>
      <c r="H132" s="211">
        <v>120</v>
      </c>
      <c r="I132" s="234">
        <v>120</v>
      </c>
      <c r="J132" s="205" t="s">
        <v>179</v>
      </c>
      <c r="K132" s="205" t="s">
        <v>43</v>
      </c>
      <c r="M132">
        <f t="shared" si="0"/>
        <v>24</v>
      </c>
      <c r="P132" s="57"/>
    </row>
    <row r="133" spans="1:16" x14ac:dyDescent="0.25">
      <c r="A133" s="203">
        <v>14</v>
      </c>
      <c r="B133" s="205" t="s">
        <v>1860</v>
      </c>
      <c r="C133" s="205" t="s">
        <v>40</v>
      </c>
      <c r="D133" s="205" t="s">
        <v>1813</v>
      </c>
      <c r="E133" s="205" t="s">
        <v>45</v>
      </c>
      <c r="F133" s="206"/>
      <c r="G133" s="205" t="s">
        <v>42</v>
      </c>
      <c r="H133" s="211">
        <v>700</v>
      </c>
      <c r="I133" s="234">
        <v>140</v>
      </c>
      <c r="J133" s="205" t="s">
        <v>179</v>
      </c>
      <c r="K133" s="205" t="s">
        <v>43</v>
      </c>
      <c r="M133">
        <f t="shared" si="0"/>
        <v>140</v>
      </c>
      <c r="P133" s="57"/>
    </row>
    <row r="134" spans="1:16" x14ac:dyDescent="0.25">
      <c r="A134" s="203">
        <v>14</v>
      </c>
      <c r="B134" s="205" t="s">
        <v>1861</v>
      </c>
      <c r="C134" s="205" t="s">
        <v>40</v>
      </c>
      <c r="D134" s="205" t="s">
        <v>1776</v>
      </c>
      <c r="E134" s="205" t="s">
        <v>45</v>
      </c>
      <c r="F134" s="206" t="s">
        <v>1862</v>
      </c>
      <c r="G134" s="205" t="s">
        <v>42</v>
      </c>
      <c r="H134" s="211">
        <v>4000</v>
      </c>
      <c r="I134" s="234">
        <v>800</v>
      </c>
      <c r="J134" s="205" t="s">
        <v>179</v>
      </c>
      <c r="K134" s="205" t="s">
        <v>43</v>
      </c>
      <c r="M134">
        <f t="shared" si="0"/>
        <v>800</v>
      </c>
      <c r="P134" s="57"/>
    </row>
    <row r="135" spans="1:16" x14ac:dyDescent="0.25">
      <c r="A135" s="203">
        <v>14</v>
      </c>
      <c r="B135" s="205" t="s">
        <v>1863</v>
      </c>
      <c r="C135" s="205" t="s">
        <v>40</v>
      </c>
      <c r="D135" s="205" t="s">
        <v>141</v>
      </c>
      <c r="E135" s="205" t="s">
        <v>45</v>
      </c>
      <c r="F135" s="206"/>
      <c r="G135" s="205" t="s">
        <v>42</v>
      </c>
      <c r="H135" s="211">
        <v>3500</v>
      </c>
      <c r="I135" s="234">
        <v>700</v>
      </c>
      <c r="J135" s="205" t="s">
        <v>179</v>
      </c>
      <c r="K135" s="205" t="s">
        <v>43</v>
      </c>
      <c r="M135">
        <f t="shared" si="0"/>
        <v>700</v>
      </c>
      <c r="P135" s="57"/>
    </row>
    <row r="136" spans="1:16" x14ac:dyDescent="0.25">
      <c r="A136" s="203">
        <v>14</v>
      </c>
      <c r="B136" s="205" t="s">
        <v>1864</v>
      </c>
      <c r="C136" s="205" t="s">
        <v>40</v>
      </c>
      <c r="D136" s="205" t="s">
        <v>1155</v>
      </c>
      <c r="E136" s="205" t="s">
        <v>51</v>
      </c>
      <c r="F136" s="206" t="s">
        <v>1865</v>
      </c>
      <c r="G136" s="205" t="s">
        <v>42</v>
      </c>
      <c r="H136" s="211">
        <v>400</v>
      </c>
      <c r="I136" s="234">
        <v>80</v>
      </c>
      <c r="J136" s="205" t="s">
        <v>179</v>
      </c>
      <c r="K136" s="205" t="s">
        <v>43</v>
      </c>
      <c r="M136">
        <f t="shared" si="0"/>
        <v>80</v>
      </c>
      <c r="P136" s="57"/>
    </row>
    <row r="137" spans="1:16" x14ac:dyDescent="0.25">
      <c r="A137" s="203">
        <v>14</v>
      </c>
      <c r="B137" s="205" t="s">
        <v>1866</v>
      </c>
      <c r="C137" s="205" t="s">
        <v>40</v>
      </c>
      <c r="D137" s="205" t="s">
        <v>1867</v>
      </c>
      <c r="E137" s="205" t="s">
        <v>62</v>
      </c>
      <c r="F137" s="206" t="s">
        <v>1868</v>
      </c>
      <c r="G137" s="205" t="s">
        <v>42</v>
      </c>
      <c r="H137" s="211">
        <v>100</v>
      </c>
      <c r="I137" s="234">
        <v>20</v>
      </c>
      <c r="J137" s="205" t="s">
        <v>179</v>
      </c>
      <c r="K137" s="205" t="s">
        <v>43</v>
      </c>
      <c r="M137">
        <f t="shared" si="0"/>
        <v>20</v>
      </c>
      <c r="P137" s="57"/>
    </row>
    <row r="138" spans="1:16" x14ac:dyDescent="0.25">
      <c r="A138" s="203">
        <v>14</v>
      </c>
      <c r="B138" s="205" t="s">
        <v>1869</v>
      </c>
      <c r="C138" s="205" t="s">
        <v>40</v>
      </c>
      <c r="D138" s="205" t="s">
        <v>1316</v>
      </c>
      <c r="E138" s="205" t="s">
        <v>52</v>
      </c>
      <c r="F138" s="206" t="s">
        <v>1870</v>
      </c>
      <c r="G138" s="205" t="s">
        <v>42</v>
      </c>
      <c r="H138" s="211">
        <v>2000</v>
      </c>
      <c r="I138" s="234">
        <v>400</v>
      </c>
      <c r="J138" s="205" t="s">
        <v>179</v>
      </c>
      <c r="K138" s="205" t="s">
        <v>43</v>
      </c>
      <c r="M138">
        <f t="shared" si="0"/>
        <v>400</v>
      </c>
      <c r="P138" s="57"/>
    </row>
    <row r="139" spans="1:16" x14ac:dyDescent="0.25">
      <c r="A139" s="203">
        <v>14</v>
      </c>
      <c r="B139" s="205" t="s">
        <v>1871</v>
      </c>
      <c r="C139" s="205" t="s">
        <v>40</v>
      </c>
      <c r="D139" s="205" t="s">
        <v>142</v>
      </c>
      <c r="E139" s="205" t="s">
        <v>57</v>
      </c>
      <c r="F139" s="206" t="s">
        <v>1872</v>
      </c>
      <c r="G139" s="205" t="s">
        <v>42</v>
      </c>
      <c r="H139" s="211">
        <v>300</v>
      </c>
      <c r="I139" s="234">
        <v>60</v>
      </c>
      <c r="J139" s="205" t="s">
        <v>179</v>
      </c>
      <c r="K139" s="205" t="s">
        <v>43</v>
      </c>
      <c r="M139">
        <f t="shared" si="0"/>
        <v>60</v>
      </c>
      <c r="P139" s="57"/>
    </row>
    <row r="140" spans="1:16" x14ac:dyDescent="0.25">
      <c r="A140" s="203">
        <v>14</v>
      </c>
      <c r="B140" s="205" t="s">
        <v>1873</v>
      </c>
      <c r="C140" s="205" t="s">
        <v>40</v>
      </c>
      <c r="D140" s="205" t="s">
        <v>1801</v>
      </c>
      <c r="E140" s="205" t="s">
        <v>50</v>
      </c>
      <c r="F140" s="206" t="s">
        <v>1874</v>
      </c>
      <c r="G140" s="205" t="s">
        <v>42</v>
      </c>
      <c r="H140" s="211">
        <v>350</v>
      </c>
      <c r="I140" s="234">
        <v>70</v>
      </c>
      <c r="J140" s="205" t="s">
        <v>179</v>
      </c>
      <c r="K140" s="205" t="s">
        <v>43</v>
      </c>
      <c r="M140">
        <f t="shared" si="0"/>
        <v>70</v>
      </c>
      <c r="P140" s="57"/>
    </row>
    <row r="141" spans="1:16" x14ac:dyDescent="0.25">
      <c r="A141" s="203">
        <v>14</v>
      </c>
      <c r="B141" s="205" t="s">
        <v>1571</v>
      </c>
      <c r="C141" s="205" t="s">
        <v>40</v>
      </c>
      <c r="D141" s="205" t="s">
        <v>288</v>
      </c>
      <c r="E141" s="205" t="s">
        <v>57</v>
      </c>
      <c r="F141" s="206" t="s">
        <v>1572</v>
      </c>
      <c r="G141" s="205" t="s">
        <v>42</v>
      </c>
      <c r="H141" s="211">
        <v>8000</v>
      </c>
      <c r="I141" s="234">
        <v>1600</v>
      </c>
      <c r="J141" s="205" t="s">
        <v>179</v>
      </c>
      <c r="K141" s="205" t="s">
        <v>43</v>
      </c>
      <c r="M141">
        <f t="shared" si="0"/>
        <v>1600</v>
      </c>
      <c r="P141" s="57"/>
    </row>
    <row r="142" spans="1:16" x14ac:dyDescent="0.25">
      <c r="A142" s="203">
        <v>14</v>
      </c>
      <c r="B142" s="205" t="s">
        <v>1875</v>
      </c>
      <c r="C142" s="205" t="s">
        <v>40</v>
      </c>
      <c r="D142" s="205" t="s">
        <v>430</v>
      </c>
      <c r="E142" s="205" t="s">
        <v>45</v>
      </c>
      <c r="F142" s="206" t="s">
        <v>1876</v>
      </c>
      <c r="G142" s="205" t="s">
        <v>42</v>
      </c>
      <c r="H142" s="211">
        <v>1000</v>
      </c>
      <c r="I142" s="234">
        <v>300</v>
      </c>
      <c r="J142" s="205" t="s">
        <v>179</v>
      </c>
      <c r="K142" s="205" t="s">
        <v>43</v>
      </c>
      <c r="M142">
        <f t="shared" si="0"/>
        <v>200</v>
      </c>
      <c r="P142" s="57"/>
    </row>
    <row r="143" spans="1:16" x14ac:dyDescent="0.25">
      <c r="A143" s="203">
        <v>14</v>
      </c>
      <c r="B143" s="205" t="s">
        <v>1643</v>
      </c>
      <c r="C143" s="205" t="s">
        <v>40</v>
      </c>
      <c r="D143" s="205" t="s">
        <v>1644</v>
      </c>
      <c r="E143" s="205" t="s">
        <v>46</v>
      </c>
      <c r="F143" s="206" t="s">
        <v>1877</v>
      </c>
      <c r="G143" s="205" t="s">
        <v>42</v>
      </c>
      <c r="H143" s="211">
        <v>1000</v>
      </c>
      <c r="I143" s="234">
        <v>300</v>
      </c>
      <c r="J143" s="205" t="s">
        <v>179</v>
      </c>
      <c r="K143" s="205" t="s">
        <v>43</v>
      </c>
      <c r="M143">
        <f t="shared" si="0"/>
        <v>200</v>
      </c>
      <c r="P143" s="57"/>
    </row>
    <row r="144" spans="1:16" x14ac:dyDescent="0.25">
      <c r="A144" s="203">
        <v>14</v>
      </c>
      <c r="B144" s="205" t="s">
        <v>761</v>
      </c>
      <c r="C144" s="205" t="s">
        <v>40</v>
      </c>
      <c r="D144" s="205" t="s">
        <v>141</v>
      </c>
      <c r="E144" s="205" t="s">
        <v>45</v>
      </c>
      <c r="F144" s="206"/>
      <c r="G144" s="205" t="s">
        <v>42</v>
      </c>
      <c r="H144" s="211">
        <v>1000</v>
      </c>
      <c r="I144" s="234">
        <v>300</v>
      </c>
      <c r="J144" s="205" t="s">
        <v>179</v>
      </c>
      <c r="K144" s="205" t="s">
        <v>43</v>
      </c>
      <c r="M144">
        <f t="shared" si="0"/>
        <v>200</v>
      </c>
      <c r="P144" s="57"/>
    </row>
    <row r="145" spans="1:16" x14ac:dyDescent="0.25">
      <c r="A145" s="203">
        <v>14</v>
      </c>
      <c r="B145" s="205" t="s">
        <v>1878</v>
      </c>
      <c r="C145" s="205" t="s">
        <v>48</v>
      </c>
      <c r="D145" s="205" t="s">
        <v>899</v>
      </c>
      <c r="E145" s="205" t="s">
        <v>44</v>
      </c>
      <c r="F145" s="206" t="s">
        <v>1879</v>
      </c>
      <c r="G145" s="205" t="s">
        <v>42</v>
      </c>
      <c r="H145" s="211">
        <v>100</v>
      </c>
      <c r="I145" s="234">
        <v>20</v>
      </c>
      <c r="J145" s="205" t="s">
        <v>179</v>
      </c>
      <c r="K145" s="205" t="s">
        <v>43</v>
      </c>
      <c r="L145">
        <v>90</v>
      </c>
      <c r="M145">
        <f t="shared" si="0"/>
        <v>20</v>
      </c>
      <c r="P145" s="57"/>
    </row>
    <row r="146" spans="1:16" x14ac:dyDescent="0.25">
      <c r="A146" s="203">
        <v>14</v>
      </c>
      <c r="B146" s="205" t="s">
        <v>1878</v>
      </c>
      <c r="C146" s="205" t="s">
        <v>48</v>
      </c>
      <c r="D146" s="205" t="s">
        <v>899</v>
      </c>
      <c r="E146" s="205" t="s">
        <v>44</v>
      </c>
      <c r="F146" s="206" t="s">
        <v>1879</v>
      </c>
      <c r="G146" s="205" t="s">
        <v>180</v>
      </c>
      <c r="H146" s="211">
        <v>50</v>
      </c>
      <c r="I146" s="234">
        <v>25</v>
      </c>
      <c r="J146" s="205" t="s">
        <v>179</v>
      </c>
      <c r="K146" s="205" t="s">
        <v>43</v>
      </c>
      <c r="M146">
        <f t="shared" si="0"/>
        <v>10</v>
      </c>
      <c r="P146" s="57"/>
    </row>
    <row r="147" spans="1:16" x14ac:dyDescent="0.25">
      <c r="A147" s="321">
        <v>14</v>
      </c>
      <c r="B147" s="205" t="s">
        <v>1547</v>
      </c>
      <c r="C147" s="205" t="s">
        <v>40</v>
      </c>
      <c r="D147" s="205" t="s">
        <v>818</v>
      </c>
      <c r="E147" s="205" t="s">
        <v>63</v>
      </c>
      <c r="F147" s="206"/>
      <c r="G147" s="205" t="s">
        <v>180</v>
      </c>
      <c r="H147" s="211">
        <v>1000</v>
      </c>
      <c r="I147" s="234">
        <v>500</v>
      </c>
      <c r="J147" s="205" t="s">
        <v>179</v>
      </c>
      <c r="K147" s="205" t="s">
        <v>43</v>
      </c>
      <c r="M147">
        <f t="shared" si="0"/>
        <v>200</v>
      </c>
      <c r="P147" s="57"/>
    </row>
    <row r="148" spans="1:16" x14ac:dyDescent="0.25">
      <c r="A148" s="203">
        <v>23</v>
      </c>
      <c r="B148" s="205" t="s">
        <v>1883</v>
      </c>
      <c r="C148" s="205" t="s">
        <v>48</v>
      </c>
      <c r="D148" s="205" t="s">
        <v>366</v>
      </c>
      <c r="E148" s="205" t="s">
        <v>57</v>
      </c>
      <c r="F148" s="206"/>
      <c r="G148" s="205" t="s">
        <v>42</v>
      </c>
      <c r="H148" s="211">
        <v>500</v>
      </c>
      <c r="I148" s="234">
        <v>100</v>
      </c>
      <c r="J148" s="205" t="s">
        <v>179</v>
      </c>
      <c r="K148" s="205" t="s">
        <v>43</v>
      </c>
      <c r="M148">
        <f t="shared" si="0"/>
        <v>100</v>
      </c>
      <c r="P148" s="57"/>
    </row>
    <row r="149" spans="1:16" x14ac:dyDescent="0.25">
      <c r="A149" s="203">
        <v>23</v>
      </c>
      <c r="B149" s="205" t="s">
        <v>1775</v>
      </c>
      <c r="C149" s="205" t="s">
        <v>40</v>
      </c>
      <c r="D149" s="205" t="s">
        <v>1776</v>
      </c>
      <c r="E149" s="205" t="s">
        <v>45</v>
      </c>
      <c r="F149" s="206" t="s">
        <v>1777</v>
      </c>
      <c r="G149" s="205" t="s">
        <v>42</v>
      </c>
      <c r="H149" s="211">
        <v>2000</v>
      </c>
      <c r="I149" s="234">
        <v>400</v>
      </c>
      <c r="J149" s="205" t="s">
        <v>179</v>
      </c>
      <c r="K149" s="205" t="s">
        <v>43</v>
      </c>
      <c r="M149">
        <f t="shared" si="0"/>
        <v>400</v>
      </c>
      <c r="P149" s="57"/>
    </row>
    <row r="150" spans="1:16" x14ac:dyDescent="0.25">
      <c r="A150" s="203">
        <v>23</v>
      </c>
      <c r="B150" s="205" t="s">
        <v>1834</v>
      </c>
      <c r="C150" s="205" t="s">
        <v>40</v>
      </c>
      <c r="D150" s="205" t="s">
        <v>1835</v>
      </c>
      <c r="E150" s="205" t="s">
        <v>59</v>
      </c>
      <c r="F150" s="206" t="s">
        <v>1836</v>
      </c>
      <c r="G150" s="205" t="s">
        <v>42</v>
      </c>
      <c r="H150" s="211">
        <v>1500</v>
      </c>
      <c r="I150" s="234">
        <v>300</v>
      </c>
      <c r="J150" s="205" t="s">
        <v>179</v>
      </c>
      <c r="K150" s="205" t="s">
        <v>43</v>
      </c>
      <c r="M150">
        <f t="shared" si="0"/>
        <v>300</v>
      </c>
      <c r="P150" s="57"/>
    </row>
    <row r="151" spans="1:16" x14ac:dyDescent="0.25">
      <c r="A151" s="203">
        <v>23</v>
      </c>
      <c r="B151" s="205" t="s">
        <v>1884</v>
      </c>
      <c r="C151" s="205" t="s">
        <v>40</v>
      </c>
      <c r="D151" s="205" t="s">
        <v>524</v>
      </c>
      <c r="E151" s="205" t="s">
        <v>50</v>
      </c>
      <c r="F151" s="206"/>
      <c r="G151" s="205" t="s">
        <v>42</v>
      </c>
      <c r="H151" s="211">
        <v>300</v>
      </c>
      <c r="I151" s="234">
        <v>60</v>
      </c>
      <c r="J151" s="205" t="s">
        <v>179</v>
      </c>
      <c r="K151" s="205" t="s">
        <v>43</v>
      </c>
      <c r="M151">
        <f t="shared" si="0"/>
        <v>60</v>
      </c>
      <c r="P151" s="57"/>
    </row>
    <row r="152" spans="1:16" x14ac:dyDescent="0.25">
      <c r="A152" s="203">
        <v>23</v>
      </c>
      <c r="B152" s="205" t="s">
        <v>1885</v>
      </c>
      <c r="C152" s="205" t="s">
        <v>40</v>
      </c>
      <c r="D152" s="205" t="s">
        <v>1069</v>
      </c>
      <c r="E152" s="205" t="s">
        <v>60</v>
      </c>
      <c r="F152" s="206"/>
      <c r="G152" s="205" t="s">
        <v>42</v>
      </c>
      <c r="H152" s="211">
        <v>350</v>
      </c>
      <c r="I152" s="234">
        <v>70</v>
      </c>
      <c r="J152" s="205" t="s">
        <v>179</v>
      </c>
      <c r="K152" s="205" t="s">
        <v>43</v>
      </c>
      <c r="M152">
        <f t="shared" si="0"/>
        <v>70</v>
      </c>
      <c r="P152" s="57"/>
    </row>
    <row r="153" spans="1:16" x14ac:dyDescent="0.25">
      <c r="A153" s="203">
        <v>23</v>
      </c>
      <c r="B153" s="205" t="s">
        <v>1886</v>
      </c>
      <c r="C153" s="205" t="s">
        <v>40</v>
      </c>
      <c r="D153" s="205" t="s">
        <v>158</v>
      </c>
      <c r="E153" s="205" t="s">
        <v>57</v>
      </c>
      <c r="F153" s="206"/>
      <c r="G153" s="205" t="s">
        <v>42</v>
      </c>
      <c r="H153" s="211">
        <v>500</v>
      </c>
      <c r="I153" s="234">
        <v>100</v>
      </c>
      <c r="J153" s="205" t="s">
        <v>179</v>
      </c>
      <c r="K153" s="205" t="s">
        <v>43</v>
      </c>
      <c r="M153">
        <f t="shared" si="0"/>
        <v>100</v>
      </c>
      <c r="P153" s="57"/>
    </row>
    <row r="154" spans="1:16" x14ac:dyDescent="0.25">
      <c r="A154" s="203">
        <v>23</v>
      </c>
      <c r="B154" s="205" t="s">
        <v>1887</v>
      </c>
      <c r="C154" s="205" t="s">
        <v>40</v>
      </c>
      <c r="D154" s="205" t="s">
        <v>1610</v>
      </c>
      <c r="E154" s="205" t="s">
        <v>60</v>
      </c>
      <c r="F154" s="206" t="s">
        <v>1888</v>
      </c>
      <c r="G154" s="205" t="s">
        <v>42</v>
      </c>
      <c r="H154" s="211">
        <v>100</v>
      </c>
      <c r="I154" s="234">
        <v>20</v>
      </c>
      <c r="J154" s="205" t="s">
        <v>179</v>
      </c>
      <c r="K154" s="205" t="s">
        <v>43</v>
      </c>
      <c r="M154">
        <f t="shared" si="0"/>
        <v>20</v>
      </c>
      <c r="P154" s="57"/>
    </row>
    <row r="155" spans="1:16" x14ac:dyDescent="0.25">
      <c r="A155" s="203">
        <v>23</v>
      </c>
      <c r="B155" s="205" t="s">
        <v>1889</v>
      </c>
      <c r="C155" s="205" t="s">
        <v>40</v>
      </c>
      <c r="D155" s="205" t="s">
        <v>1263</v>
      </c>
      <c r="E155" s="205" t="s">
        <v>51</v>
      </c>
      <c r="F155" s="206"/>
      <c r="G155" s="205" t="s">
        <v>42</v>
      </c>
      <c r="H155" s="211">
        <v>1000</v>
      </c>
      <c r="I155" s="234">
        <v>200</v>
      </c>
      <c r="J155" s="205" t="s">
        <v>179</v>
      </c>
      <c r="K155" s="205" t="s">
        <v>43</v>
      </c>
      <c r="M155">
        <f t="shared" si="0"/>
        <v>200</v>
      </c>
      <c r="P155" s="57"/>
    </row>
    <row r="156" spans="1:16" x14ac:dyDescent="0.25">
      <c r="A156" s="203">
        <v>23</v>
      </c>
      <c r="B156" s="205" t="s">
        <v>1890</v>
      </c>
      <c r="C156" s="205" t="s">
        <v>40</v>
      </c>
      <c r="D156" s="205" t="s">
        <v>158</v>
      </c>
      <c r="E156" s="205" t="s">
        <v>57</v>
      </c>
      <c r="F156" s="206"/>
      <c r="G156" s="205" t="s">
        <v>42</v>
      </c>
      <c r="H156" s="211">
        <v>500</v>
      </c>
      <c r="I156" s="234">
        <v>100</v>
      </c>
      <c r="J156" s="205" t="s">
        <v>179</v>
      </c>
      <c r="K156" s="205" t="s">
        <v>43</v>
      </c>
      <c r="M156">
        <f t="shared" si="0"/>
        <v>100</v>
      </c>
      <c r="P156" s="57"/>
    </row>
    <row r="157" spans="1:16" x14ac:dyDescent="0.25">
      <c r="A157" s="203">
        <v>23</v>
      </c>
      <c r="B157" s="205" t="s">
        <v>1891</v>
      </c>
      <c r="C157" s="205" t="s">
        <v>40</v>
      </c>
      <c r="D157" s="205" t="s">
        <v>852</v>
      </c>
      <c r="E157" s="205" t="s">
        <v>45</v>
      </c>
      <c r="F157" s="206" t="s">
        <v>1892</v>
      </c>
      <c r="G157" s="205" t="s">
        <v>162</v>
      </c>
      <c r="H157" s="211">
        <v>30</v>
      </c>
      <c r="I157" s="234">
        <v>150</v>
      </c>
      <c r="J157" s="205" t="s">
        <v>179</v>
      </c>
      <c r="K157" s="205" t="s">
        <v>43</v>
      </c>
      <c r="M157">
        <f t="shared" si="0"/>
        <v>6</v>
      </c>
      <c r="P157" s="57"/>
    </row>
    <row r="158" spans="1:16" x14ac:dyDescent="0.25">
      <c r="A158" s="203">
        <v>23</v>
      </c>
      <c r="B158" s="205" t="s">
        <v>1893</v>
      </c>
      <c r="C158" s="205" t="s">
        <v>40</v>
      </c>
      <c r="D158" s="205" t="s">
        <v>1174</v>
      </c>
      <c r="E158" s="205" t="s">
        <v>47</v>
      </c>
      <c r="F158" s="206"/>
      <c r="G158" s="205" t="s">
        <v>42</v>
      </c>
      <c r="H158" s="211">
        <v>2000</v>
      </c>
      <c r="I158" s="234">
        <v>400</v>
      </c>
      <c r="J158" s="205" t="s">
        <v>179</v>
      </c>
      <c r="K158" s="205" t="s">
        <v>43</v>
      </c>
      <c r="M158">
        <f t="shared" si="0"/>
        <v>400</v>
      </c>
      <c r="P158" s="57"/>
    </row>
    <row r="159" spans="1:16" x14ac:dyDescent="0.25">
      <c r="A159" s="203">
        <v>23</v>
      </c>
      <c r="B159" s="205" t="s">
        <v>1893</v>
      </c>
      <c r="C159" s="205" t="s">
        <v>40</v>
      </c>
      <c r="D159" s="205" t="s">
        <v>1174</v>
      </c>
      <c r="E159" s="205" t="s">
        <v>47</v>
      </c>
      <c r="F159" s="206"/>
      <c r="G159" s="205" t="s">
        <v>180</v>
      </c>
      <c r="H159" s="211">
        <v>100</v>
      </c>
      <c r="I159" s="234">
        <v>50</v>
      </c>
      <c r="J159" s="205" t="s">
        <v>179</v>
      </c>
      <c r="K159" s="205" t="s">
        <v>43</v>
      </c>
      <c r="M159">
        <f t="shared" si="0"/>
        <v>20</v>
      </c>
      <c r="P159" s="57"/>
    </row>
    <row r="160" spans="1:16" x14ac:dyDescent="0.25">
      <c r="A160" s="203">
        <v>23</v>
      </c>
      <c r="B160" s="205" t="s">
        <v>1894</v>
      </c>
      <c r="C160" s="205" t="s">
        <v>40</v>
      </c>
      <c r="D160" s="205" t="s">
        <v>1895</v>
      </c>
      <c r="E160" s="205" t="s">
        <v>44</v>
      </c>
      <c r="F160" s="206"/>
      <c r="G160" s="205" t="s">
        <v>42</v>
      </c>
      <c r="H160" s="211">
        <v>2000</v>
      </c>
      <c r="I160" s="234">
        <v>400</v>
      </c>
      <c r="J160" s="205" t="s">
        <v>179</v>
      </c>
      <c r="K160" s="205" t="s">
        <v>43</v>
      </c>
      <c r="M160">
        <f t="shared" si="0"/>
        <v>400</v>
      </c>
      <c r="P160" s="57"/>
    </row>
    <row r="161" spans="1:16" x14ac:dyDescent="0.25">
      <c r="A161" s="203">
        <v>23</v>
      </c>
      <c r="B161" s="205" t="s">
        <v>1894</v>
      </c>
      <c r="C161" s="205" t="s">
        <v>40</v>
      </c>
      <c r="D161" s="205" t="s">
        <v>1895</v>
      </c>
      <c r="E161" s="205" t="s">
        <v>44</v>
      </c>
      <c r="F161" s="206"/>
      <c r="G161" s="205" t="s">
        <v>162</v>
      </c>
      <c r="H161" s="211">
        <v>120</v>
      </c>
      <c r="I161" s="234">
        <v>600</v>
      </c>
      <c r="J161" s="205" t="s">
        <v>179</v>
      </c>
      <c r="K161" s="205" t="s">
        <v>43</v>
      </c>
      <c r="M161">
        <f t="shared" si="0"/>
        <v>24</v>
      </c>
      <c r="P161" s="57"/>
    </row>
    <row r="162" spans="1:16" x14ac:dyDescent="0.25">
      <c r="A162" s="203">
        <v>23</v>
      </c>
      <c r="B162" s="205" t="s">
        <v>855</v>
      </c>
      <c r="C162" s="205" t="s">
        <v>40</v>
      </c>
      <c r="D162" s="205" t="s">
        <v>272</v>
      </c>
      <c r="E162" s="205" t="s">
        <v>45</v>
      </c>
      <c r="F162" s="206" t="s">
        <v>856</v>
      </c>
      <c r="G162" s="205" t="s">
        <v>42</v>
      </c>
      <c r="H162" s="211">
        <v>1500</v>
      </c>
      <c r="I162" s="234" t="s">
        <v>255</v>
      </c>
      <c r="J162" s="205" t="s">
        <v>179</v>
      </c>
      <c r="K162" s="205" t="s">
        <v>43</v>
      </c>
      <c r="M162">
        <f t="shared" si="0"/>
        <v>300</v>
      </c>
      <c r="P162" s="57"/>
    </row>
    <row r="163" spans="1:16" x14ac:dyDescent="0.25">
      <c r="A163" s="203">
        <v>23</v>
      </c>
      <c r="B163" s="205" t="s">
        <v>1896</v>
      </c>
      <c r="C163" s="205" t="s">
        <v>40</v>
      </c>
      <c r="D163" s="205" t="s">
        <v>1707</v>
      </c>
      <c r="E163" s="205" t="s">
        <v>52</v>
      </c>
      <c r="F163" s="206"/>
      <c r="G163" s="205" t="s">
        <v>42</v>
      </c>
      <c r="H163" s="211">
        <v>1000</v>
      </c>
      <c r="I163" s="234">
        <v>200</v>
      </c>
      <c r="J163" s="205" t="s">
        <v>179</v>
      </c>
      <c r="K163" s="205" t="s">
        <v>43</v>
      </c>
      <c r="M163">
        <f t="shared" si="0"/>
        <v>200</v>
      </c>
      <c r="P163" s="57"/>
    </row>
    <row r="164" spans="1:16" x14ac:dyDescent="0.25">
      <c r="A164" s="203">
        <v>23</v>
      </c>
      <c r="B164" s="205" t="s">
        <v>1897</v>
      </c>
      <c r="C164" s="205" t="s">
        <v>40</v>
      </c>
      <c r="D164" s="205" t="s">
        <v>1176</v>
      </c>
      <c r="E164" s="205" t="s">
        <v>59</v>
      </c>
      <c r="F164" s="206"/>
      <c r="G164" s="205" t="s">
        <v>42</v>
      </c>
      <c r="H164" s="211">
        <v>1500</v>
      </c>
      <c r="I164" s="234">
        <v>300</v>
      </c>
      <c r="J164" s="205" t="s">
        <v>179</v>
      </c>
      <c r="K164" s="205" t="s">
        <v>43</v>
      </c>
      <c r="M164">
        <f t="shared" si="0"/>
        <v>300</v>
      </c>
      <c r="P164" s="57"/>
    </row>
    <row r="165" spans="1:16" x14ac:dyDescent="0.25">
      <c r="A165" s="203">
        <v>23</v>
      </c>
      <c r="B165" s="205" t="s">
        <v>1898</v>
      </c>
      <c r="C165" s="205" t="s">
        <v>40</v>
      </c>
      <c r="D165" s="205" t="s">
        <v>1176</v>
      </c>
      <c r="E165" s="205" t="s">
        <v>59</v>
      </c>
      <c r="F165" s="206"/>
      <c r="G165" s="205" t="s">
        <v>162</v>
      </c>
      <c r="H165" s="211">
        <v>39</v>
      </c>
      <c r="I165" s="234">
        <v>195</v>
      </c>
      <c r="J165" s="205" t="s">
        <v>179</v>
      </c>
      <c r="K165" s="205" t="s">
        <v>43</v>
      </c>
      <c r="M165">
        <f t="shared" si="0"/>
        <v>7.8</v>
      </c>
      <c r="P165" s="57"/>
    </row>
    <row r="166" spans="1:16" x14ac:dyDescent="0.25">
      <c r="A166" s="321">
        <v>23</v>
      </c>
      <c r="B166" s="205" t="s">
        <v>1898</v>
      </c>
      <c r="C166" s="205" t="s">
        <v>40</v>
      </c>
      <c r="D166" s="205" t="s">
        <v>1176</v>
      </c>
      <c r="E166" s="205" t="s">
        <v>59</v>
      </c>
      <c r="F166" s="206"/>
      <c r="G166" s="205" t="s">
        <v>180</v>
      </c>
      <c r="H166" s="211">
        <v>36</v>
      </c>
      <c r="I166" s="234">
        <v>18</v>
      </c>
      <c r="J166" s="205" t="s">
        <v>179</v>
      </c>
      <c r="K166" s="205" t="s">
        <v>43</v>
      </c>
      <c r="M166">
        <f t="shared" si="0"/>
        <v>7.2</v>
      </c>
      <c r="P166" s="57"/>
    </row>
    <row r="167" spans="1:16" x14ac:dyDescent="0.25">
      <c r="A167" s="203">
        <v>29</v>
      </c>
      <c r="B167" s="205" t="s">
        <v>1902</v>
      </c>
      <c r="C167" s="205" t="s">
        <v>40</v>
      </c>
      <c r="D167" s="205" t="s">
        <v>1903</v>
      </c>
      <c r="E167" s="205" t="s">
        <v>47</v>
      </c>
      <c r="F167" s="206" t="s">
        <v>1904</v>
      </c>
      <c r="G167" s="205" t="s">
        <v>42</v>
      </c>
      <c r="H167" s="211">
        <v>1000</v>
      </c>
      <c r="I167" s="234">
        <v>200</v>
      </c>
      <c r="J167" s="205" t="s">
        <v>179</v>
      </c>
      <c r="K167" s="205" t="s">
        <v>43</v>
      </c>
      <c r="M167">
        <f t="shared" si="0"/>
        <v>200</v>
      </c>
      <c r="P167" s="57"/>
    </row>
    <row r="168" spans="1:16" x14ac:dyDescent="0.25">
      <c r="A168" s="203">
        <v>29</v>
      </c>
      <c r="B168" s="205" t="s">
        <v>1902</v>
      </c>
      <c r="C168" s="205" t="s">
        <v>40</v>
      </c>
      <c r="D168" s="205" t="s">
        <v>1903</v>
      </c>
      <c r="E168" s="205" t="s">
        <v>47</v>
      </c>
      <c r="F168" s="206" t="s">
        <v>1904</v>
      </c>
      <c r="G168" s="205" t="s">
        <v>180</v>
      </c>
      <c r="H168" s="211">
        <v>1100</v>
      </c>
      <c r="I168" s="234">
        <v>550</v>
      </c>
      <c r="J168" s="205" t="s">
        <v>179</v>
      </c>
      <c r="K168" s="205" t="s">
        <v>43</v>
      </c>
      <c r="M168">
        <f t="shared" si="0"/>
        <v>220</v>
      </c>
      <c r="P168" s="57"/>
    </row>
    <row r="169" spans="1:16" x14ac:dyDescent="0.25">
      <c r="A169" s="203">
        <v>29</v>
      </c>
      <c r="B169" s="205" t="s">
        <v>1005</v>
      </c>
      <c r="C169" s="205" t="s">
        <v>48</v>
      </c>
      <c r="D169" s="205" t="s">
        <v>1735</v>
      </c>
      <c r="E169" s="205" t="s">
        <v>56</v>
      </c>
      <c r="F169" s="206" t="s">
        <v>1750</v>
      </c>
      <c r="G169" s="205" t="s">
        <v>42</v>
      </c>
      <c r="H169" s="211">
        <v>500</v>
      </c>
      <c r="I169" s="234">
        <v>150</v>
      </c>
      <c r="J169" s="205" t="s">
        <v>179</v>
      </c>
      <c r="K169" s="205" t="s">
        <v>43</v>
      </c>
      <c r="M169">
        <f t="shared" si="0"/>
        <v>100</v>
      </c>
      <c r="P169" s="57"/>
    </row>
    <row r="170" spans="1:16" x14ac:dyDescent="0.25">
      <c r="A170" s="203">
        <v>29</v>
      </c>
      <c r="B170" s="205" t="s">
        <v>1905</v>
      </c>
      <c r="C170" s="205" t="s">
        <v>40</v>
      </c>
      <c r="D170" s="205" t="s">
        <v>149</v>
      </c>
      <c r="E170" s="205" t="s">
        <v>60</v>
      </c>
      <c r="F170" s="206"/>
      <c r="G170" s="205" t="s">
        <v>180</v>
      </c>
      <c r="H170" s="211">
        <v>700</v>
      </c>
      <c r="I170" s="234">
        <v>350</v>
      </c>
      <c r="J170" s="205" t="s">
        <v>179</v>
      </c>
      <c r="K170" s="205" t="s">
        <v>43</v>
      </c>
      <c r="M170">
        <f t="shared" si="0"/>
        <v>140</v>
      </c>
      <c r="P170" s="57"/>
    </row>
    <row r="171" spans="1:16" x14ac:dyDescent="0.25">
      <c r="A171" s="203">
        <v>29</v>
      </c>
      <c r="B171" s="205" t="s">
        <v>1906</v>
      </c>
      <c r="C171" s="205" t="s">
        <v>40</v>
      </c>
      <c r="D171" s="205" t="s">
        <v>144</v>
      </c>
      <c r="E171" s="205" t="s">
        <v>72</v>
      </c>
      <c r="F171" s="206" t="s">
        <v>1907</v>
      </c>
      <c r="G171" s="205" t="s">
        <v>42</v>
      </c>
      <c r="H171" s="211">
        <v>1500</v>
      </c>
      <c r="I171" s="234">
        <v>450</v>
      </c>
      <c r="J171" s="205" t="s">
        <v>179</v>
      </c>
      <c r="K171" s="205" t="s">
        <v>43</v>
      </c>
      <c r="M171">
        <f t="shared" si="0"/>
        <v>300</v>
      </c>
      <c r="P171" s="57"/>
    </row>
    <row r="172" spans="1:16" x14ac:dyDescent="0.25">
      <c r="A172" s="203">
        <v>29</v>
      </c>
      <c r="B172" s="205" t="s">
        <v>1908</v>
      </c>
      <c r="C172" s="205" t="s">
        <v>48</v>
      </c>
      <c r="D172" s="205" t="s">
        <v>529</v>
      </c>
      <c r="E172" s="205" t="s">
        <v>50</v>
      </c>
      <c r="F172" s="206"/>
      <c r="G172" s="205" t="s">
        <v>42</v>
      </c>
      <c r="H172" s="211">
        <v>1000</v>
      </c>
      <c r="I172" s="234">
        <v>200</v>
      </c>
      <c r="J172" s="205" t="s">
        <v>179</v>
      </c>
      <c r="K172" s="205" t="s">
        <v>43</v>
      </c>
      <c r="M172">
        <f t="shared" si="0"/>
        <v>200</v>
      </c>
      <c r="P172" s="57"/>
    </row>
    <row r="173" spans="1:16" x14ac:dyDescent="0.25">
      <c r="A173" s="203">
        <v>29</v>
      </c>
      <c r="B173" s="205" t="s">
        <v>1909</v>
      </c>
      <c r="C173" s="205" t="s">
        <v>40</v>
      </c>
      <c r="D173" s="205" t="s">
        <v>1910</v>
      </c>
      <c r="E173" s="205" t="s">
        <v>50</v>
      </c>
      <c r="F173" s="206"/>
      <c r="G173" s="205" t="s">
        <v>42</v>
      </c>
      <c r="H173" s="211">
        <v>100</v>
      </c>
      <c r="I173" s="234">
        <v>30</v>
      </c>
      <c r="J173" s="205" t="s">
        <v>179</v>
      </c>
      <c r="K173" s="205" t="s">
        <v>43</v>
      </c>
      <c r="M173">
        <f t="shared" si="0"/>
        <v>20</v>
      </c>
      <c r="P173" s="57"/>
    </row>
    <row r="174" spans="1:16" x14ac:dyDescent="0.25">
      <c r="A174" s="203">
        <v>29</v>
      </c>
      <c r="B174" s="205" t="s">
        <v>1911</v>
      </c>
      <c r="C174" s="205" t="s">
        <v>40</v>
      </c>
      <c r="D174" s="205" t="s">
        <v>1069</v>
      </c>
      <c r="E174" s="205" t="s">
        <v>67</v>
      </c>
      <c r="F174" s="206" t="s">
        <v>1912</v>
      </c>
      <c r="G174" s="205" t="s">
        <v>42</v>
      </c>
      <c r="H174" s="211">
        <v>2500</v>
      </c>
      <c r="I174" s="234">
        <v>500</v>
      </c>
      <c r="J174" s="205" t="s">
        <v>179</v>
      </c>
      <c r="K174" s="205" t="s">
        <v>43</v>
      </c>
      <c r="M174">
        <f t="shared" si="0"/>
        <v>500</v>
      </c>
      <c r="P174" s="57"/>
    </row>
    <row r="175" spans="1:16" x14ac:dyDescent="0.25">
      <c r="A175" s="203">
        <v>29</v>
      </c>
      <c r="B175" s="205" t="s">
        <v>1913</v>
      </c>
      <c r="C175" s="205" t="s">
        <v>40</v>
      </c>
      <c r="D175" s="205" t="s">
        <v>952</v>
      </c>
      <c r="E175" s="205" t="s">
        <v>57</v>
      </c>
      <c r="F175" s="206"/>
      <c r="G175" s="205" t="s">
        <v>42</v>
      </c>
      <c r="H175" s="211">
        <v>2000</v>
      </c>
      <c r="I175" s="234">
        <v>400</v>
      </c>
      <c r="J175" s="205" t="s">
        <v>179</v>
      </c>
      <c r="K175" s="205" t="s">
        <v>43</v>
      </c>
      <c r="M175">
        <f t="shared" si="0"/>
        <v>400</v>
      </c>
      <c r="P175" s="57"/>
    </row>
    <row r="176" spans="1:16" x14ac:dyDescent="0.25">
      <c r="A176" s="203">
        <v>29</v>
      </c>
      <c r="B176" s="205" t="s">
        <v>1914</v>
      </c>
      <c r="C176" s="205" t="s">
        <v>40</v>
      </c>
      <c r="D176" s="205" t="s">
        <v>153</v>
      </c>
      <c r="E176" s="205" t="s">
        <v>57</v>
      </c>
      <c r="F176" s="206"/>
      <c r="G176" s="205" t="s">
        <v>42</v>
      </c>
      <c r="H176" s="211">
        <v>500</v>
      </c>
      <c r="I176" s="234">
        <v>100</v>
      </c>
      <c r="J176" s="205" t="s">
        <v>179</v>
      </c>
      <c r="K176" s="205" t="s">
        <v>43</v>
      </c>
      <c r="M176">
        <f t="shared" si="0"/>
        <v>100</v>
      </c>
      <c r="P176" s="57"/>
    </row>
    <row r="177" spans="1:16" x14ac:dyDescent="0.25">
      <c r="A177" s="203">
        <v>29</v>
      </c>
      <c r="B177" s="205" t="s">
        <v>1915</v>
      </c>
      <c r="C177" s="205" t="s">
        <v>40</v>
      </c>
      <c r="D177" s="205" t="s">
        <v>1435</v>
      </c>
      <c r="E177" s="205" t="s">
        <v>63</v>
      </c>
      <c r="F177" s="206" t="s">
        <v>1916</v>
      </c>
      <c r="G177" s="205" t="s">
        <v>42</v>
      </c>
      <c r="H177" s="211">
        <v>200</v>
      </c>
      <c r="I177" s="234">
        <v>40</v>
      </c>
      <c r="J177" s="205" t="s">
        <v>179</v>
      </c>
      <c r="K177" s="205" t="s">
        <v>43</v>
      </c>
      <c r="M177">
        <f t="shared" si="0"/>
        <v>40</v>
      </c>
      <c r="P177" s="57"/>
    </row>
    <row r="178" spans="1:16" x14ac:dyDescent="0.25">
      <c r="A178" s="203">
        <v>29</v>
      </c>
      <c r="B178" s="205" t="s">
        <v>1917</v>
      </c>
      <c r="C178" s="205" t="s">
        <v>48</v>
      </c>
      <c r="D178" s="205" t="s">
        <v>677</v>
      </c>
      <c r="E178" s="205" t="s">
        <v>59</v>
      </c>
      <c r="F178" s="206"/>
      <c r="G178" s="205" t="s">
        <v>42</v>
      </c>
      <c r="H178" s="211">
        <v>50</v>
      </c>
      <c r="I178" s="234" t="s">
        <v>255</v>
      </c>
      <c r="J178" s="205" t="s">
        <v>179</v>
      </c>
      <c r="K178" s="205" t="s">
        <v>43</v>
      </c>
      <c r="M178">
        <f t="shared" si="0"/>
        <v>10</v>
      </c>
      <c r="P178" s="57"/>
    </row>
    <row r="179" spans="1:16" x14ac:dyDescent="0.25">
      <c r="A179" s="203">
        <v>29</v>
      </c>
      <c r="B179" s="205" t="s">
        <v>1918</v>
      </c>
      <c r="C179" s="205" t="s">
        <v>40</v>
      </c>
      <c r="D179" s="205" t="s">
        <v>141</v>
      </c>
      <c r="E179" s="205" t="s">
        <v>45</v>
      </c>
      <c r="F179" s="206"/>
      <c r="G179" s="205" t="s">
        <v>42</v>
      </c>
      <c r="H179" s="211">
        <v>100</v>
      </c>
      <c r="I179" s="234" t="s">
        <v>255</v>
      </c>
      <c r="J179" s="205" t="s">
        <v>179</v>
      </c>
      <c r="K179" s="205" t="s">
        <v>43</v>
      </c>
      <c r="M179">
        <f t="shared" si="0"/>
        <v>20</v>
      </c>
      <c r="P179" s="57"/>
    </row>
    <row r="180" spans="1:16" x14ac:dyDescent="0.25">
      <c r="A180" s="203">
        <v>29</v>
      </c>
      <c r="B180" s="205" t="s">
        <v>1919</v>
      </c>
      <c r="C180" s="205" t="s">
        <v>40</v>
      </c>
      <c r="D180" s="205" t="s">
        <v>1258</v>
      </c>
      <c r="E180" s="205" t="s">
        <v>44</v>
      </c>
      <c r="F180" s="206"/>
      <c r="G180" s="205" t="s">
        <v>42</v>
      </c>
      <c r="H180" s="211">
        <v>2000</v>
      </c>
      <c r="I180" s="234">
        <v>400</v>
      </c>
      <c r="J180" s="205" t="s">
        <v>179</v>
      </c>
      <c r="K180" s="205" t="s">
        <v>43</v>
      </c>
      <c r="M180">
        <f t="shared" si="0"/>
        <v>400</v>
      </c>
      <c r="P180" s="57"/>
    </row>
    <row r="181" spans="1:16" x14ac:dyDescent="0.25">
      <c r="A181" s="203">
        <v>29</v>
      </c>
      <c r="B181" s="205" t="s">
        <v>1920</v>
      </c>
      <c r="C181" s="205" t="s">
        <v>40</v>
      </c>
      <c r="D181" s="205" t="s">
        <v>931</v>
      </c>
      <c r="E181" s="205" t="s">
        <v>44</v>
      </c>
      <c r="F181" s="206"/>
      <c r="G181" s="205" t="s">
        <v>42</v>
      </c>
      <c r="H181" s="211">
        <v>500</v>
      </c>
      <c r="I181" s="234">
        <v>100</v>
      </c>
      <c r="J181" s="205" t="s">
        <v>179</v>
      </c>
      <c r="K181" s="205" t="s">
        <v>43</v>
      </c>
      <c r="M181">
        <f t="shared" si="0"/>
        <v>100</v>
      </c>
      <c r="P181" s="57"/>
    </row>
    <row r="182" spans="1:16" x14ac:dyDescent="0.25">
      <c r="A182" s="203">
        <v>29</v>
      </c>
      <c r="B182" s="205" t="s">
        <v>1921</v>
      </c>
      <c r="C182" s="205" t="s">
        <v>40</v>
      </c>
      <c r="D182" s="205"/>
      <c r="E182" s="205" t="s">
        <v>78</v>
      </c>
      <c r="F182" s="206" t="s">
        <v>1922</v>
      </c>
      <c r="G182" s="205" t="s">
        <v>42</v>
      </c>
      <c r="H182" s="211">
        <v>100</v>
      </c>
      <c r="I182" s="234">
        <v>20</v>
      </c>
      <c r="J182" s="205" t="s">
        <v>179</v>
      </c>
      <c r="K182" s="205" t="s">
        <v>43</v>
      </c>
      <c r="M182">
        <f t="shared" si="0"/>
        <v>20</v>
      </c>
      <c r="P182" s="57"/>
    </row>
    <row r="183" spans="1:16" x14ac:dyDescent="0.25">
      <c r="A183" s="203">
        <v>29</v>
      </c>
      <c r="B183" s="205" t="s">
        <v>1923</v>
      </c>
      <c r="C183" s="205" t="s">
        <v>48</v>
      </c>
      <c r="D183" s="205" t="s">
        <v>1924</v>
      </c>
      <c r="E183" s="205" t="s">
        <v>77</v>
      </c>
      <c r="F183" s="206"/>
      <c r="G183" s="205" t="s">
        <v>42</v>
      </c>
      <c r="H183" s="211">
        <v>500</v>
      </c>
      <c r="I183" s="234">
        <v>100</v>
      </c>
      <c r="J183" s="205" t="s">
        <v>179</v>
      </c>
      <c r="K183" s="205" t="s">
        <v>43</v>
      </c>
      <c r="M183">
        <f t="shared" si="0"/>
        <v>100</v>
      </c>
      <c r="P183" s="57"/>
    </row>
    <row r="184" spans="1:16" x14ac:dyDescent="0.25">
      <c r="A184" s="203">
        <v>29</v>
      </c>
      <c r="B184" s="205" t="s">
        <v>1925</v>
      </c>
      <c r="C184" s="205" t="s">
        <v>40</v>
      </c>
      <c r="D184" s="205" t="s">
        <v>981</v>
      </c>
      <c r="E184" s="205" t="s">
        <v>45</v>
      </c>
      <c r="F184" s="206"/>
      <c r="G184" s="205" t="s">
        <v>42</v>
      </c>
      <c r="H184" s="211">
        <v>100</v>
      </c>
      <c r="I184" s="234">
        <v>20</v>
      </c>
      <c r="J184" s="205" t="s">
        <v>179</v>
      </c>
      <c r="K184" s="205" t="s">
        <v>43</v>
      </c>
      <c r="M184">
        <f t="shared" si="0"/>
        <v>20</v>
      </c>
      <c r="P184" s="57"/>
    </row>
    <row r="185" spans="1:16" x14ac:dyDescent="0.25">
      <c r="A185" s="203">
        <v>29</v>
      </c>
      <c r="B185" s="205" t="s">
        <v>1926</v>
      </c>
      <c r="C185" s="205" t="s">
        <v>40</v>
      </c>
      <c r="D185" s="205" t="s">
        <v>1903</v>
      </c>
      <c r="E185" s="205" t="s">
        <v>47</v>
      </c>
      <c r="F185" s="206" t="s">
        <v>1927</v>
      </c>
      <c r="G185" s="205" t="s">
        <v>42</v>
      </c>
      <c r="H185" s="211">
        <v>1000</v>
      </c>
      <c r="I185" s="234">
        <v>200</v>
      </c>
      <c r="J185" s="205" t="s">
        <v>179</v>
      </c>
      <c r="K185" s="205" t="s">
        <v>43</v>
      </c>
      <c r="L185">
        <v>121</v>
      </c>
      <c r="M185">
        <f t="shared" si="0"/>
        <v>200</v>
      </c>
      <c r="P185" s="57"/>
    </row>
    <row r="186" spans="1:16" x14ac:dyDescent="0.25">
      <c r="A186" s="203">
        <v>29</v>
      </c>
      <c r="B186" s="205" t="s">
        <v>1928</v>
      </c>
      <c r="C186" s="205" t="s">
        <v>40</v>
      </c>
      <c r="D186" s="205" t="s">
        <v>1081</v>
      </c>
      <c r="E186" s="205" t="s">
        <v>50</v>
      </c>
      <c r="F186" s="206"/>
      <c r="G186" s="205" t="s">
        <v>163</v>
      </c>
      <c r="H186" s="211">
        <v>3000</v>
      </c>
      <c r="I186" s="234">
        <v>3000</v>
      </c>
      <c r="J186" s="205" t="s">
        <v>179</v>
      </c>
      <c r="K186" s="205" t="s">
        <v>43</v>
      </c>
      <c r="M186">
        <f t="shared" si="0"/>
        <v>600</v>
      </c>
      <c r="P186" s="57"/>
    </row>
    <row r="187" spans="1:16" x14ac:dyDescent="0.25">
      <c r="A187" s="203">
        <v>29</v>
      </c>
      <c r="B187" s="205" t="s">
        <v>1929</v>
      </c>
      <c r="C187" s="205" t="s">
        <v>40</v>
      </c>
      <c r="D187" s="205" t="s">
        <v>899</v>
      </c>
      <c r="E187" s="205" t="s">
        <v>44</v>
      </c>
      <c r="F187" s="206"/>
      <c r="G187" s="205" t="s">
        <v>42</v>
      </c>
      <c r="H187" s="211">
        <v>6000</v>
      </c>
      <c r="I187" s="234">
        <v>1200</v>
      </c>
      <c r="J187" s="205" t="s">
        <v>179</v>
      </c>
      <c r="K187" s="205" t="s">
        <v>43</v>
      </c>
      <c r="M187">
        <f t="shared" si="0"/>
        <v>1200</v>
      </c>
      <c r="P187" s="57"/>
    </row>
    <row r="188" spans="1:16" x14ac:dyDescent="0.25">
      <c r="A188" s="203">
        <v>29</v>
      </c>
      <c r="B188" s="205" t="s">
        <v>1930</v>
      </c>
      <c r="C188" s="205" t="s">
        <v>40</v>
      </c>
      <c r="D188" s="205" t="s">
        <v>141</v>
      </c>
      <c r="E188" s="205" t="s">
        <v>45</v>
      </c>
      <c r="F188" s="206"/>
      <c r="G188" s="205" t="s">
        <v>42</v>
      </c>
      <c r="H188" s="211">
        <v>2000</v>
      </c>
      <c r="I188" s="234">
        <v>400</v>
      </c>
      <c r="J188" s="205" t="s">
        <v>179</v>
      </c>
      <c r="K188" s="205" t="s">
        <v>43</v>
      </c>
      <c r="M188">
        <f t="shared" si="0"/>
        <v>400</v>
      </c>
      <c r="P188" s="57"/>
    </row>
    <row r="189" spans="1:16" x14ac:dyDescent="0.25">
      <c r="A189" s="203">
        <v>29</v>
      </c>
      <c r="B189" s="205" t="s">
        <v>1931</v>
      </c>
      <c r="C189" s="205" t="s">
        <v>40</v>
      </c>
      <c r="D189" s="205" t="s">
        <v>1932</v>
      </c>
      <c r="E189" s="205" t="s">
        <v>61</v>
      </c>
      <c r="F189" s="206"/>
      <c r="G189" s="205" t="s">
        <v>42</v>
      </c>
      <c r="H189" s="211">
        <v>500</v>
      </c>
      <c r="I189" s="234" t="s">
        <v>255</v>
      </c>
      <c r="J189" s="205" t="s">
        <v>179</v>
      </c>
      <c r="K189" s="205" t="s">
        <v>43</v>
      </c>
      <c r="M189">
        <f t="shared" si="0"/>
        <v>100</v>
      </c>
      <c r="P189" s="57"/>
    </row>
    <row r="190" spans="1:16" x14ac:dyDescent="0.25">
      <c r="A190" s="203">
        <v>29</v>
      </c>
      <c r="B190" s="205" t="s">
        <v>1931</v>
      </c>
      <c r="C190" s="205" t="s">
        <v>40</v>
      </c>
      <c r="D190" s="205" t="s">
        <v>1932</v>
      </c>
      <c r="E190" s="205" t="s">
        <v>61</v>
      </c>
      <c r="F190" s="206"/>
      <c r="G190" s="205" t="s">
        <v>42</v>
      </c>
      <c r="H190" s="211">
        <v>3500</v>
      </c>
      <c r="I190" s="234">
        <v>700</v>
      </c>
      <c r="J190" s="205" t="s">
        <v>179</v>
      </c>
      <c r="K190" s="205" t="s">
        <v>43</v>
      </c>
      <c r="M190">
        <f t="shared" si="0"/>
        <v>700</v>
      </c>
      <c r="P190" s="57"/>
    </row>
    <row r="191" spans="1:16" x14ac:dyDescent="0.25">
      <c r="A191" s="203">
        <v>29</v>
      </c>
      <c r="B191" s="205" t="s">
        <v>1933</v>
      </c>
      <c r="C191" s="205" t="s">
        <v>40</v>
      </c>
      <c r="D191" s="205" t="s">
        <v>158</v>
      </c>
      <c r="E191" s="205" t="s">
        <v>57</v>
      </c>
      <c r="F191" s="206"/>
      <c r="G191" s="205" t="s">
        <v>1400</v>
      </c>
      <c r="H191" s="211">
        <v>250</v>
      </c>
      <c r="I191" s="234">
        <v>75</v>
      </c>
      <c r="J191" s="205" t="s">
        <v>179</v>
      </c>
      <c r="K191" s="205" t="s">
        <v>43</v>
      </c>
      <c r="M191">
        <f t="shared" si="0"/>
        <v>50</v>
      </c>
      <c r="P191" s="57"/>
    </row>
    <row r="192" spans="1:16" x14ac:dyDescent="0.25">
      <c r="A192" s="203">
        <v>29</v>
      </c>
      <c r="B192" s="205" t="s">
        <v>1934</v>
      </c>
      <c r="C192" s="205" t="s">
        <v>40</v>
      </c>
      <c r="D192" s="205" t="s">
        <v>890</v>
      </c>
      <c r="E192" s="205" t="s">
        <v>57</v>
      </c>
      <c r="F192" s="206"/>
      <c r="G192" s="205" t="s">
        <v>163</v>
      </c>
      <c r="H192" s="211">
        <v>1200</v>
      </c>
      <c r="I192" s="234">
        <v>1200</v>
      </c>
      <c r="J192" s="205" t="s">
        <v>179</v>
      </c>
      <c r="K192" s="205" t="s">
        <v>43</v>
      </c>
      <c r="M192">
        <f t="shared" si="0"/>
        <v>240</v>
      </c>
      <c r="P192" s="57"/>
    </row>
    <row r="193" spans="1:16" x14ac:dyDescent="0.25">
      <c r="A193" s="203">
        <v>29</v>
      </c>
      <c r="B193" s="205" t="s">
        <v>1935</v>
      </c>
      <c r="C193" s="205" t="s">
        <v>40</v>
      </c>
      <c r="D193" s="205" t="s">
        <v>141</v>
      </c>
      <c r="E193" s="205" t="s">
        <v>45</v>
      </c>
      <c r="F193" s="206"/>
      <c r="G193" s="205" t="s">
        <v>42</v>
      </c>
      <c r="H193" s="211">
        <v>1000</v>
      </c>
      <c r="I193" s="234">
        <v>200</v>
      </c>
      <c r="J193" s="205" t="s">
        <v>179</v>
      </c>
      <c r="K193" s="205" t="s">
        <v>43</v>
      </c>
      <c r="M193">
        <f t="shared" si="0"/>
        <v>200</v>
      </c>
      <c r="P193" s="57"/>
    </row>
    <row r="194" spans="1:16" x14ac:dyDescent="0.25">
      <c r="A194" s="203">
        <v>29</v>
      </c>
      <c r="B194" s="205" t="s">
        <v>1936</v>
      </c>
      <c r="C194" s="205" t="s">
        <v>40</v>
      </c>
      <c r="D194" s="205" t="s">
        <v>1937</v>
      </c>
      <c r="E194" s="205" t="s">
        <v>89</v>
      </c>
      <c r="F194" s="206" t="s">
        <v>1938</v>
      </c>
      <c r="G194" s="205" t="s">
        <v>163</v>
      </c>
      <c r="H194" s="211">
        <v>1000</v>
      </c>
      <c r="I194" s="234" t="s">
        <v>255</v>
      </c>
      <c r="J194" s="205" t="s">
        <v>179</v>
      </c>
      <c r="K194" s="205" t="s">
        <v>43</v>
      </c>
      <c r="M194">
        <f t="shared" si="0"/>
        <v>200</v>
      </c>
      <c r="P194" s="57"/>
    </row>
    <row r="195" spans="1:16" x14ac:dyDescent="0.25">
      <c r="A195" s="203">
        <v>30</v>
      </c>
      <c r="B195" s="205" t="s">
        <v>1939</v>
      </c>
      <c r="C195" s="205" t="s">
        <v>40</v>
      </c>
      <c r="D195" s="205" t="s">
        <v>451</v>
      </c>
      <c r="E195" s="205" t="s">
        <v>57</v>
      </c>
      <c r="F195" s="206"/>
      <c r="G195" s="205" t="s">
        <v>163</v>
      </c>
      <c r="H195" s="211">
        <v>100</v>
      </c>
      <c r="I195" s="234">
        <v>100</v>
      </c>
      <c r="J195" s="205" t="s">
        <v>179</v>
      </c>
      <c r="K195" s="205" t="s">
        <v>43</v>
      </c>
      <c r="M195">
        <f t="shared" si="0"/>
        <v>20</v>
      </c>
      <c r="P195" s="57"/>
    </row>
    <row r="196" spans="1:16" x14ac:dyDescent="0.25">
      <c r="A196" s="203">
        <v>30</v>
      </c>
      <c r="B196" s="205" t="s">
        <v>1356</v>
      </c>
      <c r="C196" s="205" t="s">
        <v>48</v>
      </c>
      <c r="D196" s="205" t="s">
        <v>144</v>
      </c>
      <c r="E196" s="205" t="s">
        <v>52</v>
      </c>
      <c r="F196" s="206"/>
      <c r="G196" s="205" t="s">
        <v>163</v>
      </c>
      <c r="H196" s="211">
        <v>2000</v>
      </c>
      <c r="I196" s="234">
        <v>2000</v>
      </c>
      <c r="J196" s="205" t="s">
        <v>179</v>
      </c>
      <c r="K196" s="205" t="s">
        <v>43</v>
      </c>
      <c r="M196">
        <f t="shared" si="0"/>
        <v>400</v>
      </c>
      <c r="P196" s="57"/>
    </row>
    <row r="197" spans="1:16" x14ac:dyDescent="0.25">
      <c r="A197" s="203">
        <v>30</v>
      </c>
      <c r="B197" s="205" t="s">
        <v>1940</v>
      </c>
      <c r="C197" s="205" t="s">
        <v>48</v>
      </c>
      <c r="D197" s="205" t="s">
        <v>1941</v>
      </c>
      <c r="E197" s="205" t="s">
        <v>52</v>
      </c>
      <c r="F197" s="206"/>
      <c r="G197" s="205" t="s">
        <v>42</v>
      </c>
      <c r="H197" s="211">
        <v>70</v>
      </c>
      <c r="I197" s="234">
        <v>14</v>
      </c>
      <c r="J197" s="205" t="s">
        <v>179</v>
      </c>
      <c r="K197" s="205" t="s">
        <v>43</v>
      </c>
      <c r="M197">
        <f t="shared" si="0"/>
        <v>14</v>
      </c>
      <c r="P197" s="57"/>
    </row>
    <row r="198" spans="1:16" x14ac:dyDescent="0.25">
      <c r="A198" s="203">
        <v>30</v>
      </c>
      <c r="B198" s="205" t="s">
        <v>1940</v>
      </c>
      <c r="C198" s="205" t="s">
        <v>48</v>
      </c>
      <c r="D198" s="205" t="s">
        <v>1941</v>
      </c>
      <c r="E198" s="205" t="s">
        <v>52</v>
      </c>
      <c r="F198" s="206"/>
      <c r="G198" s="205" t="s">
        <v>162</v>
      </c>
      <c r="H198" s="211">
        <v>3</v>
      </c>
      <c r="I198" s="234">
        <v>15</v>
      </c>
      <c r="J198" s="205" t="s">
        <v>179</v>
      </c>
      <c r="K198" s="205" t="s">
        <v>43</v>
      </c>
      <c r="M198">
        <f t="shared" si="0"/>
        <v>0.6</v>
      </c>
      <c r="P198" s="57"/>
    </row>
    <row r="199" spans="1:16" x14ac:dyDescent="0.25">
      <c r="A199" s="203">
        <v>30</v>
      </c>
      <c r="B199" s="205" t="s">
        <v>1727</v>
      </c>
      <c r="C199" s="205" t="s">
        <v>48</v>
      </c>
      <c r="D199" s="205" t="s">
        <v>141</v>
      </c>
      <c r="E199" s="205" t="s">
        <v>45</v>
      </c>
      <c r="F199" s="206"/>
      <c r="G199" s="205" t="s">
        <v>42</v>
      </c>
      <c r="H199" s="211">
        <v>3000</v>
      </c>
      <c r="I199" s="234">
        <v>600</v>
      </c>
      <c r="J199" s="205" t="s">
        <v>179</v>
      </c>
      <c r="K199" s="205" t="s">
        <v>43</v>
      </c>
      <c r="M199">
        <f t="shared" si="0"/>
        <v>600</v>
      </c>
      <c r="P199" s="57"/>
    </row>
    <row r="200" spans="1:16" x14ac:dyDescent="0.25">
      <c r="A200" s="203">
        <v>30</v>
      </c>
      <c r="B200" s="205" t="s">
        <v>1942</v>
      </c>
      <c r="C200" s="205" t="s">
        <v>40</v>
      </c>
      <c r="D200" s="205" t="s">
        <v>1236</v>
      </c>
      <c r="E200" s="205" t="s">
        <v>52</v>
      </c>
      <c r="F200" s="206"/>
      <c r="G200" s="205" t="s">
        <v>163</v>
      </c>
      <c r="H200" s="211">
        <v>1000</v>
      </c>
      <c r="I200" s="234">
        <v>1000</v>
      </c>
      <c r="J200" s="205" t="s">
        <v>179</v>
      </c>
      <c r="K200" s="205" t="s">
        <v>43</v>
      </c>
      <c r="M200">
        <f t="shared" si="0"/>
        <v>200</v>
      </c>
      <c r="P200" s="57"/>
    </row>
    <row r="201" spans="1:16" x14ac:dyDescent="0.25">
      <c r="A201" s="203">
        <v>30</v>
      </c>
      <c r="B201" s="205" t="s">
        <v>298</v>
      </c>
      <c r="C201" s="205" t="s">
        <v>40</v>
      </c>
      <c r="D201" s="205" t="s">
        <v>299</v>
      </c>
      <c r="E201" s="205" t="s">
        <v>45</v>
      </c>
      <c r="F201" s="206"/>
      <c r="G201" s="205" t="s">
        <v>163</v>
      </c>
      <c r="H201" s="211">
        <v>200</v>
      </c>
      <c r="I201" s="234">
        <v>200</v>
      </c>
      <c r="J201" s="205" t="s">
        <v>179</v>
      </c>
      <c r="K201" s="205" t="s">
        <v>43</v>
      </c>
      <c r="M201">
        <f t="shared" si="0"/>
        <v>40</v>
      </c>
      <c r="P201" s="57"/>
    </row>
    <row r="202" spans="1:16" x14ac:dyDescent="0.25">
      <c r="A202" s="203">
        <v>30</v>
      </c>
      <c r="B202" s="205" t="s">
        <v>1943</v>
      </c>
      <c r="C202" s="205" t="s">
        <v>40</v>
      </c>
      <c r="D202" s="205" t="s">
        <v>1944</v>
      </c>
      <c r="E202" s="205" t="s">
        <v>50</v>
      </c>
      <c r="F202" s="206" t="s">
        <v>1945</v>
      </c>
      <c r="G202" s="205" t="s">
        <v>42</v>
      </c>
      <c r="H202" s="211">
        <v>750</v>
      </c>
      <c r="I202" s="234">
        <v>150</v>
      </c>
      <c r="J202" s="205" t="s">
        <v>179</v>
      </c>
      <c r="K202" s="205" t="s">
        <v>43</v>
      </c>
      <c r="M202">
        <f t="shared" si="0"/>
        <v>150</v>
      </c>
      <c r="P202" s="57"/>
    </row>
    <row r="203" spans="1:16" x14ac:dyDescent="0.25">
      <c r="A203" s="203">
        <v>30</v>
      </c>
      <c r="B203" s="205" t="s">
        <v>1943</v>
      </c>
      <c r="C203" s="205" t="s">
        <v>40</v>
      </c>
      <c r="D203" s="205" t="s">
        <v>1944</v>
      </c>
      <c r="E203" s="205" t="s">
        <v>50</v>
      </c>
      <c r="F203" s="206" t="s">
        <v>1945</v>
      </c>
      <c r="G203" s="205" t="s">
        <v>163</v>
      </c>
      <c r="H203" s="211">
        <v>100</v>
      </c>
      <c r="I203" s="234">
        <v>100</v>
      </c>
      <c r="J203" s="205" t="s">
        <v>179</v>
      </c>
      <c r="K203" s="205" t="s">
        <v>43</v>
      </c>
      <c r="M203">
        <f t="shared" si="0"/>
        <v>20</v>
      </c>
      <c r="P203" s="57"/>
    </row>
    <row r="204" spans="1:16" x14ac:dyDescent="0.25">
      <c r="A204" s="203">
        <v>30</v>
      </c>
      <c r="B204" s="208" t="s">
        <v>1426</v>
      </c>
      <c r="C204" s="205" t="s">
        <v>40</v>
      </c>
      <c r="D204" s="205"/>
      <c r="E204" s="205" t="s">
        <v>83</v>
      </c>
      <c r="F204" s="206"/>
      <c r="G204" s="205" t="s">
        <v>163</v>
      </c>
      <c r="H204" s="211">
        <v>500</v>
      </c>
      <c r="I204" s="234">
        <v>500</v>
      </c>
      <c r="J204" s="205" t="s">
        <v>179</v>
      </c>
      <c r="K204" s="205" t="s">
        <v>43</v>
      </c>
      <c r="M204">
        <f t="shared" si="0"/>
        <v>100</v>
      </c>
      <c r="P204" s="25"/>
    </row>
    <row r="205" spans="1:16" x14ac:dyDescent="0.25">
      <c r="A205" s="230"/>
      <c r="B205" s="79"/>
      <c r="C205" s="199"/>
      <c r="D205" s="199"/>
      <c r="E205" s="199"/>
      <c r="F205" s="200"/>
      <c r="G205" s="199"/>
      <c r="H205" s="209"/>
      <c r="I205" s="210"/>
      <c r="J205" s="199"/>
      <c r="K205" s="199"/>
      <c r="M205">
        <f>SUM(M12:M204)</f>
        <v>69601.600000000006</v>
      </c>
    </row>
    <row r="206" spans="1:16" x14ac:dyDescent="0.25">
      <c r="A206" s="324"/>
    </row>
    <row r="207" spans="1:16" x14ac:dyDescent="0.25">
      <c r="A207" s="324"/>
    </row>
    <row r="208" spans="1:16" x14ac:dyDescent="0.25">
      <c r="I208" s="92" t="s">
        <v>19</v>
      </c>
      <c r="J208" s="26"/>
    </row>
    <row r="209" spans="2:16" ht="16.5" customHeight="1" x14ac:dyDescent="0.25">
      <c r="B209" t="s">
        <v>20</v>
      </c>
      <c r="E209" t="s">
        <v>21</v>
      </c>
      <c r="I209" s="81" t="s">
        <v>114</v>
      </c>
      <c r="J209" s="97">
        <v>164</v>
      </c>
      <c r="P209" s="25"/>
    </row>
    <row r="210" spans="2:16" x14ac:dyDescent="0.25">
      <c r="I210" s="81" t="s">
        <v>115</v>
      </c>
      <c r="J210" s="97"/>
      <c r="K210" s="57"/>
      <c r="P210" s="57"/>
    </row>
    <row r="211" spans="2:16" x14ac:dyDescent="0.25">
      <c r="I211" s="81" t="s">
        <v>165</v>
      </c>
      <c r="J211" s="99">
        <v>301720</v>
      </c>
      <c r="K211" s="57"/>
      <c r="N211" s="25"/>
      <c r="P211" s="25"/>
    </row>
    <row r="212" spans="2:16" x14ac:dyDescent="0.25">
      <c r="I212" s="81" t="s">
        <v>567</v>
      </c>
      <c r="J212" s="99">
        <v>560</v>
      </c>
      <c r="P212" s="57"/>
    </row>
    <row r="213" spans="2:16" x14ac:dyDescent="0.25">
      <c r="B213" s="93" t="s">
        <v>538</v>
      </c>
      <c r="E213" s="533" t="s">
        <v>941</v>
      </c>
      <c r="F213" s="533"/>
      <c r="G213" s="533"/>
      <c r="H213" s="533"/>
      <c r="I213" s="81" t="s">
        <v>116</v>
      </c>
      <c r="J213" s="99">
        <v>7326</v>
      </c>
      <c r="P213" s="57"/>
    </row>
    <row r="214" spans="2:16" x14ac:dyDescent="0.25">
      <c r="B214" t="s">
        <v>183</v>
      </c>
      <c r="E214" s="522" t="s">
        <v>942</v>
      </c>
      <c r="F214" s="522"/>
      <c r="G214" s="522"/>
      <c r="H214" s="522"/>
      <c r="I214" s="81" t="s">
        <v>117</v>
      </c>
      <c r="J214" s="99">
        <v>192</v>
      </c>
      <c r="P214" s="57"/>
    </row>
    <row r="215" spans="2:16" x14ac:dyDescent="0.25">
      <c r="I215" s="81" t="s">
        <v>119</v>
      </c>
      <c r="J215" s="99">
        <v>38210</v>
      </c>
      <c r="P215" s="25"/>
    </row>
    <row r="216" spans="2:16" x14ac:dyDescent="0.25">
      <c r="I216" s="94" t="s">
        <v>113</v>
      </c>
      <c r="J216" s="97"/>
    </row>
    <row r="217" spans="2:16" x14ac:dyDescent="0.25">
      <c r="I217" s="81" t="s">
        <v>23</v>
      </c>
      <c r="J217" s="323"/>
    </row>
    <row r="218" spans="2:16" x14ac:dyDescent="0.25">
      <c r="I218" s="95" t="s">
        <v>111</v>
      </c>
      <c r="J218" s="99"/>
    </row>
    <row r="219" spans="2:16" x14ac:dyDescent="0.25">
      <c r="B219" s="27"/>
      <c r="E219" s="27"/>
      <c r="F219" s="27"/>
      <c r="G219" s="27"/>
      <c r="I219" s="95" t="s">
        <v>112</v>
      </c>
      <c r="J219" s="58"/>
    </row>
    <row r="220" spans="2:16" x14ac:dyDescent="0.25">
      <c r="I220" s="81"/>
      <c r="J220" s="26"/>
    </row>
    <row r="221" spans="2:16" x14ac:dyDescent="0.25">
      <c r="I221" s="81"/>
      <c r="J221" s="26"/>
    </row>
    <row r="222" spans="2:16" x14ac:dyDescent="0.25">
      <c r="I222" s="81"/>
      <c r="J222" s="58"/>
    </row>
    <row r="223" spans="2:16" x14ac:dyDescent="0.25">
      <c r="I223" s="81"/>
      <c r="J223" s="58"/>
    </row>
    <row r="243" spans="12:12" x14ac:dyDescent="0.25">
      <c r="L243" s="25"/>
    </row>
    <row r="266" spans="12:12" x14ac:dyDescent="0.25">
      <c r="L266" s="25"/>
    </row>
    <row r="393" spans="12:12" x14ac:dyDescent="0.25">
      <c r="L393" s="25"/>
    </row>
  </sheetData>
  <mergeCells count="8">
    <mergeCell ref="E213:H213"/>
    <mergeCell ref="E214:H214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153A-4258-4F25-8452-EAD20E05907F}">
  <sheetPr>
    <tabColor theme="5"/>
  </sheetPr>
  <dimension ref="A1:O32"/>
  <sheetViews>
    <sheetView view="pageBreakPreview" topLeftCell="A8" zoomScale="96" zoomScaleNormal="100" zoomScaleSheetLayoutView="96" workbookViewId="0">
      <selection activeCell="J13" sqref="J13:L16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6.7109375" customWidth="1"/>
    <col min="9" max="9" width="19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</row>
    <row r="2" spans="1:15" ht="18" x14ac:dyDescent="0.25">
      <c r="A2" s="524" t="s">
        <v>1405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</row>
    <row r="3" spans="1:15" x14ac:dyDescent="0.25">
      <c r="A3" s="183"/>
      <c r="B3" s="1"/>
      <c r="C3" s="28"/>
      <c r="D3" s="1"/>
      <c r="E3" s="1"/>
      <c r="G3" s="1"/>
      <c r="H3" s="28"/>
      <c r="I3" s="25"/>
      <c r="J3" s="29"/>
      <c r="K3" s="526" t="s">
        <v>1550</v>
      </c>
      <c r="L3" s="536"/>
    </row>
    <row r="4" spans="1:15" x14ac:dyDescent="0.25">
      <c r="A4" s="183"/>
      <c r="B4" s="1"/>
      <c r="C4" s="28"/>
      <c r="D4" s="1"/>
      <c r="E4" s="1"/>
      <c r="G4" s="1"/>
      <c r="H4" s="28"/>
      <c r="I4" s="25"/>
      <c r="J4" s="29"/>
      <c r="K4" s="31" t="s">
        <v>37</v>
      </c>
      <c r="L4" s="100">
        <v>1</v>
      </c>
    </row>
    <row r="5" spans="1:15" x14ac:dyDescent="0.25">
      <c r="A5" s="183"/>
      <c r="B5" s="1"/>
      <c r="C5" s="28"/>
      <c r="D5" s="1"/>
      <c r="E5" s="1"/>
      <c r="G5" s="1"/>
      <c r="H5" s="28"/>
      <c r="I5" s="25"/>
      <c r="J5" s="29"/>
      <c r="K5" s="31" t="s">
        <v>38</v>
      </c>
      <c r="L5" s="100"/>
    </row>
    <row r="6" spans="1:15" ht="18" x14ac:dyDescent="0.25">
      <c r="A6" s="528" t="s">
        <v>122</v>
      </c>
      <c r="B6" s="528"/>
      <c r="C6" s="32"/>
      <c r="D6" s="1"/>
      <c r="E6" s="4"/>
      <c r="F6" s="2"/>
      <c r="G6" s="1"/>
      <c r="H6" s="28"/>
      <c r="I6" s="25"/>
      <c r="J6" s="29"/>
      <c r="K6" s="5" t="s">
        <v>39</v>
      </c>
      <c r="L6" s="33"/>
    </row>
    <row r="7" spans="1:15" x14ac:dyDescent="0.25">
      <c r="A7" s="6"/>
      <c r="B7" s="7"/>
      <c r="C7" s="34" t="s">
        <v>24</v>
      </c>
      <c r="D7" s="8"/>
      <c r="E7" s="8"/>
      <c r="F7" s="35" t="s">
        <v>25</v>
      </c>
      <c r="G7" s="34" t="s">
        <v>26</v>
      </c>
      <c r="H7" s="529" t="s">
        <v>27</v>
      </c>
      <c r="I7" s="530"/>
      <c r="J7" s="36"/>
      <c r="K7" s="531" t="s">
        <v>2</v>
      </c>
      <c r="L7" s="532"/>
    </row>
    <row r="8" spans="1:15" x14ac:dyDescent="0.25">
      <c r="A8" s="519" t="s">
        <v>28</v>
      </c>
      <c r="B8" s="520"/>
      <c r="C8" s="35" t="s">
        <v>29</v>
      </c>
      <c r="D8" s="184" t="s">
        <v>5</v>
      </c>
      <c r="E8" s="9" t="s">
        <v>6</v>
      </c>
      <c r="F8" s="35" t="s">
        <v>30</v>
      </c>
      <c r="G8" s="37" t="s">
        <v>31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7"/>
      <c r="B9" s="14"/>
      <c r="C9" s="35" t="s">
        <v>32</v>
      </c>
      <c r="D9" s="15"/>
      <c r="E9" s="14"/>
      <c r="F9" s="35" t="s">
        <v>33</v>
      </c>
      <c r="G9" s="37" t="s">
        <v>34</v>
      </c>
      <c r="H9" s="40" t="s">
        <v>11</v>
      </c>
      <c r="I9" s="39" t="s">
        <v>12</v>
      </c>
      <c r="J9" s="41"/>
      <c r="K9" s="184" t="s">
        <v>13</v>
      </c>
      <c r="L9" s="184" t="s">
        <v>14</v>
      </c>
    </row>
    <row r="10" spans="1:15" x14ac:dyDescent="0.25">
      <c r="A10" s="18"/>
      <c r="B10" s="19"/>
      <c r="C10" s="42"/>
      <c r="D10" s="20"/>
      <c r="E10" s="20"/>
      <c r="F10" s="43" t="s">
        <v>35</v>
      </c>
      <c r="G10" s="22"/>
      <c r="H10" s="44"/>
      <c r="I10" s="45" t="s">
        <v>36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ht="25.5" customHeight="1" x14ac:dyDescent="0.25">
      <c r="A12" s="219">
        <v>10</v>
      </c>
      <c r="B12" s="220" t="s">
        <v>1517</v>
      </c>
      <c r="C12" s="49"/>
      <c r="D12" s="220" t="s">
        <v>1518</v>
      </c>
      <c r="E12" s="220" t="s">
        <v>83</v>
      </c>
      <c r="F12" s="223" t="s">
        <v>1519</v>
      </c>
      <c r="G12" s="220" t="s">
        <v>1520</v>
      </c>
      <c r="H12" s="325" t="s">
        <v>42</v>
      </c>
      <c r="I12" s="221">
        <v>12500</v>
      </c>
      <c r="J12" s="194" t="s">
        <v>255</v>
      </c>
      <c r="K12" s="79"/>
      <c r="L12" s="145" t="s">
        <v>43</v>
      </c>
    </row>
    <row r="13" spans="1:15" ht="34.5" customHeight="1" x14ac:dyDescent="0.25">
      <c r="A13" s="299"/>
      <c r="B13" s="220"/>
      <c r="C13" s="49"/>
      <c r="D13" s="220"/>
      <c r="E13" s="220"/>
      <c r="F13" s="231"/>
      <c r="G13" s="220"/>
      <c r="H13" s="325"/>
      <c r="I13" s="221"/>
      <c r="J13" s="194"/>
      <c r="K13" s="79"/>
      <c r="L13" s="145"/>
    </row>
    <row r="14" spans="1:15" ht="21" customHeight="1" x14ac:dyDescent="0.25">
      <c r="A14" s="300"/>
      <c r="B14" s="238"/>
      <c r="C14" s="190"/>
      <c r="D14" s="239"/>
      <c r="E14" s="145"/>
      <c r="F14" s="240"/>
      <c r="G14" s="337"/>
      <c r="H14" s="192"/>
      <c r="I14" s="278"/>
      <c r="J14" s="194"/>
      <c r="K14" s="79"/>
      <c r="L14" s="145"/>
      <c r="M14" s="132"/>
    </row>
    <row r="15" spans="1:15" ht="25.5" customHeight="1" x14ac:dyDescent="0.25">
      <c r="A15" s="300"/>
      <c r="B15" s="238"/>
      <c r="C15" s="190"/>
      <c r="D15" s="239"/>
      <c r="E15" s="145"/>
      <c r="F15" s="191"/>
      <c r="G15" s="145"/>
      <c r="H15" s="325"/>
      <c r="I15" s="242"/>
      <c r="J15" s="194"/>
      <c r="K15" s="79"/>
      <c r="L15" s="145"/>
      <c r="M15" s="132"/>
      <c r="O15" s="57"/>
    </row>
    <row r="16" spans="1:15" ht="30.75" customHeight="1" x14ac:dyDescent="0.25">
      <c r="A16" s="300"/>
      <c r="B16" s="238"/>
      <c r="C16" s="190"/>
      <c r="D16" s="239"/>
      <c r="E16" s="145"/>
      <c r="F16" s="191"/>
      <c r="G16" s="145"/>
      <c r="H16" s="344"/>
      <c r="I16" s="242"/>
      <c r="J16" s="194"/>
      <c r="K16" s="80"/>
      <c r="L16" s="282"/>
      <c r="O16" s="57"/>
    </row>
    <row r="17" spans="1:15" ht="16.5" customHeight="1" x14ac:dyDescent="0.25">
      <c r="A17" s="222"/>
      <c r="B17" s="179"/>
      <c r="C17" s="79"/>
      <c r="D17" s="79"/>
      <c r="E17" s="79"/>
      <c r="F17" s="223"/>
      <c r="G17" s="79"/>
      <c r="H17" s="224"/>
      <c r="I17" s="195"/>
      <c r="J17" s="225"/>
      <c r="K17" s="79"/>
      <c r="L17" s="79"/>
      <c r="O17" s="57"/>
    </row>
    <row r="18" spans="1:15" x14ac:dyDescent="0.25">
      <c r="A18" s="222"/>
      <c r="B18" s="79"/>
      <c r="C18" s="190"/>
      <c r="D18" s="79"/>
      <c r="E18" s="79"/>
      <c r="F18" s="223"/>
      <c r="G18" s="79"/>
      <c r="H18" s="107"/>
      <c r="I18" s="195"/>
      <c r="J18" s="190"/>
      <c r="K18" s="79"/>
      <c r="L18" s="79"/>
      <c r="O18" s="57"/>
    </row>
    <row r="19" spans="1:15" x14ac:dyDescent="0.25">
      <c r="I19" s="26"/>
      <c r="J19" s="26"/>
    </row>
    <row r="20" spans="1:15" x14ac:dyDescent="0.25">
      <c r="I20" s="51" t="s">
        <v>19</v>
      </c>
      <c r="J20" s="26"/>
    </row>
    <row r="21" spans="1:15" x14ac:dyDescent="0.25">
      <c r="I21" s="26" t="s">
        <v>114</v>
      </c>
      <c r="J21" s="26"/>
    </row>
    <row r="22" spans="1:15" x14ac:dyDescent="0.25">
      <c r="B22" t="s">
        <v>20</v>
      </c>
      <c r="E22" t="s">
        <v>21</v>
      </c>
      <c r="I22" s="26" t="s">
        <v>115</v>
      </c>
      <c r="J22" s="99">
        <v>1</v>
      </c>
    </row>
    <row r="23" spans="1:15" x14ac:dyDescent="0.25">
      <c r="I23" s="26" t="s">
        <v>184</v>
      </c>
      <c r="J23" s="99">
        <v>12500</v>
      </c>
    </row>
    <row r="24" spans="1:15" x14ac:dyDescent="0.25">
      <c r="I24" s="26" t="s">
        <v>589</v>
      </c>
      <c r="J24" s="99"/>
    </row>
    <row r="25" spans="1:15" x14ac:dyDescent="0.25">
      <c r="I25" s="26" t="s">
        <v>1368</v>
      </c>
      <c r="J25" s="99"/>
    </row>
    <row r="26" spans="1:15" x14ac:dyDescent="0.25">
      <c r="I26" s="26" t="s">
        <v>116</v>
      </c>
      <c r="J26" s="99"/>
    </row>
    <row r="27" spans="1:15" x14ac:dyDescent="0.25">
      <c r="I27" s="26" t="s">
        <v>118</v>
      </c>
      <c r="J27" s="97"/>
    </row>
    <row r="28" spans="1:15" x14ac:dyDescent="0.25">
      <c r="B28" s="27" t="s">
        <v>538</v>
      </c>
      <c r="E28" s="521" t="s">
        <v>941</v>
      </c>
      <c r="F28" s="521"/>
      <c r="G28" s="521"/>
      <c r="H28" s="521"/>
      <c r="I28" s="26" t="s">
        <v>119</v>
      </c>
      <c r="J28" s="99"/>
      <c r="L28" s="57"/>
    </row>
    <row r="29" spans="1:15" x14ac:dyDescent="0.25">
      <c r="B29" t="s">
        <v>183</v>
      </c>
      <c r="E29" s="522" t="s">
        <v>942</v>
      </c>
      <c r="F29" s="522"/>
      <c r="G29" s="522"/>
      <c r="H29" s="522"/>
      <c r="I29" s="26" t="s">
        <v>120</v>
      </c>
      <c r="J29" s="97"/>
      <c r="L29" s="57"/>
    </row>
    <row r="30" spans="1:15" x14ac:dyDescent="0.25">
      <c r="I30" s="26" t="s">
        <v>23</v>
      </c>
      <c r="J30" s="98"/>
    </row>
    <row r="31" spans="1:15" x14ac:dyDescent="0.25">
      <c r="I31" s="3" t="s">
        <v>121</v>
      </c>
      <c r="J31" s="99"/>
    </row>
    <row r="32" spans="1:15" x14ac:dyDescent="0.25">
      <c r="I32" s="3" t="s">
        <v>91</v>
      </c>
      <c r="J32" s="99"/>
    </row>
  </sheetData>
  <mergeCells count="9">
    <mergeCell ref="A8:B8"/>
    <mergeCell ref="E28:H28"/>
    <mergeCell ref="E29:H29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EFC3-EA28-462B-9E42-CF0064EF61BE}">
  <sheetPr>
    <tabColor theme="5"/>
  </sheetPr>
  <dimension ref="A1:Q367"/>
  <sheetViews>
    <sheetView view="pageBreakPreview" topLeftCell="A155" zoomScale="106" zoomScaleNormal="100" zoomScaleSheetLayoutView="106" workbookViewId="0">
      <selection activeCell="K86" sqref="K86:K87"/>
    </sheetView>
  </sheetViews>
  <sheetFormatPr defaultRowHeight="15" x14ac:dyDescent="0.25"/>
  <cols>
    <col min="1" max="1" width="4.7109375" style="183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91" customWidth="1"/>
    <col min="10" max="10" width="9.5703125" customWidth="1"/>
    <col min="11" max="11" width="17.85546875" customWidth="1"/>
    <col min="15" max="15" width="11.140625" customWidth="1"/>
    <col min="16" max="16" width="20" customWidth="1"/>
  </cols>
  <sheetData>
    <row r="1" spans="1:17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</row>
    <row r="2" spans="1:17" ht="18" x14ac:dyDescent="0.25">
      <c r="A2" s="524" t="s">
        <v>1405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</row>
    <row r="3" spans="1:17" x14ac:dyDescent="0.25">
      <c r="B3" s="1"/>
      <c r="C3" s="3"/>
      <c r="D3" s="1"/>
      <c r="E3" s="1"/>
      <c r="G3" s="3"/>
      <c r="H3" s="67"/>
      <c r="I3" s="81"/>
      <c r="J3" s="82" t="s">
        <v>1679</v>
      </c>
      <c r="K3" s="83"/>
    </row>
    <row r="4" spans="1:17" x14ac:dyDescent="0.25">
      <c r="B4" s="1"/>
      <c r="C4" s="3"/>
      <c r="D4" s="1"/>
      <c r="E4" s="1"/>
      <c r="G4" s="3"/>
      <c r="H4" s="67"/>
      <c r="I4" s="84"/>
      <c r="J4" s="76" t="s">
        <v>93</v>
      </c>
      <c r="K4" s="96">
        <v>116</v>
      </c>
    </row>
    <row r="5" spans="1:17" x14ac:dyDescent="0.25">
      <c r="B5" s="1"/>
      <c r="C5" s="3"/>
      <c r="D5" s="1"/>
      <c r="E5" s="1"/>
      <c r="G5" s="3"/>
      <c r="H5" s="67"/>
      <c r="I5" s="84"/>
      <c r="J5" s="76" t="s">
        <v>95</v>
      </c>
      <c r="K5" s="96">
        <v>31</v>
      </c>
    </row>
    <row r="6" spans="1:17" x14ac:dyDescent="0.25">
      <c r="A6" s="534" t="s">
        <v>123</v>
      </c>
      <c r="B6" s="534"/>
      <c r="C6" s="3"/>
      <c r="D6" s="1"/>
      <c r="E6" s="4"/>
      <c r="G6" s="3"/>
      <c r="H6" s="67"/>
      <c r="I6" s="81"/>
      <c r="J6" s="80" t="s">
        <v>1680</v>
      </c>
      <c r="K6" s="85"/>
    </row>
    <row r="7" spans="1:17" x14ac:dyDescent="0.25">
      <c r="A7" s="6"/>
      <c r="B7" s="7"/>
      <c r="C7" s="64"/>
      <c r="D7" s="8"/>
      <c r="E7" s="8"/>
      <c r="F7" s="529" t="s">
        <v>1</v>
      </c>
      <c r="G7" s="535"/>
      <c r="H7" s="530"/>
      <c r="I7" s="86"/>
      <c r="J7" s="531" t="s">
        <v>2</v>
      </c>
      <c r="K7" s="532"/>
      <c r="P7" s="25"/>
    </row>
    <row r="8" spans="1:17" x14ac:dyDescent="0.25">
      <c r="A8" s="519" t="s">
        <v>3</v>
      </c>
      <c r="B8" s="520"/>
      <c r="C8" s="17" t="s">
        <v>4</v>
      </c>
      <c r="D8" s="184" t="s">
        <v>5</v>
      </c>
      <c r="E8" s="9" t="s">
        <v>6</v>
      </c>
      <c r="F8" s="10" t="s">
        <v>7</v>
      </c>
      <c r="G8" s="65"/>
      <c r="H8" s="11" t="s">
        <v>8</v>
      </c>
      <c r="I8" s="60" t="s">
        <v>9</v>
      </c>
      <c r="J8" s="77"/>
      <c r="K8" s="13"/>
      <c r="P8" s="448">
        <f>SUM(I12:I22,I25:I74,I76:I85,I87:I102,I105:I163,I165:I167)</f>
        <v>74330</v>
      </c>
    </row>
    <row r="9" spans="1:17" x14ac:dyDescent="0.25">
      <c r="A9" s="87"/>
      <c r="B9" s="14"/>
      <c r="C9" s="65"/>
      <c r="D9" s="15"/>
      <c r="E9" s="14"/>
      <c r="F9" s="16" t="s">
        <v>10</v>
      </c>
      <c r="G9" s="17" t="s">
        <v>11</v>
      </c>
      <c r="H9" s="11" t="s">
        <v>12</v>
      </c>
      <c r="I9" s="88"/>
      <c r="J9" s="184" t="s">
        <v>13</v>
      </c>
      <c r="K9" s="184" t="s">
        <v>14</v>
      </c>
      <c r="Q9" s="232"/>
    </row>
    <row r="10" spans="1:17" x14ac:dyDescent="0.25">
      <c r="A10" s="18"/>
      <c r="B10" s="19"/>
      <c r="C10" s="66"/>
      <c r="D10" s="20"/>
      <c r="E10" s="20"/>
      <c r="F10" s="21"/>
      <c r="G10" s="68"/>
      <c r="H10" s="69" t="s">
        <v>15</v>
      </c>
      <c r="I10" s="89"/>
      <c r="J10" s="21"/>
      <c r="K10" s="22" t="s">
        <v>16</v>
      </c>
      <c r="P10" s="232"/>
      <c r="Q10" s="232"/>
    </row>
    <row r="11" spans="1:17" x14ac:dyDescent="0.25">
      <c r="A11" s="47" t="s">
        <v>17</v>
      </c>
      <c r="B11" s="23"/>
      <c r="C11" s="23"/>
      <c r="D11" s="23"/>
      <c r="E11" s="23"/>
      <c r="F11" s="23"/>
      <c r="G11" s="23"/>
      <c r="H11" s="23"/>
      <c r="I11" s="61"/>
      <c r="J11" s="23"/>
      <c r="K11" s="23"/>
      <c r="P11" s="232"/>
      <c r="Q11" s="232"/>
    </row>
    <row r="12" spans="1:17" x14ac:dyDescent="0.25">
      <c r="A12" s="203">
        <v>3</v>
      </c>
      <c r="B12" s="205" t="s">
        <v>1406</v>
      </c>
      <c r="C12" s="205" t="s">
        <v>40</v>
      </c>
      <c r="D12" s="205" t="s">
        <v>488</v>
      </c>
      <c r="E12" s="205" t="s">
        <v>44</v>
      </c>
      <c r="F12" s="206" t="s">
        <v>1407</v>
      </c>
      <c r="G12" s="208" t="s">
        <v>42</v>
      </c>
      <c r="H12" s="207">
        <v>3000</v>
      </c>
      <c r="I12" s="204">
        <v>600</v>
      </c>
      <c r="J12" s="205" t="s">
        <v>1161</v>
      </c>
      <c r="K12" s="205" t="s">
        <v>43</v>
      </c>
      <c r="M12">
        <f t="shared" ref="M12:M168" si="0">H12/5</f>
        <v>600</v>
      </c>
      <c r="O12" s="356" t="s">
        <v>1480</v>
      </c>
      <c r="P12" s="232">
        <f>SUM(H12:H47)</f>
        <v>77755</v>
      </c>
    </row>
    <row r="13" spans="1:17" x14ac:dyDescent="0.25">
      <c r="A13" s="203">
        <v>3</v>
      </c>
      <c r="B13" s="205" t="s">
        <v>1408</v>
      </c>
      <c r="C13" s="205" t="s">
        <v>48</v>
      </c>
      <c r="D13" s="205" t="s">
        <v>501</v>
      </c>
      <c r="E13" s="205" t="s">
        <v>52</v>
      </c>
      <c r="F13" s="206" t="s">
        <v>1409</v>
      </c>
      <c r="G13" s="208" t="s">
        <v>42</v>
      </c>
      <c r="H13" s="207">
        <v>1800</v>
      </c>
      <c r="I13" s="204">
        <v>360</v>
      </c>
      <c r="J13" s="205" t="s">
        <v>1161</v>
      </c>
      <c r="K13" s="205" t="s">
        <v>43</v>
      </c>
      <c r="M13">
        <f t="shared" si="0"/>
        <v>360</v>
      </c>
      <c r="O13" s="356" t="s">
        <v>1549</v>
      </c>
      <c r="P13" s="232">
        <f>SUM(H48:H84)</f>
        <v>64050</v>
      </c>
    </row>
    <row r="14" spans="1:17" x14ac:dyDescent="0.25">
      <c r="A14" s="203">
        <v>3</v>
      </c>
      <c r="B14" s="205" t="s">
        <v>1410</v>
      </c>
      <c r="C14" s="205" t="s">
        <v>40</v>
      </c>
      <c r="D14" s="205" t="s">
        <v>931</v>
      </c>
      <c r="E14" s="205" t="s">
        <v>44</v>
      </c>
      <c r="F14" s="206"/>
      <c r="G14" s="208" t="s">
        <v>42</v>
      </c>
      <c r="H14" s="207">
        <v>1000</v>
      </c>
      <c r="I14" s="204">
        <v>200</v>
      </c>
      <c r="J14" s="205" t="s">
        <v>179</v>
      </c>
      <c r="K14" s="205" t="s">
        <v>43</v>
      </c>
      <c r="M14">
        <f t="shared" si="0"/>
        <v>200</v>
      </c>
      <c r="O14" s="356" t="s">
        <v>1630</v>
      </c>
      <c r="P14" s="232"/>
    </row>
    <row r="15" spans="1:17" x14ac:dyDescent="0.25">
      <c r="A15" s="203">
        <v>3</v>
      </c>
      <c r="B15" s="205" t="s">
        <v>1411</v>
      </c>
      <c r="C15" s="205" t="s">
        <v>48</v>
      </c>
      <c r="D15" s="205" t="s">
        <v>1412</v>
      </c>
      <c r="E15" s="205" t="s">
        <v>65</v>
      </c>
      <c r="F15" s="206" t="s">
        <v>1413</v>
      </c>
      <c r="G15" s="208" t="s">
        <v>42</v>
      </c>
      <c r="H15" s="207">
        <v>200</v>
      </c>
      <c r="I15" s="204">
        <v>60</v>
      </c>
      <c r="J15" s="205" t="s">
        <v>179</v>
      </c>
      <c r="K15" s="205" t="s">
        <v>43</v>
      </c>
      <c r="M15">
        <f t="shared" si="0"/>
        <v>40</v>
      </c>
      <c r="O15" s="357" t="s">
        <v>42</v>
      </c>
      <c r="P15" s="232">
        <f>SUM(H85:H90, H92:H99, H101:H112, H115:H120)</f>
        <v>56600</v>
      </c>
    </row>
    <row r="16" spans="1:17" x14ac:dyDescent="0.25">
      <c r="A16" s="203">
        <v>3</v>
      </c>
      <c r="B16" s="205" t="s">
        <v>1414</v>
      </c>
      <c r="C16" s="205" t="s">
        <v>48</v>
      </c>
      <c r="D16" s="205" t="s">
        <v>471</v>
      </c>
      <c r="E16" s="205" t="s">
        <v>47</v>
      </c>
      <c r="F16" s="206" t="s">
        <v>1415</v>
      </c>
      <c r="G16" s="208" t="s">
        <v>42</v>
      </c>
      <c r="H16" s="207">
        <v>3000</v>
      </c>
      <c r="I16" s="204">
        <v>600</v>
      </c>
      <c r="J16" s="205" t="s">
        <v>179</v>
      </c>
      <c r="K16" s="205" t="s">
        <v>43</v>
      </c>
      <c r="M16">
        <f t="shared" si="0"/>
        <v>600</v>
      </c>
      <c r="O16" s="357" t="s">
        <v>1607</v>
      </c>
      <c r="P16" s="232">
        <f>H91+H100+H114</f>
        <v>2000</v>
      </c>
    </row>
    <row r="17" spans="1:17" x14ac:dyDescent="0.25">
      <c r="A17" s="203">
        <v>3</v>
      </c>
      <c r="B17" s="205" t="s">
        <v>1416</v>
      </c>
      <c r="C17" s="205" t="s">
        <v>40</v>
      </c>
      <c r="D17" s="205" t="s">
        <v>1115</v>
      </c>
      <c r="E17" s="205" t="s">
        <v>51</v>
      </c>
      <c r="F17" s="206" t="s">
        <v>1417</v>
      </c>
      <c r="G17" s="208" t="s">
        <v>42</v>
      </c>
      <c r="H17" s="207">
        <v>1000</v>
      </c>
      <c r="I17" s="204">
        <v>200</v>
      </c>
      <c r="J17" s="205" t="s">
        <v>179</v>
      </c>
      <c r="K17" s="205" t="s">
        <v>43</v>
      </c>
      <c r="M17">
        <f t="shared" si="0"/>
        <v>200</v>
      </c>
      <c r="O17" s="358" t="s">
        <v>163</v>
      </c>
      <c r="P17" s="232">
        <f>H113+H121</f>
        <v>1300</v>
      </c>
    </row>
    <row r="18" spans="1:17" x14ac:dyDescent="0.25">
      <c r="A18" s="203">
        <v>3</v>
      </c>
      <c r="B18" s="205" t="s">
        <v>1418</v>
      </c>
      <c r="C18" s="205" t="s">
        <v>40</v>
      </c>
      <c r="D18" s="205" t="s">
        <v>931</v>
      </c>
      <c r="E18" s="205" t="s">
        <v>44</v>
      </c>
      <c r="F18" s="206" t="s">
        <v>1419</v>
      </c>
      <c r="G18" s="208" t="s">
        <v>42</v>
      </c>
      <c r="H18" s="207">
        <v>300</v>
      </c>
      <c r="I18" s="204">
        <v>60</v>
      </c>
      <c r="J18" s="205" t="s">
        <v>179</v>
      </c>
      <c r="K18" s="205" t="s">
        <v>43</v>
      </c>
      <c r="M18">
        <f t="shared" si="0"/>
        <v>60</v>
      </c>
      <c r="O18" s="340" t="s">
        <v>1631</v>
      </c>
      <c r="P18" s="233"/>
      <c r="Q18" s="25"/>
    </row>
    <row r="19" spans="1:17" x14ac:dyDescent="0.25">
      <c r="A19" s="203">
        <v>3</v>
      </c>
      <c r="B19" s="205" t="s">
        <v>1420</v>
      </c>
      <c r="C19" s="205" t="s">
        <v>48</v>
      </c>
      <c r="D19" s="205" t="s">
        <v>142</v>
      </c>
      <c r="E19" s="205" t="s">
        <v>57</v>
      </c>
      <c r="F19" s="206" t="s">
        <v>1421</v>
      </c>
      <c r="G19" s="208" t="s">
        <v>42</v>
      </c>
      <c r="H19" s="207">
        <v>1500</v>
      </c>
      <c r="I19" s="204">
        <v>450</v>
      </c>
      <c r="J19" s="205" t="s">
        <v>179</v>
      </c>
      <c r="K19" s="205" t="s">
        <v>43</v>
      </c>
      <c r="M19">
        <f t="shared" si="0"/>
        <v>300</v>
      </c>
      <c r="O19" s="357" t="s">
        <v>42</v>
      </c>
      <c r="P19" s="232">
        <f>SUM(H123:H131)</f>
        <v>23200</v>
      </c>
    </row>
    <row r="20" spans="1:17" x14ac:dyDescent="0.25">
      <c r="A20" s="203">
        <v>3</v>
      </c>
      <c r="B20" s="205" t="s">
        <v>1422</v>
      </c>
      <c r="C20" s="205" t="s">
        <v>48</v>
      </c>
      <c r="D20" s="205" t="s">
        <v>488</v>
      </c>
      <c r="E20" s="205" t="s">
        <v>44</v>
      </c>
      <c r="F20" s="206" t="s">
        <v>1423</v>
      </c>
      <c r="G20" s="208" t="s">
        <v>42</v>
      </c>
      <c r="H20" s="207">
        <v>1500</v>
      </c>
      <c r="I20" s="204">
        <v>450</v>
      </c>
      <c r="J20" s="205" t="s">
        <v>179</v>
      </c>
      <c r="K20" s="205" t="s">
        <v>43</v>
      </c>
      <c r="M20">
        <f t="shared" si="0"/>
        <v>300</v>
      </c>
      <c r="O20" s="357" t="s">
        <v>1607</v>
      </c>
      <c r="P20" s="232">
        <v>3200</v>
      </c>
    </row>
    <row r="21" spans="1:17" x14ac:dyDescent="0.25">
      <c r="A21" s="203">
        <v>3</v>
      </c>
      <c r="B21" s="205" t="s">
        <v>1424</v>
      </c>
      <c r="C21" s="205" t="s">
        <v>40</v>
      </c>
      <c r="D21" s="205" t="s">
        <v>76</v>
      </c>
      <c r="E21" s="205" t="s">
        <v>44</v>
      </c>
      <c r="F21" s="206" t="s">
        <v>1425</v>
      </c>
      <c r="G21" s="208" t="s">
        <v>42</v>
      </c>
      <c r="H21" s="207">
        <v>3000</v>
      </c>
      <c r="I21" s="204">
        <v>600</v>
      </c>
      <c r="J21" s="205" t="s">
        <v>179</v>
      </c>
      <c r="K21" s="205" t="s">
        <v>43</v>
      </c>
      <c r="M21">
        <f t="shared" si="0"/>
        <v>600</v>
      </c>
      <c r="O21" s="358" t="s">
        <v>163</v>
      </c>
      <c r="P21" s="232">
        <v>250</v>
      </c>
    </row>
    <row r="22" spans="1:17" x14ac:dyDescent="0.25">
      <c r="A22" s="203">
        <v>3</v>
      </c>
      <c r="B22" s="205" t="s">
        <v>1426</v>
      </c>
      <c r="C22" s="205" t="s">
        <v>40</v>
      </c>
      <c r="D22" s="205" t="s">
        <v>1427</v>
      </c>
      <c r="E22" s="205" t="s">
        <v>83</v>
      </c>
      <c r="F22" s="206" t="s">
        <v>1428</v>
      </c>
      <c r="G22" s="208" t="s">
        <v>42</v>
      </c>
      <c r="H22" s="207">
        <v>300</v>
      </c>
      <c r="I22" s="204">
        <v>60</v>
      </c>
      <c r="J22" s="205" t="s">
        <v>179</v>
      </c>
      <c r="K22" s="205" t="s">
        <v>43</v>
      </c>
      <c r="M22">
        <f t="shared" si="0"/>
        <v>60</v>
      </c>
      <c r="O22" s="340" t="s">
        <v>1678</v>
      </c>
      <c r="P22" s="232"/>
    </row>
    <row r="23" spans="1:17" x14ac:dyDescent="0.25">
      <c r="A23" s="203">
        <v>3</v>
      </c>
      <c r="B23" s="205" t="s">
        <v>1429</v>
      </c>
      <c r="C23" s="205" t="s">
        <v>40</v>
      </c>
      <c r="D23" s="205" t="s">
        <v>550</v>
      </c>
      <c r="E23" s="205" t="s">
        <v>64</v>
      </c>
      <c r="F23" s="206" t="s">
        <v>1430</v>
      </c>
      <c r="G23" s="208" t="s">
        <v>42</v>
      </c>
      <c r="H23" s="207">
        <v>250</v>
      </c>
      <c r="I23" s="204" t="s">
        <v>255</v>
      </c>
      <c r="J23" s="205" t="s">
        <v>179</v>
      </c>
      <c r="K23" s="205" t="s">
        <v>43</v>
      </c>
      <c r="M23">
        <f t="shared" si="0"/>
        <v>50</v>
      </c>
      <c r="O23" s="357" t="s">
        <v>42</v>
      </c>
      <c r="P23" s="233">
        <f>SUM(H133,H135:H141,H143:H146,H148:H159,H161:H166)</f>
        <v>91800</v>
      </c>
    </row>
    <row r="24" spans="1:17" x14ac:dyDescent="0.25">
      <c r="A24" s="203">
        <v>3</v>
      </c>
      <c r="B24" s="205" t="s">
        <v>1431</v>
      </c>
      <c r="C24" s="205" t="s">
        <v>48</v>
      </c>
      <c r="D24" s="205" t="s">
        <v>1432</v>
      </c>
      <c r="E24" s="205" t="s">
        <v>45</v>
      </c>
      <c r="F24" s="206"/>
      <c r="G24" s="208" t="s">
        <v>1433</v>
      </c>
      <c r="H24" s="207">
        <v>5</v>
      </c>
      <c r="I24" s="204" t="s">
        <v>255</v>
      </c>
      <c r="J24" s="205" t="s">
        <v>179</v>
      </c>
      <c r="K24" s="205" t="s">
        <v>43</v>
      </c>
      <c r="M24">
        <f t="shared" si="0"/>
        <v>1</v>
      </c>
      <c r="O24" s="357" t="s">
        <v>1607</v>
      </c>
      <c r="P24" s="233">
        <f>SUM(H142,H147,H160)</f>
        <v>800</v>
      </c>
    </row>
    <row r="25" spans="1:17" x14ac:dyDescent="0.25">
      <c r="A25" s="203">
        <v>3</v>
      </c>
      <c r="B25" s="205" t="s">
        <v>1434</v>
      </c>
      <c r="C25" s="205" t="s">
        <v>40</v>
      </c>
      <c r="D25" s="205" t="s">
        <v>1435</v>
      </c>
      <c r="E25" s="205" t="s">
        <v>63</v>
      </c>
      <c r="F25" s="206" t="s">
        <v>1436</v>
      </c>
      <c r="G25" s="208" t="s">
        <v>42</v>
      </c>
      <c r="H25" s="207">
        <v>2500</v>
      </c>
      <c r="I25" s="204">
        <v>500</v>
      </c>
      <c r="J25" s="205" t="s">
        <v>179</v>
      </c>
      <c r="K25" s="205" t="s">
        <v>43</v>
      </c>
      <c r="M25">
        <f t="shared" si="0"/>
        <v>500</v>
      </c>
      <c r="O25" s="358" t="s">
        <v>163</v>
      </c>
      <c r="P25" s="25">
        <f>SUM(H134,H144,H151,H167)</f>
        <v>6200</v>
      </c>
      <c r="Q25" s="25"/>
    </row>
    <row r="26" spans="1:17" x14ac:dyDescent="0.25">
      <c r="A26" s="203">
        <v>3</v>
      </c>
      <c r="B26" s="205" t="s">
        <v>1437</v>
      </c>
      <c r="C26" s="205" t="s">
        <v>40</v>
      </c>
      <c r="D26" s="205" t="s">
        <v>260</v>
      </c>
      <c r="E26" s="205" t="s">
        <v>49</v>
      </c>
      <c r="F26" s="206" t="s">
        <v>1438</v>
      </c>
      <c r="G26" s="208" t="s">
        <v>42</v>
      </c>
      <c r="H26" s="207">
        <v>500</v>
      </c>
      <c r="I26" s="204">
        <v>150</v>
      </c>
      <c r="J26" s="205" t="s">
        <v>179</v>
      </c>
      <c r="K26" s="205" t="s">
        <v>43</v>
      </c>
      <c r="M26">
        <f t="shared" si="0"/>
        <v>100</v>
      </c>
      <c r="P26" s="25"/>
      <c r="Q26" s="25"/>
    </row>
    <row r="27" spans="1:17" x14ac:dyDescent="0.25">
      <c r="A27" s="203">
        <v>3</v>
      </c>
      <c r="B27" s="205" t="s">
        <v>1439</v>
      </c>
      <c r="C27" s="205" t="s">
        <v>40</v>
      </c>
      <c r="D27" s="205" t="s">
        <v>453</v>
      </c>
      <c r="E27" s="205" t="s">
        <v>50</v>
      </c>
      <c r="F27" s="206" t="s">
        <v>1440</v>
      </c>
      <c r="G27" s="208" t="s">
        <v>42</v>
      </c>
      <c r="H27" s="207">
        <v>5000</v>
      </c>
      <c r="I27" s="204">
        <v>1000</v>
      </c>
      <c r="J27" s="205" t="s">
        <v>179</v>
      </c>
      <c r="K27" s="205" t="s">
        <v>43</v>
      </c>
      <c r="M27">
        <f t="shared" si="0"/>
        <v>1000</v>
      </c>
      <c r="P27" s="25"/>
    </row>
    <row r="28" spans="1:17" x14ac:dyDescent="0.25">
      <c r="A28" s="203">
        <v>3</v>
      </c>
      <c r="B28" s="205" t="s">
        <v>1450</v>
      </c>
      <c r="C28" s="205" t="s">
        <v>48</v>
      </c>
      <c r="D28" s="205" t="s">
        <v>1441</v>
      </c>
      <c r="E28" s="205" t="s">
        <v>52</v>
      </c>
      <c r="F28" s="206" t="s">
        <v>1442</v>
      </c>
      <c r="G28" s="208" t="s">
        <v>42</v>
      </c>
      <c r="H28" s="207">
        <v>2000</v>
      </c>
      <c r="I28" s="204">
        <v>400</v>
      </c>
      <c r="J28" s="205" t="s">
        <v>179</v>
      </c>
      <c r="K28" s="205" t="s">
        <v>43</v>
      </c>
      <c r="M28">
        <f t="shared" si="0"/>
        <v>400</v>
      </c>
      <c r="P28" s="25"/>
    </row>
    <row r="29" spans="1:17" x14ac:dyDescent="0.25">
      <c r="A29" s="203">
        <v>3</v>
      </c>
      <c r="B29" s="205" t="s">
        <v>1443</v>
      </c>
      <c r="C29" s="205" t="s">
        <v>40</v>
      </c>
      <c r="D29" s="205" t="s">
        <v>1444</v>
      </c>
      <c r="E29" s="205" t="s">
        <v>61</v>
      </c>
      <c r="F29" s="206" t="s">
        <v>1445</v>
      </c>
      <c r="G29" s="208" t="s">
        <v>42</v>
      </c>
      <c r="H29" s="207">
        <v>300</v>
      </c>
      <c r="I29" s="204">
        <v>60</v>
      </c>
      <c r="J29" s="205" t="s">
        <v>179</v>
      </c>
      <c r="K29" s="205" t="s">
        <v>43</v>
      </c>
      <c r="M29">
        <f t="shared" si="0"/>
        <v>60</v>
      </c>
    </row>
    <row r="30" spans="1:17" x14ac:dyDescent="0.25">
      <c r="A30" s="203">
        <v>3</v>
      </c>
      <c r="B30" s="205" t="s">
        <v>1446</v>
      </c>
      <c r="C30" s="205" t="s">
        <v>48</v>
      </c>
      <c r="D30" s="205" t="s">
        <v>1447</v>
      </c>
      <c r="E30" s="205" t="s">
        <v>61</v>
      </c>
      <c r="F30" s="206" t="s">
        <v>1448</v>
      </c>
      <c r="G30" s="208" t="s">
        <v>42</v>
      </c>
      <c r="H30" s="207">
        <v>2000</v>
      </c>
      <c r="I30" s="204">
        <v>400</v>
      </c>
      <c r="J30" s="205" t="s">
        <v>179</v>
      </c>
      <c r="K30" s="205" t="s">
        <v>43</v>
      </c>
      <c r="M30">
        <f t="shared" si="0"/>
        <v>400</v>
      </c>
    </row>
    <row r="31" spans="1:17" x14ac:dyDescent="0.25">
      <c r="A31" s="203">
        <v>3</v>
      </c>
      <c r="B31" s="205" t="s">
        <v>1449</v>
      </c>
      <c r="C31" s="205" t="s">
        <v>40</v>
      </c>
      <c r="D31" s="205" t="s">
        <v>141</v>
      </c>
      <c r="E31" s="205" t="s">
        <v>45</v>
      </c>
      <c r="F31" s="206" t="s">
        <v>1451</v>
      </c>
      <c r="G31" s="208" t="s">
        <v>42</v>
      </c>
      <c r="H31" s="207">
        <v>3000</v>
      </c>
      <c r="I31" s="204">
        <v>600</v>
      </c>
      <c r="J31" s="205" t="s">
        <v>179</v>
      </c>
      <c r="K31" s="205" t="s">
        <v>43</v>
      </c>
      <c r="M31">
        <f t="shared" si="0"/>
        <v>600</v>
      </c>
      <c r="O31" s="338"/>
    </row>
    <row r="32" spans="1:17" x14ac:dyDescent="0.25">
      <c r="A32" s="203">
        <v>4</v>
      </c>
      <c r="B32" s="205" t="s">
        <v>1452</v>
      </c>
      <c r="C32" s="205" t="s">
        <v>40</v>
      </c>
      <c r="D32" s="205" t="s">
        <v>288</v>
      </c>
      <c r="E32" s="205" t="s">
        <v>47</v>
      </c>
      <c r="F32" s="206" t="s">
        <v>1453</v>
      </c>
      <c r="G32" s="208" t="s">
        <v>42</v>
      </c>
      <c r="H32" s="207">
        <v>10000</v>
      </c>
      <c r="I32" s="204">
        <v>2000</v>
      </c>
      <c r="J32" s="205" t="s">
        <v>179</v>
      </c>
      <c r="K32" s="205" t="s">
        <v>43</v>
      </c>
      <c r="M32">
        <f t="shared" si="0"/>
        <v>2000</v>
      </c>
      <c r="P32" s="25"/>
    </row>
    <row r="33" spans="1:16" ht="21" customHeight="1" x14ac:dyDescent="0.25">
      <c r="A33" s="203">
        <v>4</v>
      </c>
      <c r="B33" s="205" t="s">
        <v>1454</v>
      </c>
      <c r="C33" s="205" t="s">
        <v>48</v>
      </c>
      <c r="D33" s="205" t="s">
        <v>1455</v>
      </c>
      <c r="E33" s="205" t="s">
        <v>59</v>
      </c>
      <c r="F33" s="206" t="s">
        <v>1456</v>
      </c>
      <c r="G33" s="208" t="s">
        <v>42</v>
      </c>
      <c r="H33" s="207">
        <v>600</v>
      </c>
      <c r="I33" s="204">
        <v>120</v>
      </c>
      <c r="J33" s="205" t="s">
        <v>179</v>
      </c>
      <c r="K33" s="205" t="s">
        <v>43</v>
      </c>
      <c r="L33">
        <v>22</v>
      </c>
      <c r="M33">
        <f t="shared" si="0"/>
        <v>120</v>
      </c>
      <c r="P33" s="57"/>
    </row>
    <row r="34" spans="1:16" x14ac:dyDescent="0.25">
      <c r="A34" s="203">
        <v>5</v>
      </c>
      <c r="B34" s="205" t="s">
        <v>1457</v>
      </c>
      <c r="C34" s="205" t="s">
        <v>40</v>
      </c>
      <c r="D34" s="205"/>
      <c r="E34" s="205" t="s">
        <v>57</v>
      </c>
      <c r="F34" s="206" t="s">
        <v>1458</v>
      </c>
      <c r="G34" s="208" t="s">
        <v>42</v>
      </c>
      <c r="H34" s="207">
        <v>2000</v>
      </c>
      <c r="I34" s="204">
        <v>400</v>
      </c>
      <c r="J34" s="205" t="s">
        <v>179</v>
      </c>
      <c r="K34" s="205" t="s">
        <v>43</v>
      </c>
      <c r="M34">
        <f t="shared" si="0"/>
        <v>400</v>
      </c>
      <c r="P34" s="181"/>
    </row>
    <row r="35" spans="1:16" x14ac:dyDescent="0.25">
      <c r="A35" s="203">
        <v>5</v>
      </c>
      <c r="B35" s="205" t="s">
        <v>1459</v>
      </c>
      <c r="C35" s="205" t="s">
        <v>40</v>
      </c>
      <c r="D35" s="205" t="s">
        <v>1460</v>
      </c>
      <c r="E35" s="205" t="s">
        <v>45</v>
      </c>
      <c r="F35" s="206" t="s">
        <v>1461</v>
      </c>
      <c r="G35" s="208" t="s">
        <v>42</v>
      </c>
      <c r="H35" s="207">
        <v>2000</v>
      </c>
      <c r="I35" s="204">
        <v>400</v>
      </c>
      <c r="J35" s="205" t="s">
        <v>179</v>
      </c>
      <c r="K35" s="205" t="s">
        <v>43</v>
      </c>
      <c r="M35">
        <f t="shared" si="0"/>
        <v>400</v>
      </c>
      <c r="P35" s="181"/>
    </row>
    <row r="36" spans="1:16" x14ac:dyDescent="0.25">
      <c r="A36" s="203">
        <v>5</v>
      </c>
      <c r="B36" s="205" t="s">
        <v>1462</v>
      </c>
      <c r="C36" s="205" t="s">
        <v>40</v>
      </c>
      <c r="D36" s="205" t="s">
        <v>715</v>
      </c>
      <c r="E36" s="205" t="s">
        <v>47</v>
      </c>
      <c r="F36" s="206" t="s">
        <v>1463</v>
      </c>
      <c r="G36" s="208" t="s">
        <v>42</v>
      </c>
      <c r="H36" s="207">
        <v>1200</v>
      </c>
      <c r="I36" s="204">
        <v>240</v>
      </c>
      <c r="J36" s="205" t="s">
        <v>179</v>
      </c>
      <c r="K36" s="205" t="s">
        <v>43</v>
      </c>
      <c r="M36">
        <f t="shared" si="0"/>
        <v>240</v>
      </c>
    </row>
    <row r="37" spans="1:16" x14ac:dyDescent="0.25">
      <c r="A37" s="203">
        <v>5</v>
      </c>
      <c r="B37" s="205" t="s">
        <v>1464</v>
      </c>
      <c r="C37" s="205" t="s">
        <v>48</v>
      </c>
      <c r="D37" s="205" t="s">
        <v>76</v>
      </c>
      <c r="E37" s="205" t="s">
        <v>44</v>
      </c>
      <c r="F37" s="206"/>
      <c r="G37" s="208" t="s">
        <v>42</v>
      </c>
      <c r="H37" s="207">
        <v>2000</v>
      </c>
      <c r="I37" s="204">
        <v>400</v>
      </c>
      <c r="J37" s="205" t="s">
        <v>179</v>
      </c>
      <c r="K37" s="205" t="s">
        <v>43</v>
      </c>
      <c r="M37">
        <f t="shared" si="0"/>
        <v>400</v>
      </c>
      <c r="O37" s="340"/>
    </row>
    <row r="38" spans="1:16" x14ac:dyDescent="0.25">
      <c r="A38" s="203">
        <v>5</v>
      </c>
      <c r="B38" s="205" t="s">
        <v>1465</v>
      </c>
      <c r="C38" s="205" t="s">
        <v>40</v>
      </c>
      <c r="D38" s="205" t="s">
        <v>141</v>
      </c>
      <c r="E38" s="205" t="s">
        <v>45</v>
      </c>
      <c r="F38" s="206"/>
      <c r="G38" s="205" t="s">
        <v>42</v>
      </c>
      <c r="H38" s="211">
        <v>2500</v>
      </c>
      <c r="I38" s="234">
        <v>500</v>
      </c>
      <c r="J38" s="205" t="s">
        <v>179</v>
      </c>
      <c r="K38" s="205" t="s">
        <v>43</v>
      </c>
      <c r="M38">
        <f t="shared" si="0"/>
        <v>500</v>
      </c>
      <c r="P38" s="181"/>
    </row>
    <row r="39" spans="1:16" x14ac:dyDescent="0.25">
      <c r="A39" s="203">
        <v>5</v>
      </c>
      <c r="B39" s="205" t="s">
        <v>1466</v>
      </c>
      <c r="C39" s="205" t="s">
        <v>40</v>
      </c>
      <c r="D39" s="205" t="s">
        <v>141</v>
      </c>
      <c r="E39" s="205" t="s">
        <v>45</v>
      </c>
      <c r="F39" s="206" t="s">
        <v>1467</v>
      </c>
      <c r="G39" s="205" t="s">
        <v>42</v>
      </c>
      <c r="H39" s="211">
        <v>4000</v>
      </c>
      <c r="I39" s="234">
        <v>800</v>
      </c>
      <c r="J39" s="205" t="s">
        <v>179</v>
      </c>
      <c r="K39" s="205" t="s">
        <v>43</v>
      </c>
      <c r="M39">
        <f t="shared" si="0"/>
        <v>800</v>
      </c>
      <c r="P39" s="181"/>
    </row>
    <row r="40" spans="1:16" x14ac:dyDescent="0.25">
      <c r="A40" s="203">
        <v>5</v>
      </c>
      <c r="B40" s="205" t="s">
        <v>1468</v>
      </c>
      <c r="C40" s="205" t="s">
        <v>48</v>
      </c>
      <c r="D40" s="205" t="s">
        <v>141</v>
      </c>
      <c r="E40" s="205" t="s">
        <v>45</v>
      </c>
      <c r="F40" s="206"/>
      <c r="G40" s="205" t="s">
        <v>42</v>
      </c>
      <c r="H40" s="211">
        <v>1000</v>
      </c>
      <c r="I40" s="234">
        <v>200</v>
      </c>
      <c r="J40" s="205" t="s">
        <v>179</v>
      </c>
      <c r="K40" s="205" t="s">
        <v>43</v>
      </c>
      <c r="M40">
        <f t="shared" si="0"/>
        <v>200</v>
      </c>
      <c r="P40" s="57"/>
    </row>
    <row r="41" spans="1:16" x14ac:dyDescent="0.25">
      <c r="A41" s="203">
        <v>5</v>
      </c>
      <c r="B41" s="205" t="s">
        <v>1469</v>
      </c>
      <c r="C41" s="205" t="s">
        <v>48</v>
      </c>
      <c r="D41" s="205" t="s">
        <v>501</v>
      </c>
      <c r="E41" s="205" t="s">
        <v>44</v>
      </c>
      <c r="F41" s="206" t="s">
        <v>1470</v>
      </c>
      <c r="G41" s="205" t="s">
        <v>42</v>
      </c>
      <c r="H41" s="211">
        <v>7000</v>
      </c>
      <c r="I41" s="234">
        <v>1400</v>
      </c>
      <c r="J41" s="205" t="s">
        <v>179</v>
      </c>
      <c r="K41" s="205" t="s">
        <v>43</v>
      </c>
      <c r="M41">
        <f t="shared" si="0"/>
        <v>1400</v>
      </c>
      <c r="O41" s="340"/>
    </row>
    <row r="42" spans="1:16" x14ac:dyDescent="0.25">
      <c r="A42" s="203">
        <v>5</v>
      </c>
      <c r="B42" s="205" t="s">
        <v>1471</v>
      </c>
      <c r="C42" s="205" t="s">
        <v>40</v>
      </c>
      <c r="D42" s="205" t="s">
        <v>981</v>
      </c>
      <c r="E42" s="205" t="s">
        <v>45</v>
      </c>
      <c r="F42" s="206"/>
      <c r="G42" s="205" t="s">
        <v>42</v>
      </c>
      <c r="H42" s="211">
        <v>500</v>
      </c>
      <c r="I42" s="234">
        <v>100</v>
      </c>
      <c r="J42" s="205" t="s">
        <v>179</v>
      </c>
      <c r="K42" s="205" t="s">
        <v>43</v>
      </c>
      <c r="M42">
        <f t="shared" si="0"/>
        <v>100</v>
      </c>
      <c r="P42" s="181"/>
    </row>
    <row r="43" spans="1:16" x14ac:dyDescent="0.25">
      <c r="A43" s="203">
        <v>5</v>
      </c>
      <c r="B43" s="205" t="s">
        <v>1472</v>
      </c>
      <c r="C43" s="205" t="s">
        <v>40</v>
      </c>
      <c r="D43" s="205" t="s">
        <v>63</v>
      </c>
      <c r="E43" s="205" t="s">
        <v>57</v>
      </c>
      <c r="F43" s="206" t="s">
        <v>1473</v>
      </c>
      <c r="G43" s="205" t="s">
        <v>42</v>
      </c>
      <c r="H43" s="211">
        <v>500</v>
      </c>
      <c r="I43" s="234">
        <v>100</v>
      </c>
      <c r="J43" s="205" t="s">
        <v>179</v>
      </c>
      <c r="K43" s="205" t="s">
        <v>43</v>
      </c>
      <c r="M43">
        <f t="shared" si="0"/>
        <v>100</v>
      </c>
    </row>
    <row r="44" spans="1:16" x14ac:dyDescent="0.25">
      <c r="A44" s="203">
        <v>5</v>
      </c>
      <c r="B44" s="205" t="s">
        <v>1096</v>
      </c>
      <c r="C44" s="205" t="s">
        <v>40</v>
      </c>
      <c r="D44" s="205" t="s">
        <v>1044</v>
      </c>
      <c r="E44" s="205" t="s">
        <v>50</v>
      </c>
      <c r="F44" s="206"/>
      <c r="G44" s="205" t="s">
        <v>42</v>
      </c>
      <c r="H44" s="211">
        <v>600</v>
      </c>
      <c r="I44" s="234">
        <v>120</v>
      </c>
      <c r="J44" s="205" t="s">
        <v>179</v>
      </c>
      <c r="K44" s="205" t="s">
        <v>43</v>
      </c>
      <c r="M44">
        <f t="shared" si="0"/>
        <v>120</v>
      </c>
      <c r="O44" s="340"/>
    </row>
    <row r="45" spans="1:16" x14ac:dyDescent="0.25">
      <c r="A45" s="203">
        <v>6</v>
      </c>
      <c r="B45" s="205" t="s">
        <v>1474</v>
      </c>
      <c r="C45" s="205" t="s">
        <v>40</v>
      </c>
      <c r="D45" s="205" t="s">
        <v>1475</v>
      </c>
      <c r="E45" s="205" t="s">
        <v>59</v>
      </c>
      <c r="F45" s="206" t="s">
        <v>1476</v>
      </c>
      <c r="G45" s="205" t="s">
        <v>42</v>
      </c>
      <c r="H45" s="211">
        <v>1200</v>
      </c>
      <c r="I45" s="234">
        <v>240</v>
      </c>
      <c r="J45" s="205" t="s">
        <v>179</v>
      </c>
      <c r="K45" s="205" t="s">
        <v>43</v>
      </c>
      <c r="M45">
        <f t="shared" si="0"/>
        <v>240</v>
      </c>
      <c r="P45" s="342"/>
    </row>
    <row r="46" spans="1:16" x14ac:dyDescent="0.25">
      <c r="A46" s="203">
        <v>6</v>
      </c>
      <c r="B46" s="205" t="s">
        <v>1477</v>
      </c>
      <c r="C46" s="205" t="s">
        <v>40</v>
      </c>
      <c r="D46" s="205" t="s">
        <v>1478</v>
      </c>
      <c r="E46" s="205" t="s">
        <v>71</v>
      </c>
      <c r="F46" s="206"/>
      <c r="G46" s="205" t="s">
        <v>42</v>
      </c>
      <c r="H46" s="211">
        <v>10000</v>
      </c>
      <c r="I46" s="234">
        <v>2000</v>
      </c>
      <c r="J46" s="205" t="s">
        <v>179</v>
      </c>
      <c r="K46" s="205" t="s">
        <v>43</v>
      </c>
      <c r="M46">
        <f t="shared" si="0"/>
        <v>2000</v>
      </c>
    </row>
    <row r="47" spans="1:16" x14ac:dyDescent="0.25">
      <c r="A47" s="321">
        <v>6</v>
      </c>
      <c r="B47" s="205" t="s">
        <v>1479</v>
      </c>
      <c r="C47" s="205" t="s">
        <v>40</v>
      </c>
      <c r="D47" s="205" t="s">
        <v>266</v>
      </c>
      <c r="E47" s="205" t="s">
        <v>64</v>
      </c>
      <c r="F47" s="206"/>
      <c r="G47" s="205" t="s">
        <v>42</v>
      </c>
      <c r="H47" s="211">
        <v>500</v>
      </c>
      <c r="I47" s="234">
        <v>100</v>
      </c>
      <c r="J47" s="205" t="s">
        <v>179</v>
      </c>
      <c r="K47" s="205" t="s">
        <v>43</v>
      </c>
      <c r="M47">
        <f t="shared" si="0"/>
        <v>100</v>
      </c>
      <c r="O47" s="340"/>
    </row>
    <row r="48" spans="1:16" x14ac:dyDescent="0.25">
      <c r="A48" s="203">
        <v>10</v>
      </c>
      <c r="B48" s="205" t="s">
        <v>1481</v>
      </c>
      <c r="C48" s="205" t="s">
        <v>40</v>
      </c>
      <c r="D48" s="205" t="s">
        <v>725</v>
      </c>
      <c r="E48" s="205" t="s">
        <v>45</v>
      </c>
      <c r="F48" s="206"/>
      <c r="G48" s="205" t="s">
        <v>42</v>
      </c>
      <c r="H48" s="211">
        <v>2000</v>
      </c>
      <c r="I48" s="234">
        <v>400</v>
      </c>
      <c r="J48" s="205" t="s">
        <v>179</v>
      </c>
      <c r="K48" s="205" t="s">
        <v>43</v>
      </c>
      <c r="M48">
        <f t="shared" si="0"/>
        <v>400</v>
      </c>
      <c r="P48" s="342"/>
    </row>
    <row r="49" spans="1:16" x14ac:dyDescent="0.25">
      <c r="A49" s="203">
        <v>10</v>
      </c>
      <c r="B49" s="205" t="s">
        <v>1016</v>
      </c>
      <c r="C49" s="205" t="s">
        <v>40</v>
      </c>
      <c r="D49" s="205" t="s">
        <v>141</v>
      </c>
      <c r="E49" s="205" t="s">
        <v>45</v>
      </c>
      <c r="F49" s="206"/>
      <c r="G49" s="205" t="s">
        <v>42</v>
      </c>
      <c r="H49" s="211">
        <v>10000</v>
      </c>
      <c r="I49" s="234">
        <v>2000</v>
      </c>
      <c r="J49" s="205" t="s">
        <v>179</v>
      </c>
      <c r="K49" s="205" t="s">
        <v>43</v>
      </c>
      <c r="M49">
        <f t="shared" si="0"/>
        <v>2000</v>
      </c>
    </row>
    <row r="50" spans="1:16" x14ac:dyDescent="0.25">
      <c r="A50" s="203">
        <v>10</v>
      </c>
      <c r="B50" s="205" t="s">
        <v>1482</v>
      </c>
      <c r="C50" s="205" t="s">
        <v>40</v>
      </c>
      <c r="D50" s="205" t="s">
        <v>1483</v>
      </c>
      <c r="E50" s="205" t="s">
        <v>52</v>
      </c>
      <c r="F50" s="206"/>
      <c r="G50" s="205" t="s">
        <v>42</v>
      </c>
      <c r="H50" s="211">
        <v>5000</v>
      </c>
      <c r="I50" s="234">
        <v>1000</v>
      </c>
      <c r="J50" s="205" t="s">
        <v>179</v>
      </c>
      <c r="K50" s="205" t="s">
        <v>43</v>
      </c>
      <c r="M50">
        <f t="shared" si="0"/>
        <v>1000</v>
      </c>
      <c r="O50" s="340"/>
    </row>
    <row r="51" spans="1:16" x14ac:dyDescent="0.25">
      <c r="A51" s="203">
        <v>10</v>
      </c>
      <c r="B51" s="205" t="s">
        <v>1484</v>
      </c>
      <c r="C51" s="205" t="s">
        <v>48</v>
      </c>
      <c r="D51" s="205" t="s">
        <v>1485</v>
      </c>
      <c r="E51" s="205" t="s">
        <v>50</v>
      </c>
      <c r="F51" s="206"/>
      <c r="G51" s="205" t="s">
        <v>42</v>
      </c>
      <c r="H51" s="211">
        <v>100</v>
      </c>
      <c r="I51" s="234">
        <v>20</v>
      </c>
      <c r="J51" s="205" t="s">
        <v>179</v>
      </c>
      <c r="K51" s="205" t="s">
        <v>43</v>
      </c>
      <c r="M51">
        <f t="shared" si="0"/>
        <v>20</v>
      </c>
      <c r="P51" s="181"/>
    </row>
    <row r="52" spans="1:16" x14ac:dyDescent="0.25">
      <c r="A52" s="203">
        <v>10</v>
      </c>
      <c r="B52" s="205" t="s">
        <v>1486</v>
      </c>
      <c r="C52" s="205" t="s">
        <v>40</v>
      </c>
      <c r="D52" s="205" t="s">
        <v>380</v>
      </c>
      <c r="E52" s="205" t="s">
        <v>45</v>
      </c>
      <c r="F52" s="206"/>
      <c r="G52" s="205" t="s">
        <v>42</v>
      </c>
      <c r="H52" s="211">
        <v>3000</v>
      </c>
      <c r="I52" s="234">
        <v>600</v>
      </c>
      <c r="J52" s="205" t="s">
        <v>179</v>
      </c>
      <c r="K52" s="205" t="s">
        <v>43</v>
      </c>
      <c r="M52">
        <f t="shared" si="0"/>
        <v>600</v>
      </c>
    </row>
    <row r="53" spans="1:16" x14ac:dyDescent="0.25">
      <c r="A53" s="203">
        <v>10</v>
      </c>
      <c r="B53" s="205" t="s">
        <v>1487</v>
      </c>
      <c r="C53" s="205" t="s">
        <v>40</v>
      </c>
      <c r="D53" s="205" t="s">
        <v>952</v>
      </c>
      <c r="E53" s="205" t="s">
        <v>57</v>
      </c>
      <c r="F53" s="206" t="s">
        <v>1488</v>
      </c>
      <c r="G53" s="205" t="s">
        <v>42</v>
      </c>
      <c r="H53" s="211">
        <v>700</v>
      </c>
      <c r="I53" s="234">
        <v>140</v>
      </c>
      <c r="J53" s="205" t="s">
        <v>179</v>
      </c>
      <c r="K53" s="205" t="s">
        <v>43</v>
      </c>
      <c r="M53">
        <f t="shared" si="0"/>
        <v>140</v>
      </c>
    </row>
    <row r="54" spans="1:16" x14ac:dyDescent="0.25">
      <c r="A54" s="203">
        <v>10</v>
      </c>
      <c r="B54" s="205" t="s">
        <v>1489</v>
      </c>
      <c r="C54" s="205" t="s">
        <v>40</v>
      </c>
      <c r="D54" s="205" t="s">
        <v>725</v>
      </c>
      <c r="E54" s="205" t="s">
        <v>45</v>
      </c>
      <c r="F54" s="206" t="s">
        <v>1490</v>
      </c>
      <c r="G54" s="205" t="s">
        <v>42</v>
      </c>
      <c r="H54" s="211">
        <v>1500</v>
      </c>
      <c r="I54" s="234">
        <v>300</v>
      </c>
      <c r="J54" s="205" t="s">
        <v>179</v>
      </c>
      <c r="K54" s="205" t="s">
        <v>43</v>
      </c>
      <c r="M54">
        <f t="shared" si="0"/>
        <v>300</v>
      </c>
      <c r="P54" s="25"/>
    </row>
    <row r="55" spans="1:16" x14ac:dyDescent="0.25">
      <c r="A55" s="203">
        <v>10</v>
      </c>
      <c r="B55" s="205" t="s">
        <v>1491</v>
      </c>
      <c r="C55" s="205" t="s">
        <v>48</v>
      </c>
      <c r="D55" s="205" t="s">
        <v>1492</v>
      </c>
      <c r="E55" s="205" t="s">
        <v>52</v>
      </c>
      <c r="F55" s="206" t="s">
        <v>1493</v>
      </c>
      <c r="G55" s="206" t="s">
        <v>42</v>
      </c>
      <c r="H55" s="211">
        <v>250</v>
      </c>
      <c r="I55" s="234">
        <v>50</v>
      </c>
      <c r="J55" s="205" t="s">
        <v>179</v>
      </c>
      <c r="K55" s="205" t="s">
        <v>43</v>
      </c>
      <c r="M55">
        <f t="shared" si="0"/>
        <v>50</v>
      </c>
    </row>
    <row r="56" spans="1:16" x14ac:dyDescent="0.25">
      <c r="A56" s="203">
        <v>10</v>
      </c>
      <c r="B56" s="205" t="s">
        <v>1494</v>
      </c>
      <c r="C56" s="205" t="s">
        <v>48</v>
      </c>
      <c r="D56" s="205" t="s">
        <v>658</v>
      </c>
      <c r="E56" s="205" t="s">
        <v>50</v>
      </c>
      <c r="F56" s="206" t="s">
        <v>1495</v>
      </c>
      <c r="G56" s="205" t="s">
        <v>42</v>
      </c>
      <c r="H56" s="211">
        <v>2000</v>
      </c>
      <c r="I56" s="234">
        <v>400</v>
      </c>
      <c r="J56" s="205" t="s">
        <v>179</v>
      </c>
      <c r="K56" s="205" t="s">
        <v>43</v>
      </c>
      <c r="M56">
        <f t="shared" si="0"/>
        <v>400</v>
      </c>
    </row>
    <row r="57" spans="1:16" x14ac:dyDescent="0.25">
      <c r="A57" s="203">
        <v>10</v>
      </c>
      <c r="B57" s="205" t="s">
        <v>1496</v>
      </c>
      <c r="C57" s="205" t="s">
        <v>40</v>
      </c>
      <c r="D57" s="205" t="s">
        <v>663</v>
      </c>
      <c r="E57" s="205" t="s">
        <v>64</v>
      </c>
      <c r="F57" s="206"/>
      <c r="G57" s="205" t="s">
        <v>42</v>
      </c>
      <c r="H57" s="211">
        <v>1000</v>
      </c>
      <c r="I57" s="234">
        <v>200</v>
      </c>
      <c r="J57" s="205" t="s">
        <v>179</v>
      </c>
      <c r="K57" s="205" t="s">
        <v>43</v>
      </c>
      <c r="M57">
        <f t="shared" si="0"/>
        <v>200</v>
      </c>
    </row>
    <row r="58" spans="1:16" x14ac:dyDescent="0.25">
      <c r="A58" s="203">
        <v>10</v>
      </c>
      <c r="B58" s="205" t="s">
        <v>1497</v>
      </c>
      <c r="C58" s="205" t="s">
        <v>40</v>
      </c>
      <c r="D58" s="205" t="s">
        <v>143</v>
      </c>
      <c r="E58" s="205" t="s">
        <v>45</v>
      </c>
      <c r="F58" s="206" t="s">
        <v>1498</v>
      </c>
      <c r="G58" s="205" t="s">
        <v>42</v>
      </c>
      <c r="H58" s="211">
        <v>1000</v>
      </c>
      <c r="I58" s="234">
        <v>200</v>
      </c>
      <c r="J58" s="205" t="s">
        <v>179</v>
      </c>
      <c r="K58" s="205" t="s">
        <v>43</v>
      </c>
      <c r="M58">
        <f t="shared" si="0"/>
        <v>200</v>
      </c>
    </row>
    <row r="59" spans="1:16" x14ac:dyDescent="0.25">
      <c r="A59" s="203">
        <v>10</v>
      </c>
      <c r="B59" s="205" t="s">
        <v>1499</v>
      </c>
      <c r="C59" s="205" t="s">
        <v>40</v>
      </c>
      <c r="D59" s="205" t="s">
        <v>1500</v>
      </c>
      <c r="E59" s="205" t="s">
        <v>44</v>
      </c>
      <c r="F59" s="206" t="s">
        <v>1501</v>
      </c>
      <c r="G59" s="205" t="s">
        <v>42</v>
      </c>
      <c r="H59" s="211">
        <v>200</v>
      </c>
      <c r="I59" s="234">
        <v>40</v>
      </c>
      <c r="J59" s="205" t="s">
        <v>179</v>
      </c>
      <c r="K59" s="205" t="s">
        <v>43</v>
      </c>
      <c r="M59">
        <f t="shared" si="0"/>
        <v>40</v>
      </c>
    </row>
    <row r="60" spans="1:16" x14ac:dyDescent="0.25">
      <c r="A60" s="203">
        <v>10</v>
      </c>
      <c r="B60" s="205" t="s">
        <v>1502</v>
      </c>
      <c r="C60" s="205" t="s">
        <v>48</v>
      </c>
      <c r="D60" s="205" t="s">
        <v>1503</v>
      </c>
      <c r="E60" s="205" t="s">
        <v>51</v>
      </c>
      <c r="F60" s="206" t="s">
        <v>1504</v>
      </c>
      <c r="G60" s="205" t="s">
        <v>42</v>
      </c>
      <c r="H60" s="211">
        <v>1000</v>
      </c>
      <c r="I60" s="234">
        <v>200</v>
      </c>
      <c r="J60" s="205" t="s">
        <v>179</v>
      </c>
      <c r="K60" s="205" t="s">
        <v>43</v>
      </c>
      <c r="M60">
        <f t="shared" si="0"/>
        <v>200</v>
      </c>
    </row>
    <row r="61" spans="1:16" x14ac:dyDescent="0.25">
      <c r="A61" s="203">
        <v>10</v>
      </c>
      <c r="B61" s="205" t="s">
        <v>1505</v>
      </c>
      <c r="C61" s="205" t="s">
        <v>48</v>
      </c>
      <c r="D61" s="205" t="s">
        <v>1506</v>
      </c>
      <c r="E61" s="205" t="s">
        <v>50</v>
      </c>
      <c r="F61" s="206" t="s">
        <v>1507</v>
      </c>
      <c r="G61" s="205" t="s">
        <v>42</v>
      </c>
      <c r="H61" s="211">
        <v>500</v>
      </c>
      <c r="I61" s="234">
        <v>100</v>
      </c>
      <c r="J61" s="205" t="s">
        <v>179</v>
      </c>
      <c r="K61" s="205" t="s">
        <v>43</v>
      </c>
      <c r="M61">
        <f t="shared" si="0"/>
        <v>100</v>
      </c>
    </row>
    <row r="62" spans="1:16" x14ac:dyDescent="0.25">
      <c r="A62" s="203">
        <v>10</v>
      </c>
      <c r="B62" s="205" t="s">
        <v>1508</v>
      </c>
      <c r="C62" s="205" t="s">
        <v>48</v>
      </c>
      <c r="D62" s="205" t="s">
        <v>725</v>
      </c>
      <c r="E62" s="205" t="s">
        <v>45</v>
      </c>
      <c r="F62" s="206" t="s">
        <v>1509</v>
      </c>
      <c r="G62" s="205" t="s">
        <v>42</v>
      </c>
      <c r="H62" s="211">
        <v>1000</v>
      </c>
      <c r="I62" s="234">
        <v>200</v>
      </c>
      <c r="J62" s="205" t="s">
        <v>179</v>
      </c>
      <c r="K62" s="205" t="s">
        <v>43</v>
      </c>
      <c r="M62">
        <f t="shared" si="0"/>
        <v>200</v>
      </c>
    </row>
    <row r="63" spans="1:16" x14ac:dyDescent="0.25">
      <c r="A63" s="203">
        <v>10</v>
      </c>
      <c r="B63" s="205" t="s">
        <v>1510</v>
      </c>
      <c r="C63" s="205" t="s">
        <v>40</v>
      </c>
      <c r="D63" s="205" t="s">
        <v>1460</v>
      </c>
      <c r="E63" s="205" t="s">
        <v>45</v>
      </c>
      <c r="F63" s="206" t="s">
        <v>1461</v>
      </c>
      <c r="G63" s="205" t="s">
        <v>42</v>
      </c>
      <c r="H63" s="211">
        <v>1500</v>
      </c>
      <c r="I63" s="234">
        <v>300</v>
      </c>
      <c r="J63" s="205" t="s">
        <v>179</v>
      </c>
      <c r="K63" s="205" t="s">
        <v>43</v>
      </c>
      <c r="M63">
        <f t="shared" si="0"/>
        <v>300</v>
      </c>
    </row>
    <row r="64" spans="1:16" x14ac:dyDescent="0.25">
      <c r="A64" s="203">
        <v>10</v>
      </c>
      <c r="B64" s="205" t="s">
        <v>1511</v>
      </c>
      <c r="C64" s="205" t="s">
        <v>40</v>
      </c>
      <c r="D64" s="205" t="s">
        <v>1512</v>
      </c>
      <c r="E64" s="205" t="s">
        <v>61</v>
      </c>
      <c r="F64" s="206" t="s">
        <v>1513</v>
      </c>
      <c r="G64" s="205" t="s">
        <v>42</v>
      </c>
      <c r="H64" s="211">
        <v>500</v>
      </c>
      <c r="I64" s="234">
        <v>100</v>
      </c>
      <c r="J64" s="205" t="s">
        <v>179</v>
      </c>
      <c r="K64" s="205" t="s">
        <v>43</v>
      </c>
      <c r="M64">
        <f t="shared" si="0"/>
        <v>100</v>
      </c>
    </row>
    <row r="65" spans="1:13" x14ac:dyDescent="0.25">
      <c r="A65" s="203">
        <v>10</v>
      </c>
      <c r="B65" s="205" t="s">
        <v>1514</v>
      </c>
      <c r="C65" s="205" t="s">
        <v>40</v>
      </c>
      <c r="D65" s="205" t="s">
        <v>1515</v>
      </c>
      <c r="E65" s="205" t="s">
        <v>59</v>
      </c>
      <c r="F65" s="206" t="s">
        <v>1516</v>
      </c>
      <c r="G65" s="205" t="s">
        <v>42</v>
      </c>
      <c r="H65" s="211">
        <v>1500</v>
      </c>
      <c r="I65" s="234">
        <v>300</v>
      </c>
      <c r="J65" s="205" t="s">
        <v>179</v>
      </c>
      <c r="K65" s="205" t="s">
        <v>43</v>
      </c>
      <c r="M65">
        <f t="shared" si="0"/>
        <v>300</v>
      </c>
    </row>
    <row r="66" spans="1:13" x14ac:dyDescent="0.25">
      <c r="A66" s="203">
        <v>10</v>
      </c>
      <c r="B66" s="205" t="s">
        <v>1521</v>
      </c>
      <c r="C66" s="205" t="s">
        <v>40</v>
      </c>
      <c r="D66" s="205" t="s">
        <v>146</v>
      </c>
      <c r="E66" s="205" t="s">
        <v>57</v>
      </c>
      <c r="F66" s="206"/>
      <c r="G66" s="205" t="s">
        <v>42</v>
      </c>
      <c r="H66" s="211">
        <v>100</v>
      </c>
      <c r="I66" s="234">
        <v>20</v>
      </c>
      <c r="J66" s="205" t="s">
        <v>179</v>
      </c>
      <c r="K66" s="205" t="s">
        <v>43</v>
      </c>
      <c r="M66">
        <f t="shared" si="0"/>
        <v>20</v>
      </c>
    </row>
    <row r="67" spans="1:13" x14ac:dyDescent="0.25">
      <c r="A67" s="203">
        <v>12</v>
      </c>
      <c r="B67" s="205" t="s">
        <v>1522</v>
      </c>
      <c r="C67" s="205" t="s">
        <v>40</v>
      </c>
      <c r="D67" s="205" t="s">
        <v>369</v>
      </c>
      <c r="E67" s="205" t="s">
        <v>52</v>
      </c>
      <c r="F67" s="206"/>
      <c r="G67" s="205" t="s">
        <v>42</v>
      </c>
      <c r="H67" s="211">
        <v>200</v>
      </c>
      <c r="I67" s="234">
        <v>60</v>
      </c>
      <c r="J67" s="205" t="s">
        <v>179</v>
      </c>
      <c r="K67" s="205" t="s">
        <v>43</v>
      </c>
      <c r="M67">
        <f t="shared" si="0"/>
        <v>40</v>
      </c>
    </row>
    <row r="68" spans="1:13" x14ac:dyDescent="0.25">
      <c r="A68" s="203">
        <v>12</v>
      </c>
      <c r="B68" s="205" t="s">
        <v>1523</v>
      </c>
      <c r="C68" s="205" t="s">
        <v>40</v>
      </c>
      <c r="D68" s="205" t="s">
        <v>1524</v>
      </c>
      <c r="E68" s="205" t="s">
        <v>70</v>
      </c>
      <c r="F68" s="206" t="s">
        <v>1525</v>
      </c>
      <c r="G68" s="205" t="s">
        <v>42</v>
      </c>
      <c r="H68" s="211">
        <v>600</v>
      </c>
      <c r="I68" s="234">
        <v>120</v>
      </c>
      <c r="J68" s="205" t="s">
        <v>179</v>
      </c>
      <c r="K68" s="205" t="s">
        <v>43</v>
      </c>
      <c r="M68">
        <f t="shared" si="0"/>
        <v>120</v>
      </c>
    </row>
    <row r="69" spans="1:13" x14ac:dyDescent="0.25">
      <c r="A69" s="203">
        <v>12</v>
      </c>
      <c r="B69" s="205" t="s">
        <v>1526</v>
      </c>
      <c r="C69" s="205" t="s">
        <v>40</v>
      </c>
      <c r="D69" s="205" t="s">
        <v>299</v>
      </c>
      <c r="E69" s="205" t="s">
        <v>44</v>
      </c>
      <c r="F69" s="206" t="s">
        <v>1527</v>
      </c>
      <c r="G69" s="205" t="s">
        <v>42</v>
      </c>
      <c r="H69" s="211">
        <v>1000</v>
      </c>
      <c r="I69" s="234">
        <v>200</v>
      </c>
      <c r="J69" s="205" t="s">
        <v>179</v>
      </c>
      <c r="K69" s="205" t="s">
        <v>43</v>
      </c>
      <c r="M69">
        <f t="shared" si="0"/>
        <v>200</v>
      </c>
    </row>
    <row r="70" spans="1:13" x14ac:dyDescent="0.25">
      <c r="A70" s="203">
        <v>12</v>
      </c>
      <c r="B70" s="205" t="s">
        <v>1528</v>
      </c>
      <c r="C70" s="205" t="s">
        <v>40</v>
      </c>
      <c r="D70" s="205" t="s">
        <v>1316</v>
      </c>
      <c r="E70" s="205" t="s">
        <v>52</v>
      </c>
      <c r="F70" s="206"/>
      <c r="G70" s="205" t="s">
        <v>42</v>
      </c>
      <c r="H70" s="211">
        <v>1500</v>
      </c>
      <c r="I70" s="234">
        <v>300</v>
      </c>
      <c r="J70" s="205" t="s">
        <v>179</v>
      </c>
      <c r="K70" s="205" t="s">
        <v>43</v>
      </c>
      <c r="M70">
        <f t="shared" si="0"/>
        <v>300</v>
      </c>
    </row>
    <row r="71" spans="1:13" x14ac:dyDescent="0.25">
      <c r="A71" s="203">
        <v>12</v>
      </c>
      <c r="B71" s="205" t="s">
        <v>1529</v>
      </c>
      <c r="C71" s="205" t="s">
        <v>48</v>
      </c>
      <c r="D71" s="205" t="s">
        <v>76</v>
      </c>
      <c r="E71" s="205" t="s">
        <v>44</v>
      </c>
      <c r="F71" s="206" t="s">
        <v>1530</v>
      </c>
      <c r="G71" s="205" t="s">
        <v>42</v>
      </c>
      <c r="H71" s="211">
        <v>2800</v>
      </c>
      <c r="I71" s="234">
        <v>560</v>
      </c>
      <c r="J71" s="205" t="s">
        <v>179</v>
      </c>
      <c r="K71" s="205" t="s">
        <v>43</v>
      </c>
      <c r="M71">
        <f t="shared" si="0"/>
        <v>560</v>
      </c>
    </row>
    <row r="72" spans="1:13" x14ac:dyDescent="0.25">
      <c r="A72" s="203">
        <v>12</v>
      </c>
      <c r="B72" s="205" t="s">
        <v>1531</v>
      </c>
      <c r="C72" s="205" t="s">
        <v>40</v>
      </c>
      <c r="D72" s="205" t="s">
        <v>1532</v>
      </c>
      <c r="E72" s="205" t="s">
        <v>58</v>
      </c>
      <c r="F72" s="206" t="s">
        <v>1533</v>
      </c>
      <c r="G72" s="205" t="s">
        <v>42</v>
      </c>
      <c r="H72" s="211">
        <v>1000</v>
      </c>
      <c r="I72" s="234">
        <v>200</v>
      </c>
      <c r="J72" s="205" t="s">
        <v>179</v>
      </c>
      <c r="K72" s="205" t="s">
        <v>43</v>
      </c>
      <c r="M72">
        <f t="shared" si="0"/>
        <v>200</v>
      </c>
    </row>
    <row r="73" spans="1:13" x14ac:dyDescent="0.25">
      <c r="A73" s="203">
        <v>12</v>
      </c>
      <c r="B73" s="205" t="s">
        <v>717</v>
      </c>
      <c r="C73" s="205" t="s">
        <v>40</v>
      </c>
      <c r="D73" s="205" t="s">
        <v>529</v>
      </c>
      <c r="E73" s="205" t="s">
        <v>59</v>
      </c>
      <c r="F73" s="206" t="s">
        <v>1534</v>
      </c>
      <c r="G73" s="205" t="s">
        <v>42</v>
      </c>
      <c r="H73" s="211">
        <v>600</v>
      </c>
      <c r="I73" s="234">
        <v>120</v>
      </c>
      <c r="J73" s="205" t="s">
        <v>179</v>
      </c>
      <c r="K73" s="205" t="s">
        <v>43</v>
      </c>
      <c r="M73">
        <f t="shared" si="0"/>
        <v>120</v>
      </c>
    </row>
    <row r="74" spans="1:13" x14ac:dyDescent="0.25">
      <c r="A74" s="203">
        <v>13</v>
      </c>
      <c r="B74" s="205" t="s">
        <v>1535</v>
      </c>
      <c r="C74" s="205" t="s">
        <v>40</v>
      </c>
      <c r="D74" s="205" t="s">
        <v>144</v>
      </c>
      <c r="E74" s="205" t="s">
        <v>57</v>
      </c>
      <c r="F74" s="206" t="s">
        <v>1536</v>
      </c>
      <c r="G74" s="205" t="s">
        <v>42</v>
      </c>
      <c r="H74" s="211">
        <v>3000</v>
      </c>
      <c r="I74" s="234">
        <v>600</v>
      </c>
      <c r="J74" s="205" t="s">
        <v>179</v>
      </c>
      <c r="K74" s="205" t="s">
        <v>43</v>
      </c>
      <c r="L74">
        <v>63</v>
      </c>
      <c r="M74">
        <f t="shared" si="0"/>
        <v>600</v>
      </c>
    </row>
    <row r="75" spans="1:13" x14ac:dyDescent="0.25">
      <c r="A75" s="203">
        <v>13</v>
      </c>
      <c r="B75" s="205" t="s">
        <v>1535</v>
      </c>
      <c r="C75" s="205" t="s">
        <v>40</v>
      </c>
      <c r="D75" s="205" t="s">
        <v>144</v>
      </c>
      <c r="E75" s="205" t="s">
        <v>57</v>
      </c>
      <c r="F75" s="206" t="s">
        <v>1536</v>
      </c>
      <c r="G75" s="205" t="s">
        <v>42</v>
      </c>
      <c r="H75" s="211">
        <v>3000</v>
      </c>
      <c r="I75" s="234" t="s">
        <v>255</v>
      </c>
      <c r="J75" s="205" t="s">
        <v>179</v>
      </c>
      <c r="K75" s="205" t="s">
        <v>43</v>
      </c>
      <c r="L75">
        <v>63</v>
      </c>
      <c r="M75">
        <f t="shared" si="0"/>
        <v>600</v>
      </c>
    </row>
    <row r="76" spans="1:13" x14ac:dyDescent="0.25">
      <c r="A76" s="203">
        <v>13</v>
      </c>
      <c r="B76" s="205" t="s">
        <v>1537</v>
      </c>
      <c r="C76" s="205" t="s">
        <v>40</v>
      </c>
      <c r="D76" s="205" t="s">
        <v>663</v>
      </c>
      <c r="E76" s="205" t="s">
        <v>64</v>
      </c>
      <c r="F76" s="206"/>
      <c r="G76" s="205" t="s">
        <v>42</v>
      </c>
      <c r="H76" s="211">
        <v>2000</v>
      </c>
      <c r="I76" s="234">
        <v>400</v>
      </c>
      <c r="J76" s="205" t="s">
        <v>179</v>
      </c>
      <c r="K76" s="205" t="s">
        <v>43</v>
      </c>
      <c r="M76">
        <f t="shared" si="0"/>
        <v>400</v>
      </c>
    </row>
    <row r="77" spans="1:13" x14ac:dyDescent="0.25">
      <c r="A77" s="203">
        <v>13</v>
      </c>
      <c r="B77" s="205" t="s">
        <v>1538</v>
      </c>
      <c r="C77" s="205" t="s">
        <v>48</v>
      </c>
      <c r="D77" s="205" t="s">
        <v>1539</v>
      </c>
      <c r="E77" s="205" t="s">
        <v>52</v>
      </c>
      <c r="F77" s="206"/>
      <c r="G77" s="205" t="s">
        <v>42</v>
      </c>
      <c r="H77" s="211">
        <v>1000</v>
      </c>
      <c r="I77" s="234">
        <v>200</v>
      </c>
      <c r="J77" s="205" t="s">
        <v>179</v>
      </c>
      <c r="K77" s="205" t="s">
        <v>43</v>
      </c>
      <c r="M77">
        <f t="shared" si="0"/>
        <v>200</v>
      </c>
    </row>
    <row r="78" spans="1:13" x14ac:dyDescent="0.25">
      <c r="A78" s="203">
        <v>13</v>
      </c>
      <c r="B78" s="205" t="s">
        <v>1540</v>
      </c>
      <c r="C78" s="205" t="s">
        <v>40</v>
      </c>
      <c r="D78" s="205" t="s">
        <v>501</v>
      </c>
      <c r="E78" s="205" t="s">
        <v>44</v>
      </c>
      <c r="F78" s="206" t="s">
        <v>1541</v>
      </c>
      <c r="G78" s="205" t="s">
        <v>42</v>
      </c>
      <c r="H78" s="211">
        <v>1500</v>
      </c>
      <c r="I78" s="234">
        <v>300</v>
      </c>
      <c r="J78" s="205" t="s">
        <v>179</v>
      </c>
      <c r="K78" s="205" t="s">
        <v>43</v>
      </c>
      <c r="M78">
        <f t="shared" si="0"/>
        <v>300</v>
      </c>
    </row>
    <row r="79" spans="1:13" x14ac:dyDescent="0.25">
      <c r="A79" s="203">
        <v>13</v>
      </c>
      <c r="B79" s="205" t="s">
        <v>1542</v>
      </c>
      <c r="C79" s="205" t="s">
        <v>40</v>
      </c>
      <c r="D79" s="205" t="s">
        <v>501</v>
      </c>
      <c r="E79" s="205" t="s">
        <v>44</v>
      </c>
      <c r="F79" s="206" t="s">
        <v>1543</v>
      </c>
      <c r="G79" s="205" t="s">
        <v>42</v>
      </c>
      <c r="H79" s="211">
        <v>2000</v>
      </c>
      <c r="I79" s="234">
        <v>400</v>
      </c>
      <c r="J79" s="205" t="s">
        <v>179</v>
      </c>
      <c r="K79" s="205" t="s">
        <v>43</v>
      </c>
      <c r="M79">
        <f t="shared" si="0"/>
        <v>400</v>
      </c>
    </row>
    <row r="80" spans="1:13" x14ac:dyDescent="0.25">
      <c r="A80" s="203">
        <v>13</v>
      </c>
      <c r="B80" s="205" t="s">
        <v>1544</v>
      </c>
      <c r="C80" s="205" t="s">
        <v>40</v>
      </c>
      <c r="D80" s="205" t="s">
        <v>1121</v>
      </c>
      <c r="E80" s="205" t="s">
        <v>52</v>
      </c>
      <c r="F80" s="206"/>
      <c r="G80" s="205" t="s">
        <v>42</v>
      </c>
      <c r="H80" s="211">
        <v>2000</v>
      </c>
      <c r="I80" s="234">
        <v>400</v>
      </c>
      <c r="J80" s="205" t="s">
        <v>179</v>
      </c>
      <c r="K80" s="205" t="s">
        <v>43</v>
      </c>
      <c r="M80">
        <f t="shared" si="0"/>
        <v>400</v>
      </c>
    </row>
    <row r="81" spans="1:16" x14ac:dyDescent="0.25">
      <c r="A81" s="203">
        <v>13</v>
      </c>
      <c r="B81" s="205" t="s">
        <v>1545</v>
      </c>
      <c r="C81" s="205" t="s">
        <v>40</v>
      </c>
      <c r="D81" s="205" t="s">
        <v>141</v>
      </c>
      <c r="E81" s="205" t="s">
        <v>45</v>
      </c>
      <c r="F81" s="206" t="s">
        <v>1546</v>
      </c>
      <c r="G81" s="205" t="s">
        <v>42</v>
      </c>
      <c r="H81" s="211">
        <v>1500</v>
      </c>
      <c r="I81" s="234">
        <v>300</v>
      </c>
      <c r="J81" s="205" t="s">
        <v>179</v>
      </c>
      <c r="K81" s="205" t="s">
        <v>43</v>
      </c>
      <c r="M81">
        <f t="shared" si="0"/>
        <v>300</v>
      </c>
    </row>
    <row r="82" spans="1:16" x14ac:dyDescent="0.25">
      <c r="A82" s="203">
        <v>13</v>
      </c>
      <c r="B82" s="205" t="s">
        <v>1547</v>
      </c>
      <c r="C82" s="205" t="s">
        <v>40</v>
      </c>
      <c r="D82" s="205" t="s">
        <v>1435</v>
      </c>
      <c r="E82" s="205" t="s">
        <v>63</v>
      </c>
      <c r="F82" s="206"/>
      <c r="G82" s="205" t="s">
        <v>42</v>
      </c>
      <c r="H82" s="211">
        <v>2000</v>
      </c>
      <c r="I82" s="234">
        <v>400</v>
      </c>
      <c r="J82" s="205" t="s">
        <v>179</v>
      </c>
      <c r="K82" s="205" t="s">
        <v>43</v>
      </c>
      <c r="M82">
        <f t="shared" si="0"/>
        <v>400</v>
      </c>
    </row>
    <row r="83" spans="1:16" x14ac:dyDescent="0.25">
      <c r="A83" s="203">
        <v>13</v>
      </c>
      <c r="B83" s="205" t="s">
        <v>1514</v>
      </c>
      <c r="C83" s="205" t="s">
        <v>40</v>
      </c>
      <c r="D83" s="205" t="s">
        <v>1515</v>
      </c>
      <c r="E83" s="206" t="s">
        <v>59</v>
      </c>
      <c r="F83" s="206" t="s">
        <v>1516</v>
      </c>
      <c r="G83" s="205" t="s">
        <v>42</v>
      </c>
      <c r="H83" s="211">
        <v>2000</v>
      </c>
      <c r="I83" s="234">
        <v>400</v>
      </c>
      <c r="J83" s="205" t="s">
        <v>179</v>
      </c>
      <c r="K83" s="205" t="s">
        <v>43</v>
      </c>
      <c r="M83">
        <f t="shared" si="0"/>
        <v>400</v>
      </c>
    </row>
    <row r="84" spans="1:16" x14ac:dyDescent="0.25">
      <c r="A84" s="321">
        <v>13</v>
      </c>
      <c r="B84" s="205" t="s">
        <v>1548</v>
      </c>
      <c r="C84" s="205" t="s">
        <v>40</v>
      </c>
      <c r="D84" s="205" t="s">
        <v>144</v>
      </c>
      <c r="E84" s="205" t="s">
        <v>83</v>
      </c>
      <c r="F84" s="206"/>
      <c r="G84" s="205" t="s">
        <v>42</v>
      </c>
      <c r="H84" s="211">
        <v>3500</v>
      </c>
      <c r="I84" s="234">
        <v>700</v>
      </c>
      <c r="J84" s="205" t="s">
        <v>179</v>
      </c>
      <c r="K84" s="205" t="s">
        <v>43</v>
      </c>
      <c r="M84">
        <f t="shared" si="0"/>
        <v>700</v>
      </c>
    </row>
    <row r="85" spans="1:16" x14ac:dyDescent="0.25">
      <c r="A85" s="203">
        <v>17</v>
      </c>
      <c r="B85" s="205" t="s">
        <v>1310</v>
      </c>
      <c r="C85" s="205" t="s">
        <v>40</v>
      </c>
      <c r="D85" s="205" t="s">
        <v>302</v>
      </c>
      <c r="E85" s="205" t="s">
        <v>57</v>
      </c>
      <c r="F85" s="206"/>
      <c r="G85" s="205" t="s">
        <v>42</v>
      </c>
      <c r="H85" s="211">
        <v>1300</v>
      </c>
      <c r="I85" s="234">
        <v>260</v>
      </c>
      <c r="J85" s="205" t="s">
        <v>179</v>
      </c>
      <c r="K85" s="205" t="s">
        <v>43</v>
      </c>
      <c r="M85">
        <f t="shared" si="0"/>
        <v>260</v>
      </c>
    </row>
    <row r="86" spans="1:16" x14ac:dyDescent="0.25">
      <c r="A86" s="203">
        <v>17</v>
      </c>
      <c r="B86" s="205" t="s">
        <v>1310</v>
      </c>
      <c r="C86" s="205" t="s">
        <v>40</v>
      </c>
      <c r="D86" s="205" t="s">
        <v>302</v>
      </c>
      <c r="E86" s="205" t="s">
        <v>57</v>
      </c>
      <c r="F86" s="206"/>
      <c r="G86" s="205" t="s">
        <v>42</v>
      </c>
      <c r="H86" s="211">
        <v>200</v>
      </c>
      <c r="I86" s="234" t="s">
        <v>255</v>
      </c>
      <c r="J86" s="205" t="s">
        <v>179</v>
      </c>
      <c r="K86" s="205" t="s">
        <v>43</v>
      </c>
      <c r="M86">
        <f t="shared" si="0"/>
        <v>40</v>
      </c>
    </row>
    <row r="87" spans="1:16" x14ac:dyDescent="0.25">
      <c r="A87" s="203">
        <v>17</v>
      </c>
      <c r="B87" s="205" t="s">
        <v>1552</v>
      </c>
      <c r="C87" s="205" t="s">
        <v>40</v>
      </c>
      <c r="D87" s="205" t="s">
        <v>1553</v>
      </c>
      <c r="E87" s="205" t="s">
        <v>50</v>
      </c>
      <c r="F87" s="206" t="s">
        <v>1554</v>
      </c>
      <c r="G87" s="205" t="s">
        <v>42</v>
      </c>
      <c r="H87" s="211">
        <v>50</v>
      </c>
      <c r="I87" s="234">
        <v>10</v>
      </c>
      <c r="J87" s="205" t="s">
        <v>179</v>
      </c>
      <c r="K87" s="205" t="s">
        <v>43</v>
      </c>
      <c r="M87">
        <f t="shared" si="0"/>
        <v>10</v>
      </c>
    </row>
    <row r="88" spans="1:16" x14ac:dyDescent="0.25">
      <c r="A88" s="203">
        <v>17</v>
      </c>
      <c r="B88" s="205" t="s">
        <v>1551</v>
      </c>
      <c r="C88" s="205" t="s">
        <v>40</v>
      </c>
      <c r="D88" s="205" t="s">
        <v>508</v>
      </c>
      <c r="E88" s="205" t="s">
        <v>45</v>
      </c>
      <c r="F88" s="206"/>
      <c r="G88" s="205" t="s">
        <v>42</v>
      </c>
      <c r="H88" s="211">
        <v>300</v>
      </c>
      <c r="I88" s="234">
        <v>60</v>
      </c>
      <c r="J88" s="205" t="s">
        <v>179</v>
      </c>
      <c r="K88" s="205" t="s">
        <v>43</v>
      </c>
      <c r="M88">
        <f t="shared" si="0"/>
        <v>60</v>
      </c>
      <c r="P88" s="57"/>
    </row>
    <row r="89" spans="1:16" x14ac:dyDescent="0.25">
      <c r="A89" s="203">
        <v>17</v>
      </c>
      <c r="B89" s="205" t="s">
        <v>1555</v>
      </c>
      <c r="C89" s="205" t="s">
        <v>40</v>
      </c>
      <c r="D89" s="205" t="s">
        <v>1121</v>
      </c>
      <c r="E89" s="205" t="s">
        <v>52</v>
      </c>
      <c r="F89" s="206" t="s">
        <v>1556</v>
      </c>
      <c r="G89" s="205" t="s">
        <v>42</v>
      </c>
      <c r="H89" s="211">
        <v>1200</v>
      </c>
      <c r="I89" s="234">
        <v>240</v>
      </c>
      <c r="J89" s="205" t="s">
        <v>179</v>
      </c>
      <c r="K89" s="205" t="s">
        <v>43</v>
      </c>
      <c r="M89">
        <f t="shared" si="0"/>
        <v>240</v>
      </c>
    </row>
    <row r="90" spans="1:16" x14ac:dyDescent="0.25">
      <c r="A90" s="203">
        <v>17</v>
      </c>
      <c r="B90" s="205" t="s">
        <v>1557</v>
      </c>
      <c r="C90" s="205" t="s">
        <v>48</v>
      </c>
      <c r="D90" s="205" t="s">
        <v>406</v>
      </c>
      <c r="E90" s="205" t="s">
        <v>57</v>
      </c>
      <c r="F90" s="206" t="s">
        <v>1558</v>
      </c>
      <c r="G90" s="205" t="s">
        <v>42</v>
      </c>
      <c r="H90" s="211">
        <v>1000</v>
      </c>
      <c r="I90" s="234">
        <v>200</v>
      </c>
      <c r="J90" s="205" t="s">
        <v>179</v>
      </c>
      <c r="K90" s="205" t="s">
        <v>43</v>
      </c>
      <c r="M90">
        <f t="shared" si="0"/>
        <v>200</v>
      </c>
    </row>
    <row r="91" spans="1:16" x14ac:dyDescent="0.25">
      <c r="A91" s="203">
        <v>17</v>
      </c>
      <c r="B91" s="205" t="s">
        <v>1557</v>
      </c>
      <c r="C91" s="205" t="s">
        <v>48</v>
      </c>
      <c r="D91" s="205" t="s">
        <v>406</v>
      </c>
      <c r="E91" s="205" t="s">
        <v>57</v>
      </c>
      <c r="F91" s="206" t="s">
        <v>1558</v>
      </c>
      <c r="G91" s="205" t="s">
        <v>180</v>
      </c>
      <c r="H91" s="211">
        <v>500</v>
      </c>
      <c r="I91" s="234">
        <v>250</v>
      </c>
      <c r="J91" s="205" t="s">
        <v>179</v>
      </c>
      <c r="K91" s="205" t="s">
        <v>43</v>
      </c>
      <c r="M91">
        <f t="shared" si="0"/>
        <v>100</v>
      </c>
    </row>
    <row r="92" spans="1:16" x14ac:dyDescent="0.25">
      <c r="A92" s="203">
        <v>17</v>
      </c>
      <c r="B92" s="205" t="s">
        <v>1559</v>
      </c>
      <c r="C92" s="205" t="s">
        <v>40</v>
      </c>
      <c r="D92" s="205" t="s">
        <v>1560</v>
      </c>
      <c r="E92" s="205" t="s">
        <v>59</v>
      </c>
      <c r="F92" s="206" t="s">
        <v>1561</v>
      </c>
      <c r="G92" s="205" t="s">
        <v>42</v>
      </c>
      <c r="H92" s="211">
        <v>500</v>
      </c>
      <c r="I92" s="234">
        <v>100</v>
      </c>
      <c r="J92" s="205" t="s">
        <v>179</v>
      </c>
      <c r="K92" s="205" t="s">
        <v>43</v>
      </c>
      <c r="M92">
        <f t="shared" si="0"/>
        <v>100</v>
      </c>
    </row>
    <row r="93" spans="1:16" x14ac:dyDescent="0.25">
      <c r="A93" s="203">
        <v>17</v>
      </c>
      <c r="B93" s="205" t="s">
        <v>1562</v>
      </c>
      <c r="C93" s="205" t="s">
        <v>40</v>
      </c>
      <c r="D93" s="205" t="s">
        <v>263</v>
      </c>
      <c r="E93" s="205" t="s">
        <v>52</v>
      </c>
      <c r="F93" s="206" t="s">
        <v>1563</v>
      </c>
      <c r="G93" s="205" t="s">
        <v>42</v>
      </c>
      <c r="H93" s="211">
        <v>200</v>
      </c>
      <c r="I93" s="234">
        <v>40</v>
      </c>
      <c r="J93" s="205" t="s">
        <v>179</v>
      </c>
      <c r="K93" s="205" t="s">
        <v>43</v>
      </c>
      <c r="M93">
        <f t="shared" si="0"/>
        <v>40</v>
      </c>
    </row>
    <row r="94" spans="1:16" x14ac:dyDescent="0.25">
      <c r="A94" s="203">
        <v>17</v>
      </c>
      <c r="B94" s="205" t="s">
        <v>1564</v>
      </c>
      <c r="C94" s="205" t="s">
        <v>40</v>
      </c>
      <c r="D94" s="205" t="s">
        <v>302</v>
      </c>
      <c r="E94" s="205" t="s">
        <v>57</v>
      </c>
      <c r="F94" s="206"/>
      <c r="G94" s="205" t="s">
        <v>42</v>
      </c>
      <c r="H94" s="211">
        <v>1000</v>
      </c>
      <c r="I94" s="234">
        <v>200</v>
      </c>
      <c r="J94" s="205" t="s">
        <v>179</v>
      </c>
      <c r="K94" s="205" t="s">
        <v>43</v>
      </c>
      <c r="M94">
        <f t="shared" si="0"/>
        <v>200</v>
      </c>
    </row>
    <row r="95" spans="1:16" x14ac:dyDescent="0.25">
      <c r="A95" s="203">
        <v>17</v>
      </c>
      <c r="B95" s="205" t="s">
        <v>1565</v>
      </c>
      <c r="C95" s="205" t="s">
        <v>48</v>
      </c>
      <c r="D95" s="205" t="s">
        <v>380</v>
      </c>
      <c r="E95" s="205" t="s">
        <v>45</v>
      </c>
      <c r="F95" s="206"/>
      <c r="G95" s="205" t="s">
        <v>42</v>
      </c>
      <c r="H95" s="211">
        <v>12000</v>
      </c>
      <c r="I95" s="234">
        <v>2400</v>
      </c>
      <c r="J95" s="205" t="s">
        <v>179</v>
      </c>
      <c r="K95" s="205" t="s">
        <v>43</v>
      </c>
      <c r="M95">
        <f t="shared" si="0"/>
        <v>2400</v>
      </c>
    </row>
    <row r="96" spans="1:16" x14ac:dyDescent="0.25">
      <c r="A96" s="203">
        <v>17</v>
      </c>
      <c r="B96" s="205" t="s">
        <v>1566</v>
      </c>
      <c r="C96" s="205" t="s">
        <v>48</v>
      </c>
      <c r="D96" s="205" t="s">
        <v>141</v>
      </c>
      <c r="E96" s="205" t="s">
        <v>45</v>
      </c>
      <c r="F96" s="206"/>
      <c r="G96" s="205" t="s">
        <v>42</v>
      </c>
      <c r="H96" s="211">
        <v>800</v>
      </c>
      <c r="I96" s="234">
        <v>160</v>
      </c>
      <c r="J96" s="205" t="s">
        <v>179</v>
      </c>
      <c r="K96" s="205" t="s">
        <v>43</v>
      </c>
      <c r="M96">
        <f t="shared" si="0"/>
        <v>160</v>
      </c>
    </row>
    <row r="97" spans="1:16" x14ac:dyDescent="0.25">
      <c r="A97" s="203">
        <v>17</v>
      </c>
      <c r="B97" s="205" t="s">
        <v>1080</v>
      </c>
      <c r="C97" s="205" t="s">
        <v>40</v>
      </c>
      <c r="D97" s="205" t="s">
        <v>417</v>
      </c>
      <c r="E97" s="205" t="s">
        <v>50</v>
      </c>
      <c r="F97" s="206" t="s">
        <v>1082</v>
      </c>
      <c r="G97" s="205" t="s">
        <v>42</v>
      </c>
      <c r="H97" s="211">
        <v>1000</v>
      </c>
      <c r="I97" s="234">
        <v>200</v>
      </c>
      <c r="J97" s="205" t="s">
        <v>179</v>
      </c>
      <c r="K97" s="205" t="s">
        <v>43</v>
      </c>
      <c r="M97">
        <f t="shared" si="0"/>
        <v>200</v>
      </c>
    </row>
    <row r="98" spans="1:16" x14ac:dyDescent="0.25">
      <c r="A98" s="203">
        <v>17</v>
      </c>
      <c r="B98" s="205" t="s">
        <v>1567</v>
      </c>
      <c r="C98" s="205" t="s">
        <v>40</v>
      </c>
      <c r="D98" s="205" t="s">
        <v>1492</v>
      </c>
      <c r="E98" s="205" t="s">
        <v>52</v>
      </c>
      <c r="F98" s="206" t="s">
        <v>1568</v>
      </c>
      <c r="G98" s="205" t="s">
        <v>42</v>
      </c>
      <c r="H98" s="211">
        <v>500</v>
      </c>
      <c r="I98" s="234">
        <v>100</v>
      </c>
      <c r="J98" s="205" t="s">
        <v>179</v>
      </c>
      <c r="K98" s="205" t="s">
        <v>43</v>
      </c>
      <c r="M98">
        <f t="shared" si="0"/>
        <v>100</v>
      </c>
    </row>
    <row r="99" spans="1:16" x14ac:dyDescent="0.25">
      <c r="A99" s="203">
        <v>17</v>
      </c>
      <c r="B99" s="205" t="s">
        <v>1569</v>
      </c>
      <c r="C99" s="205" t="s">
        <v>40</v>
      </c>
      <c r="D99" s="205" t="s">
        <v>658</v>
      </c>
      <c r="E99" s="205" t="s">
        <v>50</v>
      </c>
      <c r="F99" s="206" t="s">
        <v>1570</v>
      </c>
      <c r="G99" s="205" t="s">
        <v>42</v>
      </c>
      <c r="H99" s="211">
        <v>300</v>
      </c>
      <c r="I99" s="234">
        <v>60</v>
      </c>
      <c r="J99" s="205" t="s">
        <v>179</v>
      </c>
      <c r="K99" s="205" t="s">
        <v>43</v>
      </c>
      <c r="M99">
        <f t="shared" si="0"/>
        <v>60</v>
      </c>
    </row>
    <row r="100" spans="1:16" x14ac:dyDescent="0.25">
      <c r="A100" s="203">
        <v>17</v>
      </c>
      <c r="B100" s="205" t="s">
        <v>1569</v>
      </c>
      <c r="C100" s="205" t="s">
        <v>40</v>
      </c>
      <c r="D100" s="205" t="s">
        <v>658</v>
      </c>
      <c r="E100" s="205" t="s">
        <v>50</v>
      </c>
      <c r="F100" s="206" t="s">
        <v>1570</v>
      </c>
      <c r="G100" s="205" t="s">
        <v>180</v>
      </c>
      <c r="H100" s="211">
        <v>500</v>
      </c>
      <c r="I100" s="234">
        <v>250</v>
      </c>
      <c r="J100" s="205" t="s">
        <v>179</v>
      </c>
      <c r="K100" s="205" t="s">
        <v>43</v>
      </c>
      <c r="M100">
        <f t="shared" si="0"/>
        <v>100</v>
      </c>
    </row>
    <row r="101" spans="1:16" x14ac:dyDescent="0.25">
      <c r="A101" s="203">
        <v>17</v>
      </c>
      <c r="B101" s="205" t="s">
        <v>1571</v>
      </c>
      <c r="C101" s="205" t="s">
        <v>40</v>
      </c>
      <c r="D101" s="205" t="s">
        <v>144</v>
      </c>
      <c r="E101" s="205" t="s">
        <v>57</v>
      </c>
      <c r="F101" s="206" t="s">
        <v>1572</v>
      </c>
      <c r="G101" s="205" t="s">
        <v>42</v>
      </c>
      <c r="H101" s="211">
        <v>3500</v>
      </c>
      <c r="I101" s="234">
        <v>700</v>
      </c>
      <c r="J101" s="205" t="s">
        <v>179</v>
      </c>
      <c r="K101" s="205" t="s">
        <v>43</v>
      </c>
      <c r="L101">
        <v>86</v>
      </c>
      <c r="M101">
        <f t="shared" si="0"/>
        <v>700</v>
      </c>
    </row>
    <row r="102" spans="1:16" x14ac:dyDescent="0.25">
      <c r="A102" s="203">
        <v>17</v>
      </c>
      <c r="B102" s="205" t="s">
        <v>1573</v>
      </c>
      <c r="C102" s="205" t="s">
        <v>40</v>
      </c>
      <c r="D102" s="205" t="s">
        <v>302</v>
      </c>
      <c r="E102" s="205" t="s">
        <v>57</v>
      </c>
      <c r="F102" s="206"/>
      <c r="G102" s="205" t="s">
        <v>42</v>
      </c>
      <c r="H102" s="211">
        <v>800</v>
      </c>
      <c r="I102" s="234">
        <v>160</v>
      </c>
      <c r="J102" s="205" t="s">
        <v>179</v>
      </c>
      <c r="K102" s="205" t="s">
        <v>43</v>
      </c>
      <c r="M102">
        <f t="shared" si="0"/>
        <v>160</v>
      </c>
    </row>
    <row r="103" spans="1:16" x14ac:dyDescent="0.25">
      <c r="A103" s="203">
        <v>17</v>
      </c>
      <c r="B103" s="205" t="s">
        <v>1574</v>
      </c>
      <c r="C103" s="205" t="s">
        <v>40</v>
      </c>
      <c r="D103" s="205" t="s">
        <v>145</v>
      </c>
      <c r="E103" s="205" t="s">
        <v>64</v>
      </c>
      <c r="F103" s="206" t="s">
        <v>1575</v>
      </c>
      <c r="G103" s="205" t="s">
        <v>42</v>
      </c>
      <c r="H103" s="211">
        <v>500</v>
      </c>
      <c r="I103" s="234" t="s">
        <v>255</v>
      </c>
      <c r="J103" s="205" t="s">
        <v>179</v>
      </c>
      <c r="K103" s="205" t="s">
        <v>43</v>
      </c>
      <c r="M103">
        <f t="shared" si="0"/>
        <v>100</v>
      </c>
    </row>
    <row r="104" spans="1:16" x14ac:dyDescent="0.25">
      <c r="A104" s="203">
        <v>17</v>
      </c>
      <c r="B104" s="205" t="s">
        <v>1576</v>
      </c>
      <c r="C104" s="205" t="s">
        <v>40</v>
      </c>
      <c r="D104" s="205" t="s">
        <v>145</v>
      </c>
      <c r="E104" s="205" t="s">
        <v>64</v>
      </c>
      <c r="F104" s="206" t="s">
        <v>1577</v>
      </c>
      <c r="G104" s="205" t="s">
        <v>42</v>
      </c>
      <c r="H104" s="211">
        <v>500</v>
      </c>
      <c r="I104" s="234" t="s">
        <v>255</v>
      </c>
      <c r="J104" s="205" t="s">
        <v>179</v>
      </c>
      <c r="K104" s="205" t="s">
        <v>43</v>
      </c>
      <c r="M104">
        <f t="shared" si="0"/>
        <v>100</v>
      </c>
    </row>
    <row r="105" spans="1:16" x14ac:dyDescent="0.25">
      <c r="A105" s="203">
        <v>17</v>
      </c>
      <c r="B105" s="205" t="s">
        <v>969</v>
      </c>
      <c r="C105" s="205" t="s">
        <v>40</v>
      </c>
      <c r="D105" s="205" t="s">
        <v>1578</v>
      </c>
      <c r="E105" s="205" t="s">
        <v>67</v>
      </c>
      <c r="F105" s="206" t="s">
        <v>1579</v>
      </c>
      <c r="G105" s="205" t="s">
        <v>42</v>
      </c>
      <c r="H105" s="211">
        <v>5000</v>
      </c>
      <c r="I105" s="234">
        <v>1000</v>
      </c>
      <c r="J105" s="205" t="s">
        <v>179</v>
      </c>
      <c r="K105" s="205" t="s">
        <v>43</v>
      </c>
      <c r="M105">
        <f t="shared" si="0"/>
        <v>1000</v>
      </c>
      <c r="P105" s="25"/>
    </row>
    <row r="106" spans="1:16" x14ac:dyDescent="0.25">
      <c r="A106" s="203">
        <v>18</v>
      </c>
      <c r="B106" s="205" t="s">
        <v>1580</v>
      </c>
      <c r="C106" s="205" t="s">
        <v>40</v>
      </c>
      <c r="D106" s="205" t="s">
        <v>645</v>
      </c>
      <c r="E106" s="205" t="s">
        <v>47</v>
      </c>
      <c r="F106" s="206" t="s">
        <v>1581</v>
      </c>
      <c r="G106" s="205" t="s">
        <v>42</v>
      </c>
      <c r="H106" s="211">
        <v>3500</v>
      </c>
      <c r="I106" s="234">
        <v>700</v>
      </c>
      <c r="J106" s="205" t="s">
        <v>179</v>
      </c>
      <c r="K106" s="205" t="s">
        <v>43</v>
      </c>
      <c r="M106">
        <f t="shared" si="0"/>
        <v>700</v>
      </c>
      <c r="P106" s="57"/>
    </row>
    <row r="107" spans="1:16" x14ac:dyDescent="0.25">
      <c r="A107" s="203">
        <v>18</v>
      </c>
      <c r="B107" s="205" t="s">
        <v>1582</v>
      </c>
      <c r="C107" s="205" t="s">
        <v>40</v>
      </c>
      <c r="D107" s="205" t="s">
        <v>1174</v>
      </c>
      <c r="E107" s="205" t="s">
        <v>47</v>
      </c>
      <c r="F107" s="206" t="s">
        <v>1583</v>
      </c>
      <c r="G107" s="205" t="s">
        <v>42</v>
      </c>
      <c r="H107" s="211">
        <v>1000</v>
      </c>
      <c r="I107" s="234">
        <v>200</v>
      </c>
      <c r="J107" s="205" t="s">
        <v>179</v>
      </c>
      <c r="K107" s="205" t="s">
        <v>43</v>
      </c>
      <c r="M107">
        <f t="shared" si="0"/>
        <v>200</v>
      </c>
      <c r="P107" s="57"/>
    </row>
    <row r="108" spans="1:16" x14ac:dyDescent="0.25">
      <c r="A108" s="203">
        <v>18</v>
      </c>
      <c r="B108" s="205" t="s">
        <v>1584</v>
      </c>
      <c r="C108" s="205" t="s">
        <v>40</v>
      </c>
      <c r="D108" s="205" t="s">
        <v>380</v>
      </c>
      <c r="E108" s="205" t="s">
        <v>45</v>
      </c>
      <c r="F108" s="206" t="s">
        <v>1585</v>
      </c>
      <c r="G108" s="205" t="s">
        <v>42</v>
      </c>
      <c r="H108" s="211">
        <v>1000</v>
      </c>
      <c r="I108" s="234">
        <v>200</v>
      </c>
      <c r="J108" s="205" t="s">
        <v>179</v>
      </c>
      <c r="K108" s="205" t="s">
        <v>43</v>
      </c>
      <c r="M108">
        <f t="shared" si="0"/>
        <v>200</v>
      </c>
      <c r="P108" s="57"/>
    </row>
    <row r="109" spans="1:16" x14ac:dyDescent="0.25">
      <c r="A109" s="203">
        <v>19</v>
      </c>
      <c r="B109" s="205" t="s">
        <v>1586</v>
      </c>
      <c r="C109" s="205" t="s">
        <v>40</v>
      </c>
      <c r="D109" s="205" t="s">
        <v>263</v>
      </c>
      <c r="E109" s="205" t="s">
        <v>52</v>
      </c>
      <c r="F109" s="206"/>
      <c r="G109" s="205" t="s">
        <v>42</v>
      </c>
      <c r="H109" s="211">
        <v>150</v>
      </c>
      <c r="I109" s="234">
        <v>30</v>
      </c>
      <c r="J109" s="205" t="s">
        <v>179</v>
      </c>
      <c r="K109" s="205" t="s">
        <v>43</v>
      </c>
      <c r="M109">
        <f t="shared" si="0"/>
        <v>30</v>
      </c>
      <c r="P109" s="57"/>
    </row>
    <row r="110" spans="1:16" x14ac:dyDescent="0.25">
      <c r="A110" s="203">
        <v>19</v>
      </c>
      <c r="B110" s="205" t="s">
        <v>1587</v>
      </c>
      <c r="C110" s="205" t="s">
        <v>40</v>
      </c>
      <c r="D110" s="205" t="s">
        <v>1013</v>
      </c>
      <c r="E110" s="205" t="s">
        <v>52</v>
      </c>
      <c r="F110" s="206" t="s">
        <v>1588</v>
      </c>
      <c r="G110" s="205" t="s">
        <v>42</v>
      </c>
      <c r="H110" s="211">
        <v>1000</v>
      </c>
      <c r="I110" s="234">
        <v>200</v>
      </c>
      <c r="J110" s="205" t="s">
        <v>179</v>
      </c>
      <c r="K110" s="205" t="s">
        <v>43</v>
      </c>
      <c r="M110">
        <f t="shared" si="0"/>
        <v>200</v>
      </c>
      <c r="P110" s="57"/>
    </row>
    <row r="111" spans="1:16" x14ac:dyDescent="0.25">
      <c r="A111" s="203">
        <v>19</v>
      </c>
      <c r="B111" s="205" t="s">
        <v>1589</v>
      </c>
      <c r="C111" s="205" t="s">
        <v>48</v>
      </c>
      <c r="D111" s="205" t="s">
        <v>302</v>
      </c>
      <c r="E111" s="205" t="s">
        <v>57</v>
      </c>
      <c r="F111" s="206" t="s">
        <v>1590</v>
      </c>
      <c r="G111" s="205" t="s">
        <v>42</v>
      </c>
      <c r="H111" s="211">
        <v>7500</v>
      </c>
      <c r="I111" s="234">
        <v>1500</v>
      </c>
      <c r="J111" s="205" t="s">
        <v>179</v>
      </c>
      <c r="K111" s="205" t="s">
        <v>43</v>
      </c>
      <c r="M111">
        <f t="shared" si="0"/>
        <v>1500</v>
      </c>
      <c r="P111" s="57"/>
    </row>
    <row r="112" spans="1:16" x14ac:dyDescent="0.25">
      <c r="A112" s="203">
        <v>19</v>
      </c>
      <c r="B112" s="205" t="s">
        <v>1571</v>
      </c>
      <c r="C112" s="205" t="s">
        <v>40</v>
      </c>
      <c r="D112" s="205" t="s">
        <v>144</v>
      </c>
      <c r="E112" s="205" t="s">
        <v>57</v>
      </c>
      <c r="F112" s="206" t="s">
        <v>1572</v>
      </c>
      <c r="G112" s="205" t="s">
        <v>42</v>
      </c>
      <c r="H112" s="211">
        <v>1500</v>
      </c>
      <c r="I112" s="234">
        <v>300</v>
      </c>
      <c r="J112" s="205" t="s">
        <v>179</v>
      </c>
      <c r="K112" s="205" t="s">
        <v>43</v>
      </c>
      <c r="M112">
        <f t="shared" si="0"/>
        <v>300</v>
      </c>
      <c r="P112" s="57"/>
    </row>
    <row r="113" spans="1:16" x14ac:dyDescent="0.25">
      <c r="A113" s="203">
        <v>9</v>
      </c>
      <c r="B113" s="205" t="s">
        <v>1591</v>
      </c>
      <c r="C113" s="205" t="s">
        <v>48</v>
      </c>
      <c r="D113" s="205" t="s">
        <v>966</v>
      </c>
      <c r="E113" s="205" t="s">
        <v>47</v>
      </c>
      <c r="F113" s="206" t="s">
        <v>1592</v>
      </c>
      <c r="G113" s="205" t="s">
        <v>163</v>
      </c>
      <c r="H113" s="211">
        <v>1000</v>
      </c>
      <c r="I113" s="234">
        <v>1000</v>
      </c>
      <c r="J113" s="205" t="s">
        <v>179</v>
      </c>
      <c r="K113" s="205" t="s">
        <v>43</v>
      </c>
      <c r="M113">
        <f t="shared" si="0"/>
        <v>200</v>
      </c>
      <c r="P113" s="57"/>
    </row>
    <row r="114" spans="1:16" x14ac:dyDescent="0.25">
      <c r="A114" s="203">
        <v>19</v>
      </c>
      <c r="B114" s="205" t="s">
        <v>1591</v>
      </c>
      <c r="C114" s="205" t="s">
        <v>48</v>
      </c>
      <c r="D114" s="205" t="s">
        <v>966</v>
      </c>
      <c r="E114" s="205" t="s">
        <v>47</v>
      </c>
      <c r="F114" s="206" t="s">
        <v>1592</v>
      </c>
      <c r="G114" s="205" t="s">
        <v>180</v>
      </c>
      <c r="H114" s="211">
        <v>1000</v>
      </c>
      <c r="I114" s="234">
        <v>500</v>
      </c>
      <c r="J114" s="205" t="s">
        <v>179</v>
      </c>
      <c r="K114" s="205" t="s">
        <v>43</v>
      </c>
      <c r="M114">
        <f t="shared" si="0"/>
        <v>200</v>
      </c>
      <c r="P114" s="57"/>
    </row>
    <row r="115" spans="1:16" x14ac:dyDescent="0.25">
      <c r="A115" s="203">
        <v>19</v>
      </c>
      <c r="B115" s="205" t="s">
        <v>1593</v>
      </c>
      <c r="C115" s="205" t="s">
        <v>40</v>
      </c>
      <c r="D115" s="205" t="s">
        <v>1483</v>
      </c>
      <c r="E115" s="205" t="s">
        <v>52</v>
      </c>
      <c r="F115" s="206" t="s">
        <v>1594</v>
      </c>
      <c r="G115" s="205" t="s">
        <v>42</v>
      </c>
      <c r="H115" s="211">
        <v>2000</v>
      </c>
      <c r="I115" s="234">
        <v>400</v>
      </c>
      <c r="J115" s="205" t="s">
        <v>179</v>
      </c>
      <c r="K115" s="205" t="s">
        <v>43</v>
      </c>
      <c r="M115">
        <f t="shared" si="0"/>
        <v>400</v>
      </c>
      <c r="P115" s="57"/>
    </row>
    <row r="116" spans="1:16" x14ac:dyDescent="0.25">
      <c r="A116" s="203">
        <v>19</v>
      </c>
      <c r="B116" s="205" t="s">
        <v>1595</v>
      </c>
      <c r="C116" s="205" t="s">
        <v>48</v>
      </c>
      <c r="D116" s="205" t="s">
        <v>1176</v>
      </c>
      <c r="E116" s="205" t="s">
        <v>59</v>
      </c>
      <c r="F116" s="206" t="s">
        <v>1596</v>
      </c>
      <c r="G116" s="205" t="s">
        <v>42</v>
      </c>
      <c r="H116" s="211">
        <v>2000</v>
      </c>
      <c r="I116" s="234">
        <v>400</v>
      </c>
      <c r="J116" s="205" t="s">
        <v>179</v>
      </c>
      <c r="K116" s="205" t="s">
        <v>43</v>
      </c>
      <c r="M116">
        <f t="shared" si="0"/>
        <v>400</v>
      </c>
      <c r="P116" s="57"/>
    </row>
    <row r="117" spans="1:16" x14ac:dyDescent="0.25">
      <c r="A117" s="203">
        <v>19</v>
      </c>
      <c r="B117" s="205" t="s">
        <v>1597</v>
      </c>
      <c r="C117" s="205" t="s">
        <v>40</v>
      </c>
      <c r="D117" s="205" t="s">
        <v>899</v>
      </c>
      <c r="E117" s="205" t="s">
        <v>57</v>
      </c>
      <c r="F117" s="206" t="s">
        <v>1598</v>
      </c>
      <c r="G117" s="205" t="s">
        <v>42</v>
      </c>
      <c r="H117" s="211">
        <v>4000</v>
      </c>
      <c r="I117" s="234">
        <v>800</v>
      </c>
      <c r="J117" s="205" t="s">
        <v>179</v>
      </c>
      <c r="K117" s="205" t="s">
        <v>43</v>
      </c>
      <c r="M117">
        <f t="shared" si="0"/>
        <v>800</v>
      </c>
      <c r="P117" s="57"/>
    </row>
    <row r="118" spans="1:16" x14ac:dyDescent="0.25">
      <c r="A118" s="203">
        <v>19</v>
      </c>
      <c r="B118" s="205" t="s">
        <v>1599</v>
      </c>
      <c r="C118" s="205" t="s">
        <v>40</v>
      </c>
      <c r="D118" s="205" t="s">
        <v>1600</v>
      </c>
      <c r="E118" s="205" t="s">
        <v>58</v>
      </c>
      <c r="F118" s="206" t="s">
        <v>1601</v>
      </c>
      <c r="G118" s="205" t="s">
        <v>42</v>
      </c>
      <c r="H118" s="211">
        <v>2000</v>
      </c>
      <c r="I118" s="234">
        <v>400</v>
      </c>
      <c r="J118" s="205" t="s">
        <v>179</v>
      </c>
      <c r="K118" s="205" t="s">
        <v>43</v>
      </c>
      <c r="M118">
        <f t="shared" si="0"/>
        <v>400</v>
      </c>
      <c r="P118" s="57"/>
    </row>
    <row r="119" spans="1:16" x14ac:dyDescent="0.25">
      <c r="A119" s="203">
        <v>19</v>
      </c>
      <c r="B119" s="205" t="s">
        <v>1602</v>
      </c>
      <c r="C119" s="205" t="s">
        <v>40</v>
      </c>
      <c r="D119" s="205" t="s">
        <v>1603</v>
      </c>
      <c r="E119" s="205" t="s">
        <v>57</v>
      </c>
      <c r="F119" s="206"/>
      <c r="G119" s="205" t="s">
        <v>42</v>
      </c>
      <c r="H119" s="211">
        <v>200</v>
      </c>
      <c r="I119" s="234">
        <v>40</v>
      </c>
      <c r="J119" s="205" t="s">
        <v>179</v>
      </c>
      <c r="K119" s="205" t="s">
        <v>43</v>
      </c>
      <c r="M119">
        <f t="shared" si="0"/>
        <v>40</v>
      </c>
      <c r="P119" s="57"/>
    </row>
    <row r="120" spans="1:16" x14ac:dyDescent="0.25">
      <c r="A120" s="203">
        <v>19</v>
      </c>
      <c r="B120" s="205" t="s">
        <v>1604</v>
      </c>
      <c r="C120" s="205" t="s">
        <v>40</v>
      </c>
      <c r="D120" s="205" t="s">
        <v>815</v>
      </c>
      <c r="E120" s="205" t="s">
        <v>45</v>
      </c>
      <c r="F120" s="206"/>
      <c r="G120" s="205" t="s">
        <v>42</v>
      </c>
      <c r="H120" s="211">
        <v>100</v>
      </c>
      <c r="I120" s="234">
        <v>20</v>
      </c>
      <c r="J120" s="205" t="s">
        <v>179</v>
      </c>
      <c r="K120" s="205" t="s">
        <v>43</v>
      </c>
      <c r="M120">
        <f t="shared" si="0"/>
        <v>20</v>
      </c>
      <c r="P120" s="57"/>
    </row>
    <row r="121" spans="1:16" x14ac:dyDescent="0.25">
      <c r="A121" s="321">
        <v>19</v>
      </c>
      <c r="B121" s="205" t="s">
        <v>1605</v>
      </c>
      <c r="C121" s="205" t="s">
        <v>40</v>
      </c>
      <c r="D121" s="205" t="s">
        <v>1483</v>
      </c>
      <c r="E121" s="205" t="s">
        <v>52</v>
      </c>
      <c r="F121" s="206" t="s">
        <v>1606</v>
      </c>
      <c r="G121" s="205" t="s">
        <v>163</v>
      </c>
      <c r="H121" s="211">
        <v>300</v>
      </c>
      <c r="I121" s="234">
        <v>300</v>
      </c>
      <c r="J121" s="205" t="s">
        <v>179</v>
      </c>
      <c r="K121" s="205" t="s">
        <v>43</v>
      </c>
      <c r="M121">
        <f t="shared" si="0"/>
        <v>60</v>
      </c>
      <c r="P121" s="57"/>
    </row>
    <row r="122" spans="1:16" x14ac:dyDescent="0.25">
      <c r="A122" s="203">
        <v>20</v>
      </c>
      <c r="B122" s="205" t="s">
        <v>903</v>
      </c>
      <c r="C122" s="205" t="s">
        <v>40</v>
      </c>
      <c r="D122" s="205" t="s">
        <v>699</v>
      </c>
      <c r="E122" s="205" t="s">
        <v>50</v>
      </c>
      <c r="F122" s="206" t="s">
        <v>1611</v>
      </c>
      <c r="G122" s="205" t="s">
        <v>163</v>
      </c>
      <c r="H122" s="211">
        <v>250</v>
      </c>
      <c r="I122" s="234">
        <v>250</v>
      </c>
      <c r="J122" s="205" t="s">
        <v>179</v>
      </c>
      <c r="K122" s="205" t="s">
        <v>43</v>
      </c>
      <c r="M122">
        <f t="shared" si="0"/>
        <v>50</v>
      </c>
      <c r="P122" s="57"/>
    </row>
    <row r="123" spans="1:16" x14ac:dyDescent="0.25">
      <c r="A123" s="203">
        <v>20</v>
      </c>
      <c r="B123" s="205" t="s">
        <v>1609</v>
      </c>
      <c r="C123" s="205" t="s">
        <v>48</v>
      </c>
      <c r="D123" s="205" t="s">
        <v>1610</v>
      </c>
      <c r="E123" s="205" t="s">
        <v>60</v>
      </c>
      <c r="F123" s="206" t="s">
        <v>1612</v>
      </c>
      <c r="G123" s="205" t="s">
        <v>42</v>
      </c>
      <c r="H123" s="211">
        <v>7000</v>
      </c>
      <c r="I123" s="234">
        <v>1400</v>
      </c>
      <c r="J123" s="205" t="s">
        <v>179</v>
      </c>
      <c r="K123" s="205" t="s">
        <v>43</v>
      </c>
      <c r="M123">
        <f t="shared" si="0"/>
        <v>1400</v>
      </c>
      <c r="P123" s="57"/>
    </row>
    <row r="124" spans="1:16" x14ac:dyDescent="0.25">
      <c r="A124" s="203">
        <v>20</v>
      </c>
      <c r="B124" s="205" t="s">
        <v>1613</v>
      </c>
      <c r="C124" s="205" t="s">
        <v>40</v>
      </c>
      <c r="D124" s="205" t="s">
        <v>758</v>
      </c>
      <c r="E124" s="205" t="s">
        <v>44</v>
      </c>
      <c r="F124" s="206" t="s">
        <v>1614</v>
      </c>
      <c r="G124" s="205" t="s">
        <v>42</v>
      </c>
      <c r="H124" s="211">
        <v>7500</v>
      </c>
      <c r="I124" s="234">
        <v>1500</v>
      </c>
      <c r="J124" s="205" t="s">
        <v>179</v>
      </c>
      <c r="K124" s="205" t="s">
        <v>43</v>
      </c>
      <c r="M124">
        <f t="shared" si="0"/>
        <v>1500</v>
      </c>
      <c r="P124" s="57"/>
    </row>
    <row r="125" spans="1:16" x14ac:dyDescent="0.25">
      <c r="A125" s="203">
        <v>20</v>
      </c>
      <c r="B125" s="205" t="s">
        <v>1615</v>
      </c>
      <c r="C125" s="205" t="s">
        <v>40</v>
      </c>
      <c r="D125" s="205" t="s">
        <v>725</v>
      </c>
      <c r="E125" s="205" t="s">
        <v>45</v>
      </c>
      <c r="F125" s="206" t="s">
        <v>1616</v>
      </c>
      <c r="G125" s="205" t="s">
        <v>42</v>
      </c>
      <c r="H125" s="211">
        <v>500</v>
      </c>
      <c r="I125" s="234">
        <v>100</v>
      </c>
      <c r="J125" s="205" t="s">
        <v>179</v>
      </c>
      <c r="K125" s="205" t="s">
        <v>43</v>
      </c>
      <c r="M125">
        <f t="shared" si="0"/>
        <v>100</v>
      </c>
      <c r="P125" s="57"/>
    </row>
    <row r="126" spans="1:16" x14ac:dyDescent="0.25">
      <c r="A126" s="203">
        <v>20</v>
      </c>
      <c r="B126" s="205" t="s">
        <v>1617</v>
      </c>
      <c r="C126" s="205" t="s">
        <v>40</v>
      </c>
      <c r="D126" s="205" t="s">
        <v>1316</v>
      </c>
      <c r="E126" s="205" t="s">
        <v>52</v>
      </c>
      <c r="F126" s="206" t="s">
        <v>1618</v>
      </c>
      <c r="G126" s="205" t="s">
        <v>42</v>
      </c>
      <c r="H126" s="211">
        <v>4000</v>
      </c>
      <c r="I126" s="234">
        <v>800</v>
      </c>
      <c r="J126" s="205" t="s">
        <v>179</v>
      </c>
      <c r="K126" s="205" t="s">
        <v>43</v>
      </c>
      <c r="M126">
        <f t="shared" si="0"/>
        <v>800</v>
      </c>
      <c r="P126" s="57"/>
    </row>
    <row r="127" spans="1:16" x14ac:dyDescent="0.25">
      <c r="A127" s="203">
        <v>20</v>
      </c>
      <c r="B127" s="205" t="s">
        <v>1619</v>
      </c>
      <c r="C127" s="205" t="s">
        <v>48</v>
      </c>
      <c r="D127" s="205" t="s">
        <v>1483</v>
      </c>
      <c r="E127" s="205" t="s">
        <v>52</v>
      </c>
      <c r="F127" s="206" t="s">
        <v>1620</v>
      </c>
      <c r="G127" s="205" t="s">
        <v>42</v>
      </c>
      <c r="H127" s="211">
        <v>1000</v>
      </c>
      <c r="I127" s="234">
        <v>200</v>
      </c>
      <c r="J127" s="205" t="s">
        <v>179</v>
      </c>
      <c r="K127" s="205" t="s">
        <v>43</v>
      </c>
      <c r="M127">
        <f t="shared" si="0"/>
        <v>200</v>
      </c>
      <c r="P127" s="57"/>
    </row>
    <row r="128" spans="1:16" x14ac:dyDescent="0.25">
      <c r="A128" s="203">
        <v>20</v>
      </c>
      <c r="B128" s="205" t="s">
        <v>1621</v>
      </c>
      <c r="C128" s="205" t="s">
        <v>40</v>
      </c>
      <c r="D128" s="205" t="s">
        <v>677</v>
      </c>
      <c r="E128" s="205" t="s">
        <v>59</v>
      </c>
      <c r="F128" s="206" t="s">
        <v>1622</v>
      </c>
      <c r="G128" s="205" t="s">
        <v>42</v>
      </c>
      <c r="H128" s="211">
        <v>1000</v>
      </c>
      <c r="I128" s="234">
        <v>200</v>
      </c>
      <c r="J128" s="205" t="s">
        <v>179</v>
      </c>
      <c r="K128" s="205" t="s">
        <v>43</v>
      </c>
      <c r="M128">
        <f t="shared" si="0"/>
        <v>200</v>
      </c>
      <c r="P128" s="57"/>
    </row>
    <row r="129" spans="1:16" x14ac:dyDescent="0.25">
      <c r="A129" s="203">
        <v>20</v>
      </c>
      <c r="B129" s="205" t="s">
        <v>1623</v>
      </c>
      <c r="C129" s="205" t="s">
        <v>40</v>
      </c>
      <c r="D129" s="205" t="s">
        <v>725</v>
      </c>
      <c r="E129" s="205" t="s">
        <v>45</v>
      </c>
      <c r="F129" s="206" t="s">
        <v>1624</v>
      </c>
      <c r="G129" s="205" t="s">
        <v>42</v>
      </c>
      <c r="H129" s="211">
        <v>500</v>
      </c>
      <c r="I129" s="234">
        <v>100</v>
      </c>
      <c r="J129" s="205" t="s">
        <v>179</v>
      </c>
      <c r="K129" s="205" t="s">
        <v>43</v>
      </c>
      <c r="M129">
        <f t="shared" si="0"/>
        <v>100</v>
      </c>
      <c r="P129" s="57"/>
    </row>
    <row r="130" spans="1:16" x14ac:dyDescent="0.25">
      <c r="A130" s="203">
        <v>20</v>
      </c>
      <c r="B130" s="205" t="s">
        <v>1625</v>
      </c>
      <c r="C130" s="205" t="s">
        <v>40</v>
      </c>
      <c r="D130" s="205" t="s">
        <v>1626</v>
      </c>
      <c r="E130" s="205" t="s">
        <v>50</v>
      </c>
      <c r="F130" s="206" t="s">
        <v>1627</v>
      </c>
      <c r="G130" s="205" t="s">
        <v>42</v>
      </c>
      <c r="H130" s="211">
        <v>200</v>
      </c>
      <c r="I130" s="234">
        <v>40</v>
      </c>
      <c r="J130" s="205" t="s">
        <v>179</v>
      </c>
      <c r="K130" s="205" t="s">
        <v>43</v>
      </c>
      <c r="M130">
        <f t="shared" si="0"/>
        <v>40</v>
      </c>
      <c r="P130" s="57"/>
    </row>
    <row r="131" spans="1:16" x14ac:dyDescent="0.25">
      <c r="A131" s="203">
        <v>20</v>
      </c>
      <c r="B131" s="205" t="s">
        <v>427</v>
      </c>
      <c r="C131" s="205" t="s">
        <v>40</v>
      </c>
      <c r="D131" s="205" t="s">
        <v>144</v>
      </c>
      <c r="E131" s="205" t="s">
        <v>57</v>
      </c>
      <c r="F131" s="206" t="s">
        <v>1628</v>
      </c>
      <c r="G131" s="205" t="s">
        <v>42</v>
      </c>
      <c r="H131" s="211">
        <v>1500</v>
      </c>
      <c r="I131" s="234">
        <v>300</v>
      </c>
      <c r="J131" s="205" t="s">
        <v>179</v>
      </c>
      <c r="K131" s="205" t="s">
        <v>43</v>
      </c>
      <c r="M131">
        <f t="shared" si="0"/>
        <v>300</v>
      </c>
      <c r="P131" s="57"/>
    </row>
    <row r="132" spans="1:16" x14ac:dyDescent="0.25">
      <c r="A132" s="321">
        <v>20</v>
      </c>
      <c r="B132" s="205" t="s">
        <v>1629</v>
      </c>
      <c r="C132" s="205" t="s">
        <v>40</v>
      </c>
      <c r="D132" s="205" t="s">
        <v>715</v>
      </c>
      <c r="E132" s="205" t="s">
        <v>47</v>
      </c>
      <c r="F132" s="206"/>
      <c r="G132" s="205" t="s">
        <v>180</v>
      </c>
      <c r="H132" s="211">
        <v>3200</v>
      </c>
      <c r="I132" s="234">
        <v>1600</v>
      </c>
      <c r="J132" s="205" t="s">
        <v>179</v>
      </c>
      <c r="K132" s="205" t="s">
        <v>43</v>
      </c>
      <c r="M132">
        <f t="shared" si="0"/>
        <v>640</v>
      </c>
      <c r="P132" s="57"/>
    </row>
    <row r="133" spans="1:16" x14ac:dyDescent="0.25">
      <c r="A133" s="203">
        <v>24</v>
      </c>
      <c r="B133" s="205" t="s">
        <v>1632</v>
      </c>
      <c r="C133" s="205" t="s">
        <v>40</v>
      </c>
      <c r="D133" s="205" t="s">
        <v>145</v>
      </c>
      <c r="E133" s="205" t="s">
        <v>50</v>
      </c>
      <c r="F133" s="206" t="s">
        <v>1633</v>
      </c>
      <c r="G133" s="205" t="s">
        <v>42</v>
      </c>
      <c r="H133" s="211">
        <v>500</v>
      </c>
      <c r="I133" s="234">
        <v>100</v>
      </c>
      <c r="J133" s="205" t="s">
        <v>179</v>
      </c>
      <c r="K133" s="205" t="s">
        <v>43</v>
      </c>
      <c r="M133">
        <f t="shared" si="0"/>
        <v>100</v>
      </c>
      <c r="P133" s="57"/>
    </row>
    <row r="134" spans="1:16" x14ac:dyDescent="0.25">
      <c r="A134" s="203">
        <v>24</v>
      </c>
      <c r="B134" s="205" t="s">
        <v>1632</v>
      </c>
      <c r="C134" s="205" t="s">
        <v>40</v>
      </c>
      <c r="D134" s="205" t="s">
        <v>145</v>
      </c>
      <c r="E134" s="205" t="s">
        <v>50</v>
      </c>
      <c r="F134" s="206" t="s">
        <v>1633</v>
      </c>
      <c r="G134" s="205" t="s">
        <v>163</v>
      </c>
      <c r="H134" s="211">
        <v>200</v>
      </c>
      <c r="I134" s="234">
        <v>200</v>
      </c>
      <c r="J134" s="205" t="s">
        <v>179</v>
      </c>
      <c r="K134" s="205" t="s">
        <v>43</v>
      </c>
      <c r="M134">
        <f t="shared" si="0"/>
        <v>40</v>
      </c>
      <c r="P134" s="57"/>
    </row>
    <row r="135" spans="1:16" x14ac:dyDescent="0.25">
      <c r="A135" s="203">
        <v>24</v>
      </c>
      <c r="B135" s="205" t="s">
        <v>1634</v>
      </c>
      <c r="C135" s="205" t="s">
        <v>40</v>
      </c>
      <c r="D135" s="205" t="s">
        <v>299</v>
      </c>
      <c r="E135" s="205" t="s">
        <v>44</v>
      </c>
      <c r="F135" s="206" t="s">
        <v>1635</v>
      </c>
      <c r="G135" s="205" t="s">
        <v>42</v>
      </c>
      <c r="H135" s="211">
        <v>1000</v>
      </c>
      <c r="I135" s="234">
        <v>200</v>
      </c>
      <c r="J135" s="205" t="s">
        <v>179</v>
      </c>
      <c r="K135" s="205" t="s">
        <v>43</v>
      </c>
      <c r="M135">
        <f t="shared" si="0"/>
        <v>200</v>
      </c>
      <c r="P135" s="57"/>
    </row>
    <row r="136" spans="1:16" x14ac:dyDescent="0.25">
      <c r="A136" s="203">
        <v>24</v>
      </c>
      <c r="B136" s="205" t="s">
        <v>1636</v>
      </c>
      <c r="C136" s="205" t="s">
        <v>40</v>
      </c>
      <c r="D136" s="205" t="s">
        <v>380</v>
      </c>
      <c r="E136" s="205" t="s">
        <v>45</v>
      </c>
      <c r="F136" s="206"/>
      <c r="G136" s="205" t="s">
        <v>42</v>
      </c>
      <c r="H136" s="211">
        <v>500</v>
      </c>
      <c r="I136" s="234">
        <v>100</v>
      </c>
      <c r="J136" s="205" t="s">
        <v>179</v>
      </c>
      <c r="K136" s="205" t="s">
        <v>43</v>
      </c>
      <c r="M136">
        <f t="shared" si="0"/>
        <v>100</v>
      </c>
      <c r="P136" s="57"/>
    </row>
    <row r="137" spans="1:16" x14ac:dyDescent="0.25">
      <c r="A137" s="203">
        <v>24</v>
      </c>
      <c r="B137" s="205" t="s">
        <v>1637</v>
      </c>
      <c r="C137" s="205" t="s">
        <v>40</v>
      </c>
      <c r="D137" s="205" t="s">
        <v>501</v>
      </c>
      <c r="E137" s="205" t="s">
        <v>52</v>
      </c>
      <c r="F137" s="206"/>
      <c r="G137" s="205" t="s">
        <v>42</v>
      </c>
      <c r="H137" s="211">
        <v>3000</v>
      </c>
      <c r="I137" s="234">
        <v>600</v>
      </c>
      <c r="J137" s="205" t="s">
        <v>179</v>
      </c>
      <c r="K137" s="205" t="s">
        <v>43</v>
      </c>
      <c r="M137">
        <f t="shared" si="0"/>
        <v>600</v>
      </c>
      <c r="P137" s="57"/>
    </row>
    <row r="138" spans="1:16" x14ac:dyDescent="0.25">
      <c r="A138" s="203">
        <v>24</v>
      </c>
      <c r="B138" s="205" t="s">
        <v>1638</v>
      </c>
      <c r="C138" s="205" t="s">
        <v>40</v>
      </c>
      <c r="D138" s="205" t="s">
        <v>1179</v>
      </c>
      <c r="E138" s="205" t="s">
        <v>52</v>
      </c>
      <c r="F138" s="206" t="s">
        <v>1639</v>
      </c>
      <c r="G138" s="205" t="s">
        <v>42</v>
      </c>
      <c r="H138" s="211">
        <v>1000</v>
      </c>
      <c r="I138" s="234">
        <v>200</v>
      </c>
      <c r="J138" s="205" t="s">
        <v>179</v>
      </c>
      <c r="K138" s="205" t="s">
        <v>43</v>
      </c>
      <c r="M138">
        <f t="shared" si="0"/>
        <v>200</v>
      </c>
      <c r="P138" s="57"/>
    </row>
    <row r="139" spans="1:16" x14ac:dyDescent="0.25">
      <c r="A139" s="203">
        <v>24</v>
      </c>
      <c r="B139" s="205" t="s">
        <v>1640</v>
      </c>
      <c r="C139" s="205" t="s">
        <v>48</v>
      </c>
      <c r="D139" s="205" t="s">
        <v>815</v>
      </c>
      <c r="E139" s="205" t="s">
        <v>45</v>
      </c>
      <c r="F139" s="206"/>
      <c r="G139" s="205" t="s">
        <v>42</v>
      </c>
      <c r="H139" s="211">
        <v>300</v>
      </c>
      <c r="I139" s="234">
        <v>60</v>
      </c>
      <c r="J139" s="205" t="s">
        <v>179</v>
      </c>
      <c r="K139" s="205" t="s">
        <v>43</v>
      </c>
      <c r="M139">
        <f t="shared" si="0"/>
        <v>60</v>
      </c>
      <c r="P139" s="57"/>
    </row>
    <row r="140" spans="1:16" x14ac:dyDescent="0.25">
      <c r="A140" s="203">
        <v>24</v>
      </c>
      <c r="B140" s="205" t="s">
        <v>1641</v>
      </c>
      <c r="C140" s="205" t="s">
        <v>40</v>
      </c>
      <c r="D140" s="205" t="s">
        <v>1483</v>
      </c>
      <c r="E140" s="205" t="s">
        <v>52</v>
      </c>
      <c r="F140" s="206" t="s">
        <v>1642</v>
      </c>
      <c r="G140" s="205" t="s">
        <v>42</v>
      </c>
      <c r="H140" s="211">
        <v>4000</v>
      </c>
      <c r="I140" s="234">
        <v>800</v>
      </c>
      <c r="J140" s="205" t="s">
        <v>179</v>
      </c>
      <c r="K140" s="205" t="s">
        <v>43</v>
      </c>
      <c r="L140">
        <v>119</v>
      </c>
      <c r="M140">
        <f t="shared" si="0"/>
        <v>800</v>
      </c>
      <c r="P140" s="57"/>
    </row>
    <row r="141" spans="1:16" x14ac:dyDescent="0.25">
      <c r="A141" s="203">
        <v>24</v>
      </c>
      <c r="B141" s="205" t="s">
        <v>1643</v>
      </c>
      <c r="C141" s="205" t="s">
        <v>40</v>
      </c>
      <c r="D141" s="205" t="s">
        <v>1644</v>
      </c>
      <c r="E141" s="205" t="s">
        <v>46</v>
      </c>
      <c r="F141" s="206"/>
      <c r="G141" s="205" t="s">
        <v>42</v>
      </c>
      <c r="H141" s="211">
        <v>2000</v>
      </c>
      <c r="I141" s="234">
        <v>400</v>
      </c>
      <c r="J141" s="205" t="s">
        <v>179</v>
      </c>
      <c r="K141" s="205" t="s">
        <v>43</v>
      </c>
      <c r="M141">
        <f t="shared" si="0"/>
        <v>400</v>
      </c>
      <c r="P141" s="57"/>
    </row>
    <row r="142" spans="1:16" x14ac:dyDescent="0.25">
      <c r="A142" s="203">
        <v>24</v>
      </c>
      <c r="B142" s="205" t="s">
        <v>1643</v>
      </c>
      <c r="C142" s="205" t="s">
        <v>40</v>
      </c>
      <c r="D142" s="205" t="s">
        <v>1644</v>
      </c>
      <c r="E142" s="205" t="s">
        <v>46</v>
      </c>
      <c r="F142" s="206"/>
      <c r="G142" s="205" t="s">
        <v>180</v>
      </c>
      <c r="H142" s="211">
        <v>200</v>
      </c>
      <c r="I142" s="234">
        <v>100</v>
      </c>
      <c r="J142" s="205" t="s">
        <v>179</v>
      </c>
      <c r="K142" s="205" t="s">
        <v>43</v>
      </c>
      <c r="M142">
        <f t="shared" si="0"/>
        <v>40</v>
      </c>
      <c r="P142" s="57"/>
    </row>
    <row r="143" spans="1:16" x14ac:dyDescent="0.25">
      <c r="A143" s="203">
        <v>24</v>
      </c>
      <c r="B143" s="205" t="s">
        <v>1645</v>
      </c>
      <c r="C143" s="205" t="s">
        <v>40</v>
      </c>
      <c r="D143" s="205" t="s">
        <v>488</v>
      </c>
      <c r="E143" s="205" t="s">
        <v>45</v>
      </c>
      <c r="F143" s="206" t="s">
        <v>1646</v>
      </c>
      <c r="G143" s="205" t="s">
        <v>42</v>
      </c>
      <c r="H143" s="211">
        <v>1000</v>
      </c>
      <c r="I143" s="234">
        <v>200</v>
      </c>
      <c r="J143" s="205" t="s">
        <v>179</v>
      </c>
      <c r="K143" s="205" t="s">
        <v>43</v>
      </c>
      <c r="M143">
        <f t="shared" si="0"/>
        <v>200</v>
      </c>
      <c r="P143" s="57"/>
    </row>
    <row r="144" spans="1:16" x14ac:dyDescent="0.25">
      <c r="A144" s="203">
        <v>24</v>
      </c>
      <c r="B144" s="205" t="s">
        <v>1535</v>
      </c>
      <c r="C144" s="205" t="s">
        <v>40</v>
      </c>
      <c r="D144" s="205" t="s">
        <v>144</v>
      </c>
      <c r="E144" s="205" t="s">
        <v>57</v>
      </c>
      <c r="F144" s="206" t="s">
        <v>1536</v>
      </c>
      <c r="G144" s="205" t="s">
        <v>163</v>
      </c>
      <c r="H144" s="211">
        <v>200</v>
      </c>
      <c r="I144" s="234">
        <v>200</v>
      </c>
      <c r="J144" s="205" t="s">
        <v>179</v>
      </c>
      <c r="K144" s="205" t="s">
        <v>43</v>
      </c>
      <c r="M144">
        <f t="shared" si="0"/>
        <v>40</v>
      </c>
      <c r="P144" s="57"/>
    </row>
    <row r="145" spans="1:16" x14ac:dyDescent="0.25">
      <c r="A145" s="203">
        <v>24</v>
      </c>
      <c r="B145" s="205" t="s">
        <v>1604</v>
      </c>
      <c r="C145" s="205" t="s">
        <v>40</v>
      </c>
      <c r="D145" s="205" t="s">
        <v>815</v>
      </c>
      <c r="E145" s="205" t="s">
        <v>45</v>
      </c>
      <c r="F145" s="206"/>
      <c r="G145" s="205" t="s">
        <v>42</v>
      </c>
      <c r="H145" s="211">
        <v>200</v>
      </c>
      <c r="I145" s="234">
        <v>40</v>
      </c>
      <c r="J145" s="205" t="s">
        <v>179</v>
      </c>
      <c r="K145" s="205" t="s">
        <v>43</v>
      </c>
      <c r="M145">
        <f t="shared" si="0"/>
        <v>40</v>
      </c>
      <c r="P145" s="57"/>
    </row>
    <row r="146" spans="1:16" x14ac:dyDescent="0.25">
      <c r="A146" s="203">
        <v>24</v>
      </c>
      <c r="B146" s="205" t="s">
        <v>1647</v>
      </c>
      <c r="C146" s="205" t="s">
        <v>40</v>
      </c>
      <c r="D146" s="205" t="s">
        <v>1648</v>
      </c>
      <c r="E146" s="205" t="s">
        <v>66</v>
      </c>
      <c r="F146" s="206" t="s">
        <v>1649</v>
      </c>
      <c r="G146" s="205" t="s">
        <v>42</v>
      </c>
      <c r="H146" s="211">
        <v>4000</v>
      </c>
      <c r="I146" s="234">
        <v>800</v>
      </c>
      <c r="J146" s="205" t="s">
        <v>179</v>
      </c>
      <c r="K146" s="205" t="s">
        <v>43</v>
      </c>
      <c r="M146">
        <f t="shared" si="0"/>
        <v>800</v>
      </c>
      <c r="P146" s="57"/>
    </row>
    <row r="147" spans="1:16" x14ac:dyDescent="0.25">
      <c r="A147" s="203">
        <v>24</v>
      </c>
      <c r="B147" s="205" t="s">
        <v>1647</v>
      </c>
      <c r="C147" s="205" t="s">
        <v>40</v>
      </c>
      <c r="D147" s="205" t="s">
        <v>1648</v>
      </c>
      <c r="E147" s="205" t="s">
        <v>66</v>
      </c>
      <c r="F147" s="206" t="s">
        <v>1649</v>
      </c>
      <c r="G147" s="205" t="s">
        <v>180</v>
      </c>
      <c r="H147" s="211">
        <v>500</v>
      </c>
      <c r="I147" s="234">
        <v>250</v>
      </c>
      <c r="J147" s="205" t="s">
        <v>179</v>
      </c>
      <c r="K147" s="205" t="s">
        <v>43</v>
      </c>
      <c r="M147">
        <f t="shared" si="0"/>
        <v>100</v>
      </c>
      <c r="P147" s="57"/>
    </row>
    <row r="148" spans="1:16" x14ac:dyDescent="0.25">
      <c r="A148" s="203">
        <v>24</v>
      </c>
      <c r="B148" s="205" t="s">
        <v>1650</v>
      </c>
      <c r="C148" s="205" t="s">
        <v>40</v>
      </c>
      <c r="D148" s="205" t="s">
        <v>488</v>
      </c>
      <c r="E148" s="205" t="s">
        <v>45</v>
      </c>
      <c r="F148" s="206" t="s">
        <v>1651</v>
      </c>
      <c r="G148" s="205" t="s">
        <v>42</v>
      </c>
      <c r="H148" s="211">
        <v>1000</v>
      </c>
      <c r="I148" s="234">
        <v>200</v>
      </c>
      <c r="J148" s="205" t="s">
        <v>179</v>
      </c>
      <c r="K148" s="205" t="s">
        <v>43</v>
      </c>
      <c r="M148">
        <f t="shared" si="0"/>
        <v>200</v>
      </c>
      <c r="P148" s="57"/>
    </row>
    <row r="149" spans="1:16" x14ac:dyDescent="0.25">
      <c r="A149" s="203">
        <v>24</v>
      </c>
      <c r="B149" s="205" t="s">
        <v>319</v>
      </c>
      <c r="C149" s="205" t="s">
        <v>40</v>
      </c>
      <c r="D149" s="205" t="s">
        <v>1455</v>
      </c>
      <c r="E149" s="205" t="s">
        <v>59</v>
      </c>
      <c r="F149" s="206"/>
      <c r="G149" s="205" t="s">
        <v>42</v>
      </c>
      <c r="H149" s="211">
        <v>1000</v>
      </c>
      <c r="I149" s="234">
        <v>200</v>
      </c>
      <c r="J149" s="205" t="s">
        <v>179</v>
      </c>
      <c r="K149" s="205" t="s">
        <v>43</v>
      </c>
      <c r="M149">
        <f t="shared" si="0"/>
        <v>200</v>
      </c>
      <c r="P149" s="57"/>
    </row>
    <row r="150" spans="1:16" x14ac:dyDescent="0.25">
      <c r="A150" s="203">
        <v>24</v>
      </c>
      <c r="B150" s="205" t="s">
        <v>1510</v>
      </c>
      <c r="C150" s="205" t="s">
        <v>40</v>
      </c>
      <c r="D150" s="205" t="s">
        <v>1460</v>
      </c>
      <c r="E150" s="205" t="s">
        <v>45</v>
      </c>
      <c r="F150" s="206" t="s">
        <v>1461</v>
      </c>
      <c r="G150" s="205" t="s">
        <v>42</v>
      </c>
      <c r="H150" s="211">
        <v>2500</v>
      </c>
      <c r="I150" s="234">
        <v>500</v>
      </c>
      <c r="J150" s="205" t="s">
        <v>179</v>
      </c>
      <c r="K150" s="205" t="s">
        <v>43</v>
      </c>
      <c r="M150">
        <f t="shared" si="0"/>
        <v>500</v>
      </c>
      <c r="P150" s="57"/>
    </row>
    <row r="151" spans="1:16" x14ac:dyDescent="0.25">
      <c r="A151" s="203">
        <v>24</v>
      </c>
      <c r="B151" s="205" t="s">
        <v>1652</v>
      </c>
      <c r="C151" s="205" t="s">
        <v>40</v>
      </c>
      <c r="D151" s="205" t="s">
        <v>257</v>
      </c>
      <c r="E151" s="205" t="s">
        <v>73</v>
      </c>
      <c r="F151" s="206" t="s">
        <v>1653</v>
      </c>
      <c r="G151" s="205" t="s">
        <v>163</v>
      </c>
      <c r="H151" s="211">
        <v>800</v>
      </c>
      <c r="I151" s="234">
        <v>800</v>
      </c>
      <c r="J151" s="205" t="s">
        <v>179</v>
      </c>
      <c r="K151" s="205" t="s">
        <v>43</v>
      </c>
      <c r="M151">
        <f t="shared" si="0"/>
        <v>160</v>
      </c>
      <c r="P151" s="57"/>
    </row>
    <row r="152" spans="1:16" x14ac:dyDescent="0.25">
      <c r="A152" s="203">
        <v>24</v>
      </c>
      <c r="B152" s="205" t="s">
        <v>1654</v>
      </c>
      <c r="C152" s="205" t="s">
        <v>40</v>
      </c>
      <c r="D152" s="205" t="s">
        <v>1179</v>
      </c>
      <c r="E152" s="205" t="s">
        <v>52</v>
      </c>
      <c r="F152" s="206" t="s">
        <v>1180</v>
      </c>
      <c r="G152" s="205" t="s">
        <v>42</v>
      </c>
      <c r="H152" s="211">
        <v>500</v>
      </c>
      <c r="I152" s="234">
        <v>100</v>
      </c>
      <c r="J152" s="205" t="s">
        <v>179</v>
      </c>
      <c r="K152" s="205" t="s">
        <v>43</v>
      </c>
      <c r="M152">
        <f t="shared" si="0"/>
        <v>100</v>
      </c>
      <c r="P152" s="57"/>
    </row>
    <row r="153" spans="1:16" x14ac:dyDescent="0.25">
      <c r="A153" s="203">
        <v>24</v>
      </c>
      <c r="B153" s="205" t="s">
        <v>1655</v>
      </c>
      <c r="C153" s="205" t="s">
        <v>40</v>
      </c>
      <c r="D153" s="205" t="s">
        <v>508</v>
      </c>
      <c r="E153" s="205" t="s">
        <v>45</v>
      </c>
      <c r="F153" s="206" t="s">
        <v>1656</v>
      </c>
      <c r="G153" s="205" t="s">
        <v>42</v>
      </c>
      <c r="H153" s="211">
        <v>1000</v>
      </c>
      <c r="I153" s="234">
        <v>200</v>
      </c>
      <c r="J153" s="205" t="s">
        <v>179</v>
      </c>
      <c r="K153" s="205" t="s">
        <v>43</v>
      </c>
      <c r="M153">
        <f t="shared" si="0"/>
        <v>200</v>
      </c>
      <c r="P153" s="57"/>
    </row>
    <row r="154" spans="1:16" x14ac:dyDescent="0.25">
      <c r="A154" s="203">
        <v>25</v>
      </c>
      <c r="B154" s="205" t="s">
        <v>1657</v>
      </c>
      <c r="C154" s="205" t="s">
        <v>40</v>
      </c>
      <c r="D154" s="205" t="s">
        <v>1658</v>
      </c>
      <c r="E154" s="205" t="s">
        <v>60</v>
      </c>
      <c r="F154" s="206" t="s">
        <v>1659</v>
      </c>
      <c r="G154" s="205" t="s">
        <v>42</v>
      </c>
      <c r="H154" s="211">
        <v>2500</v>
      </c>
      <c r="I154" s="234">
        <v>500</v>
      </c>
      <c r="J154" s="205" t="s">
        <v>179</v>
      </c>
      <c r="K154" s="205" t="s">
        <v>43</v>
      </c>
      <c r="M154">
        <f t="shared" si="0"/>
        <v>500</v>
      </c>
      <c r="P154" s="57"/>
    </row>
    <row r="155" spans="1:16" x14ac:dyDescent="0.25">
      <c r="A155" s="203">
        <v>25</v>
      </c>
      <c r="B155" s="205" t="s">
        <v>1660</v>
      </c>
      <c r="C155" s="205" t="s">
        <v>40</v>
      </c>
      <c r="D155" s="205" t="s">
        <v>272</v>
      </c>
      <c r="E155" s="205" t="s">
        <v>44</v>
      </c>
      <c r="F155" s="206" t="s">
        <v>1661</v>
      </c>
      <c r="G155" s="205" t="s">
        <v>42</v>
      </c>
      <c r="H155" s="211">
        <v>3000</v>
      </c>
      <c r="I155" s="234">
        <v>600</v>
      </c>
      <c r="J155" s="205" t="s">
        <v>179</v>
      </c>
      <c r="K155" s="205" t="s">
        <v>43</v>
      </c>
      <c r="M155">
        <f t="shared" si="0"/>
        <v>600</v>
      </c>
      <c r="P155" s="57"/>
    </row>
    <row r="156" spans="1:16" x14ac:dyDescent="0.25">
      <c r="A156" s="203">
        <v>25</v>
      </c>
      <c r="B156" s="205" t="s">
        <v>1662</v>
      </c>
      <c r="C156" s="205" t="s">
        <v>40</v>
      </c>
      <c r="D156" s="205" t="s">
        <v>1663</v>
      </c>
      <c r="E156" s="205" t="s">
        <v>59</v>
      </c>
      <c r="F156" s="206"/>
      <c r="G156" s="205" t="s">
        <v>42</v>
      </c>
      <c r="H156" s="211">
        <v>2000</v>
      </c>
      <c r="I156" s="234">
        <v>400</v>
      </c>
      <c r="J156" s="205" t="s">
        <v>179</v>
      </c>
      <c r="K156" s="205" t="s">
        <v>43</v>
      </c>
      <c r="M156">
        <f t="shared" si="0"/>
        <v>400</v>
      </c>
      <c r="P156" s="57"/>
    </row>
    <row r="157" spans="1:16" x14ac:dyDescent="0.25">
      <c r="A157" s="203">
        <v>25</v>
      </c>
      <c r="B157" s="205" t="s">
        <v>1664</v>
      </c>
      <c r="C157" s="205" t="s">
        <v>48</v>
      </c>
      <c r="D157" s="205" t="s">
        <v>380</v>
      </c>
      <c r="E157" s="205" t="s">
        <v>45</v>
      </c>
      <c r="F157" s="206" t="s">
        <v>1665</v>
      </c>
      <c r="G157" s="205" t="s">
        <v>42</v>
      </c>
      <c r="H157" s="211">
        <v>20000</v>
      </c>
      <c r="I157" s="234">
        <v>6000</v>
      </c>
      <c r="J157" s="205" t="s">
        <v>179</v>
      </c>
      <c r="K157" s="205" t="s">
        <v>43</v>
      </c>
      <c r="M157">
        <f t="shared" si="0"/>
        <v>4000</v>
      </c>
      <c r="P157" s="57"/>
    </row>
    <row r="158" spans="1:16" x14ac:dyDescent="0.25">
      <c r="A158" s="203">
        <v>25</v>
      </c>
      <c r="B158" s="205" t="s">
        <v>1666</v>
      </c>
      <c r="C158" s="205" t="s">
        <v>40</v>
      </c>
      <c r="D158" s="205" t="s">
        <v>1553</v>
      </c>
      <c r="E158" s="205" t="s">
        <v>61</v>
      </c>
      <c r="F158" s="206" t="s">
        <v>1667</v>
      </c>
      <c r="G158" s="205" t="s">
        <v>42</v>
      </c>
      <c r="H158" s="211">
        <v>20000</v>
      </c>
      <c r="I158" s="234">
        <v>4000</v>
      </c>
      <c r="J158" s="205" t="s">
        <v>179</v>
      </c>
      <c r="K158" s="205" t="s">
        <v>43</v>
      </c>
      <c r="M158">
        <f t="shared" si="0"/>
        <v>4000</v>
      </c>
      <c r="P158" s="57"/>
    </row>
    <row r="159" spans="1:16" x14ac:dyDescent="0.25">
      <c r="A159" s="203">
        <v>25</v>
      </c>
      <c r="B159" s="205" t="s">
        <v>1668</v>
      </c>
      <c r="C159" s="205" t="s">
        <v>40</v>
      </c>
      <c r="D159" s="205" t="s">
        <v>451</v>
      </c>
      <c r="E159" s="205" t="s">
        <v>60</v>
      </c>
      <c r="F159" s="206"/>
      <c r="G159" s="205" t="s">
        <v>42</v>
      </c>
      <c r="H159" s="211">
        <v>6000</v>
      </c>
      <c r="I159" s="234">
        <v>1200</v>
      </c>
      <c r="J159" s="205" t="s">
        <v>179</v>
      </c>
      <c r="K159" s="205" t="s">
        <v>43</v>
      </c>
      <c r="M159">
        <f t="shared" si="0"/>
        <v>1200</v>
      </c>
      <c r="P159" s="57"/>
    </row>
    <row r="160" spans="1:16" x14ac:dyDescent="0.25">
      <c r="A160" s="203">
        <v>25</v>
      </c>
      <c r="B160" s="205" t="s">
        <v>1668</v>
      </c>
      <c r="C160" s="205" t="s">
        <v>40</v>
      </c>
      <c r="D160" s="205" t="s">
        <v>451</v>
      </c>
      <c r="E160" s="205" t="s">
        <v>60</v>
      </c>
      <c r="F160" s="206"/>
      <c r="G160" s="205" t="s">
        <v>180</v>
      </c>
      <c r="H160" s="211">
        <v>100</v>
      </c>
      <c r="I160" s="234">
        <v>50</v>
      </c>
      <c r="J160" s="205" t="s">
        <v>179</v>
      </c>
      <c r="K160" s="205" t="s">
        <v>43</v>
      </c>
      <c r="M160">
        <f t="shared" si="0"/>
        <v>20</v>
      </c>
      <c r="P160" s="57"/>
    </row>
    <row r="161" spans="1:16" x14ac:dyDescent="0.25">
      <c r="A161" s="203">
        <v>26</v>
      </c>
      <c r="B161" s="205" t="s">
        <v>1669</v>
      </c>
      <c r="C161" s="205" t="s">
        <v>40</v>
      </c>
      <c r="D161" s="205" t="s">
        <v>1670</v>
      </c>
      <c r="E161" s="205" t="s">
        <v>60</v>
      </c>
      <c r="F161" s="206"/>
      <c r="G161" s="205" t="s">
        <v>42</v>
      </c>
      <c r="H161" s="211">
        <v>4500</v>
      </c>
      <c r="I161" s="234">
        <v>900</v>
      </c>
      <c r="J161" s="205" t="s">
        <v>179</v>
      </c>
      <c r="K161" s="205" t="s">
        <v>43</v>
      </c>
      <c r="M161">
        <f t="shared" si="0"/>
        <v>900</v>
      </c>
      <c r="P161" s="57"/>
    </row>
    <row r="162" spans="1:16" x14ac:dyDescent="0.25">
      <c r="A162" s="203">
        <v>26</v>
      </c>
      <c r="B162" s="205" t="s">
        <v>838</v>
      </c>
      <c r="C162" s="205" t="s">
        <v>48</v>
      </c>
      <c r="D162" s="205" t="s">
        <v>141</v>
      </c>
      <c r="E162" s="205" t="s">
        <v>45</v>
      </c>
      <c r="F162" s="206" t="s">
        <v>839</v>
      </c>
      <c r="G162" s="205" t="s">
        <v>42</v>
      </c>
      <c r="H162" s="211">
        <v>3000</v>
      </c>
      <c r="I162" s="234">
        <v>600</v>
      </c>
      <c r="J162" s="205" t="s">
        <v>179</v>
      </c>
      <c r="K162" s="205" t="s">
        <v>43</v>
      </c>
      <c r="M162">
        <f t="shared" si="0"/>
        <v>600</v>
      </c>
      <c r="P162" s="57"/>
    </row>
    <row r="163" spans="1:16" x14ac:dyDescent="0.25">
      <c r="A163" s="203">
        <v>26</v>
      </c>
      <c r="B163" s="205" t="s">
        <v>1671</v>
      </c>
      <c r="C163" s="205" t="s">
        <v>40</v>
      </c>
      <c r="D163" s="205" t="s">
        <v>1174</v>
      </c>
      <c r="E163" s="205" t="s">
        <v>47</v>
      </c>
      <c r="F163" s="206"/>
      <c r="G163" s="205" t="s">
        <v>42</v>
      </c>
      <c r="H163" s="211">
        <v>1000</v>
      </c>
      <c r="I163" s="234">
        <v>200</v>
      </c>
      <c r="J163" s="205" t="s">
        <v>179</v>
      </c>
      <c r="K163" s="205" t="s">
        <v>43</v>
      </c>
      <c r="M163">
        <f t="shared" si="0"/>
        <v>200</v>
      </c>
      <c r="P163" s="57"/>
    </row>
    <row r="164" spans="1:16" x14ac:dyDescent="0.25">
      <c r="A164" s="203">
        <v>26</v>
      </c>
      <c r="B164" s="205" t="s">
        <v>1672</v>
      </c>
      <c r="C164" s="205" t="s">
        <v>40</v>
      </c>
      <c r="D164" s="205" t="s">
        <v>63</v>
      </c>
      <c r="E164" s="205" t="s">
        <v>64</v>
      </c>
      <c r="F164" s="206" t="s">
        <v>1673</v>
      </c>
      <c r="G164" s="205" t="s">
        <v>42</v>
      </c>
      <c r="H164" s="211">
        <v>2000</v>
      </c>
      <c r="I164" s="234" t="s">
        <v>255</v>
      </c>
      <c r="J164" s="205" t="s">
        <v>179</v>
      </c>
      <c r="K164" s="205" t="s">
        <v>43</v>
      </c>
      <c r="M164">
        <f t="shared" si="0"/>
        <v>400</v>
      </c>
      <c r="P164" s="57"/>
    </row>
    <row r="165" spans="1:16" x14ac:dyDescent="0.25">
      <c r="A165" s="203">
        <v>26</v>
      </c>
      <c r="B165" s="205" t="s">
        <v>1674</v>
      </c>
      <c r="C165" s="205" t="s">
        <v>40</v>
      </c>
      <c r="D165" s="205" t="s">
        <v>1675</v>
      </c>
      <c r="E165" s="205" t="s">
        <v>75</v>
      </c>
      <c r="F165" s="206"/>
      <c r="G165" s="205" t="s">
        <v>42</v>
      </c>
      <c r="H165" s="211">
        <v>800</v>
      </c>
      <c r="I165" s="234">
        <v>160</v>
      </c>
      <c r="J165" s="205" t="s">
        <v>179</v>
      </c>
      <c r="K165" s="205" t="s">
        <v>43</v>
      </c>
      <c r="M165">
        <f t="shared" si="0"/>
        <v>160</v>
      </c>
      <c r="P165" s="57"/>
    </row>
    <row r="166" spans="1:16" x14ac:dyDescent="0.25">
      <c r="A166" s="203">
        <v>26</v>
      </c>
      <c r="B166" s="205" t="s">
        <v>1676</v>
      </c>
      <c r="C166" s="205" t="s">
        <v>40</v>
      </c>
      <c r="D166" s="205" t="s">
        <v>372</v>
      </c>
      <c r="E166" s="205" t="s">
        <v>44</v>
      </c>
      <c r="F166" s="206"/>
      <c r="G166" s="205" t="s">
        <v>42</v>
      </c>
      <c r="H166" s="211">
        <v>2500</v>
      </c>
      <c r="I166" s="234">
        <v>500</v>
      </c>
      <c r="J166" s="205" t="s">
        <v>179</v>
      </c>
      <c r="K166" s="205" t="s">
        <v>43</v>
      </c>
      <c r="M166">
        <f t="shared" si="0"/>
        <v>500</v>
      </c>
      <c r="P166" s="57"/>
    </row>
    <row r="167" spans="1:16" x14ac:dyDescent="0.25">
      <c r="A167" s="321">
        <v>26</v>
      </c>
      <c r="B167" s="205" t="s">
        <v>265</v>
      </c>
      <c r="C167" s="205" t="s">
        <v>40</v>
      </c>
      <c r="D167" s="205" t="s">
        <v>266</v>
      </c>
      <c r="E167" s="205" t="s">
        <v>64</v>
      </c>
      <c r="F167" s="206" t="s">
        <v>1677</v>
      </c>
      <c r="G167" s="205" t="s">
        <v>163</v>
      </c>
      <c r="H167" s="211">
        <v>5000</v>
      </c>
      <c r="I167" s="234">
        <v>5000</v>
      </c>
      <c r="J167" s="205" t="s">
        <v>179</v>
      </c>
      <c r="K167" s="205" t="s">
        <v>43</v>
      </c>
      <c r="M167">
        <f t="shared" si="0"/>
        <v>1000</v>
      </c>
      <c r="P167" s="57"/>
    </row>
    <row r="168" spans="1:16" x14ac:dyDescent="0.25">
      <c r="A168" s="203"/>
      <c r="B168" s="205"/>
      <c r="C168" s="205"/>
      <c r="D168" s="205"/>
      <c r="E168" s="205"/>
      <c r="F168" s="206"/>
      <c r="G168" s="205"/>
      <c r="H168" s="211"/>
      <c r="I168" s="234"/>
      <c r="J168" s="205"/>
      <c r="K168" s="205"/>
      <c r="M168">
        <f t="shared" si="0"/>
        <v>0</v>
      </c>
      <c r="P168" s="57"/>
    </row>
    <row r="169" spans="1:16" x14ac:dyDescent="0.25">
      <c r="A169" s="203"/>
      <c r="B169" s="205"/>
      <c r="C169" s="205"/>
      <c r="D169" s="205"/>
      <c r="E169" s="205"/>
      <c r="F169" s="206"/>
      <c r="G169" s="205"/>
      <c r="H169" s="211"/>
      <c r="I169" s="234"/>
      <c r="J169" s="205"/>
      <c r="K169" s="205"/>
      <c r="P169" s="57"/>
    </row>
    <row r="170" spans="1:16" x14ac:dyDescent="0.25">
      <c r="A170" s="203"/>
      <c r="B170" s="205"/>
      <c r="C170" s="205"/>
      <c r="D170" s="205"/>
      <c r="E170" s="205"/>
      <c r="F170" s="206"/>
      <c r="G170" s="205"/>
      <c r="H170" s="211"/>
      <c r="I170" s="234"/>
      <c r="J170" s="205"/>
      <c r="K170" s="205"/>
      <c r="P170" s="57"/>
    </row>
    <row r="171" spans="1:16" x14ac:dyDescent="0.25">
      <c r="A171" s="203"/>
      <c r="B171" s="205"/>
      <c r="C171" s="205"/>
      <c r="D171" s="205"/>
      <c r="E171" s="205"/>
      <c r="F171" s="206"/>
      <c r="G171" s="205"/>
      <c r="H171" s="211"/>
      <c r="I171" s="234"/>
      <c r="J171" s="205"/>
      <c r="K171" s="205"/>
      <c r="P171" s="57"/>
    </row>
    <row r="172" spans="1:16" x14ac:dyDescent="0.25">
      <c r="A172" s="203"/>
      <c r="B172" s="205"/>
      <c r="C172" s="205"/>
      <c r="D172" s="205"/>
      <c r="E172" s="205"/>
      <c r="F172" s="206"/>
      <c r="G172" s="205"/>
      <c r="H172" s="211"/>
      <c r="I172" s="234"/>
      <c r="J172" s="205"/>
      <c r="K172" s="205"/>
      <c r="P172" s="57"/>
    </row>
    <row r="173" spans="1:16" x14ac:dyDescent="0.25">
      <c r="A173" s="203"/>
      <c r="B173" s="205"/>
      <c r="C173" s="205"/>
      <c r="D173" s="205"/>
      <c r="E173" s="205"/>
      <c r="F173" s="206"/>
      <c r="G173" s="205"/>
      <c r="H173" s="211"/>
      <c r="I173" s="234"/>
      <c r="J173" s="205"/>
      <c r="K173" s="205"/>
      <c r="P173" s="57"/>
    </row>
    <row r="174" spans="1:16" x14ac:dyDescent="0.25">
      <c r="A174" s="203"/>
      <c r="B174" s="205"/>
      <c r="C174" s="205"/>
      <c r="D174" s="205"/>
      <c r="E174" s="205"/>
      <c r="F174" s="206"/>
      <c r="G174" s="205"/>
      <c r="H174" s="211"/>
      <c r="I174" s="234"/>
      <c r="J174" s="205"/>
      <c r="K174" s="205"/>
      <c r="P174" s="57"/>
    </row>
    <row r="175" spans="1:16" x14ac:dyDescent="0.25">
      <c r="A175" s="203"/>
      <c r="B175" s="205"/>
      <c r="C175" s="205"/>
      <c r="D175" s="205"/>
      <c r="E175" s="205"/>
      <c r="F175" s="206"/>
      <c r="G175" s="205"/>
      <c r="H175" s="211"/>
      <c r="I175" s="234"/>
      <c r="J175" s="205"/>
      <c r="K175" s="205"/>
      <c r="P175" s="57"/>
    </row>
    <row r="176" spans="1:16" x14ac:dyDescent="0.25">
      <c r="A176" s="203"/>
      <c r="B176" s="205"/>
      <c r="C176" s="205"/>
      <c r="D176" s="205"/>
      <c r="E176" s="205"/>
      <c r="F176" s="206"/>
      <c r="G176" s="205"/>
      <c r="H176" s="211"/>
      <c r="I176" s="234"/>
      <c r="J176" s="205"/>
      <c r="K176" s="205"/>
      <c r="P176" s="57"/>
    </row>
    <row r="177" spans="1:16" x14ac:dyDescent="0.25">
      <c r="A177" s="203"/>
      <c r="B177" s="205"/>
      <c r="C177" s="205"/>
      <c r="D177" s="205"/>
      <c r="E177" s="205"/>
      <c r="F177" s="206"/>
      <c r="G177" s="205"/>
      <c r="H177" s="211"/>
      <c r="I177" s="234"/>
      <c r="J177" s="205"/>
      <c r="K177" s="205"/>
      <c r="P177" s="57"/>
    </row>
    <row r="178" spans="1:16" x14ac:dyDescent="0.25">
      <c r="A178" s="203"/>
      <c r="B178" s="208"/>
      <c r="C178" s="205"/>
      <c r="D178" s="205"/>
      <c r="E178" s="205"/>
      <c r="F178" s="206"/>
      <c r="G178" s="205"/>
      <c r="H178" s="211"/>
      <c r="I178" s="234"/>
      <c r="J178" s="205"/>
      <c r="K178" s="205"/>
      <c r="P178" s="25"/>
    </row>
    <row r="179" spans="1:16" x14ac:dyDescent="0.25">
      <c r="A179" s="230"/>
      <c r="B179" s="79"/>
      <c r="C179" s="199"/>
      <c r="D179" s="199"/>
      <c r="E179" s="199"/>
      <c r="F179" s="200"/>
      <c r="G179" s="199"/>
      <c r="H179" s="209"/>
      <c r="I179" s="210"/>
      <c r="J179" s="199"/>
      <c r="K179" s="199"/>
      <c r="M179">
        <f>SUM(M12:M168)</f>
        <v>65231</v>
      </c>
    </row>
    <row r="180" spans="1:16" x14ac:dyDescent="0.25">
      <c r="A180" s="324"/>
    </row>
    <row r="181" spans="1:16" x14ac:dyDescent="0.25">
      <c r="A181" s="324"/>
    </row>
    <row r="182" spans="1:16" x14ac:dyDescent="0.25">
      <c r="I182" s="92" t="s">
        <v>19</v>
      </c>
      <c r="J182" s="26"/>
    </row>
    <row r="183" spans="1:16" ht="16.5" customHeight="1" x14ac:dyDescent="0.25">
      <c r="B183" t="s">
        <v>20</v>
      </c>
      <c r="E183" t="s">
        <v>21</v>
      </c>
      <c r="I183" s="81" t="s">
        <v>114</v>
      </c>
      <c r="J183" s="97">
        <v>147</v>
      </c>
      <c r="P183" s="25"/>
    </row>
    <row r="184" spans="1:16" x14ac:dyDescent="0.25">
      <c r="I184" s="81" t="s">
        <v>115</v>
      </c>
      <c r="J184" s="97"/>
      <c r="K184" s="57"/>
      <c r="P184" s="57"/>
    </row>
    <row r="185" spans="1:16" x14ac:dyDescent="0.25">
      <c r="I185" s="81" t="s">
        <v>165</v>
      </c>
      <c r="J185" s="99">
        <v>325905</v>
      </c>
      <c r="K185" s="57"/>
      <c r="N185" s="25"/>
      <c r="P185" s="25"/>
    </row>
    <row r="186" spans="1:16" x14ac:dyDescent="0.25">
      <c r="I186" s="81" t="s">
        <v>567</v>
      </c>
      <c r="J186" s="99"/>
      <c r="P186" s="57"/>
    </row>
    <row r="187" spans="1:16" x14ac:dyDescent="0.25">
      <c r="B187" s="93" t="s">
        <v>538</v>
      </c>
      <c r="E187" s="533" t="s">
        <v>941</v>
      </c>
      <c r="F187" s="533"/>
      <c r="G187" s="533"/>
      <c r="H187" s="533"/>
      <c r="I187" s="81" t="s">
        <v>116</v>
      </c>
      <c r="J187" s="99">
        <v>6000</v>
      </c>
      <c r="P187" s="57"/>
    </row>
    <row r="188" spans="1:16" x14ac:dyDescent="0.25">
      <c r="B188" t="s">
        <v>183</v>
      </c>
      <c r="E188" s="522" t="s">
        <v>942</v>
      </c>
      <c r="F188" s="522"/>
      <c r="G188" s="522"/>
      <c r="H188" s="522"/>
      <c r="I188" s="81" t="s">
        <v>117</v>
      </c>
      <c r="J188" s="99"/>
      <c r="P188" s="57"/>
    </row>
    <row r="189" spans="1:16" x14ac:dyDescent="0.25">
      <c r="I189" s="81" t="s">
        <v>119</v>
      </c>
      <c r="J189" s="99">
        <v>7650</v>
      </c>
      <c r="P189" s="25"/>
    </row>
    <row r="190" spans="1:16" x14ac:dyDescent="0.25">
      <c r="I190" s="94" t="s">
        <v>113</v>
      </c>
      <c r="J190" s="97"/>
    </row>
    <row r="191" spans="1:16" x14ac:dyDescent="0.25">
      <c r="I191" s="81" t="s">
        <v>23</v>
      </c>
      <c r="J191" s="323"/>
    </row>
    <row r="192" spans="1:16" x14ac:dyDescent="0.25">
      <c r="I192" s="95" t="s">
        <v>111</v>
      </c>
      <c r="J192" s="99"/>
    </row>
    <row r="193" spans="2:10" x14ac:dyDescent="0.25">
      <c r="B193" s="27"/>
      <c r="E193" s="27"/>
      <c r="F193" s="27"/>
      <c r="G193" s="27"/>
      <c r="I193" s="95" t="s">
        <v>112</v>
      </c>
      <c r="J193" s="58"/>
    </row>
    <row r="194" spans="2:10" x14ac:dyDescent="0.25">
      <c r="I194" s="81"/>
      <c r="J194" s="26"/>
    </row>
    <row r="195" spans="2:10" x14ac:dyDescent="0.25">
      <c r="I195" s="81"/>
      <c r="J195" s="26"/>
    </row>
    <row r="196" spans="2:10" x14ac:dyDescent="0.25">
      <c r="I196" s="81"/>
      <c r="J196" s="58"/>
    </row>
    <row r="197" spans="2:10" x14ac:dyDescent="0.25">
      <c r="I197" s="81"/>
      <c r="J197" s="58"/>
    </row>
    <row r="217" spans="12:12" x14ac:dyDescent="0.25">
      <c r="L217" s="25"/>
    </row>
    <row r="240" spans="12:12" x14ac:dyDescent="0.25">
      <c r="L240" s="25"/>
    </row>
    <row r="367" spans="12:12" x14ac:dyDescent="0.25">
      <c r="L367" s="25"/>
    </row>
  </sheetData>
  <mergeCells count="8">
    <mergeCell ref="E187:H187"/>
    <mergeCell ref="E188:H188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2A5E-1793-475F-B3E0-00F00C10D877}">
  <sheetPr>
    <tabColor theme="5"/>
  </sheetPr>
  <dimension ref="A1:O32"/>
  <sheetViews>
    <sheetView view="pageBreakPreview" topLeftCell="A8" zoomScale="96" zoomScaleNormal="100" zoomScaleSheetLayoutView="96" workbookViewId="0">
      <selection activeCell="I16" sqref="I16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6.7109375" customWidth="1"/>
    <col min="9" max="9" width="19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</row>
    <row r="2" spans="1:15" ht="18" x14ac:dyDescent="0.25">
      <c r="A2" s="524" t="s">
        <v>1149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</row>
    <row r="3" spans="1:15" x14ac:dyDescent="0.25">
      <c r="A3" s="183"/>
      <c r="B3" s="1"/>
      <c r="C3" s="28"/>
      <c r="D3" s="1"/>
      <c r="E3" s="1"/>
      <c r="G3" s="1"/>
      <c r="H3" s="28"/>
      <c r="I3" s="25"/>
      <c r="J3" s="29"/>
      <c r="K3" s="526" t="s">
        <v>385</v>
      </c>
      <c r="L3" s="536"/>
    </row>
    <row r="4" spans="1:15" x14ac:dyDescent="0.25">
      <c r="A4" s="183"/>
      <c r="B4" s="1"/>
      <c r="C4" s="28"/>
      <c r="D4" s="1"/>
      <c r="E4" s="1"/>
      <c r="G4" s="1"/>
      <c r="H4" s="28"/>
      <c r="I4" s="25"/>
      <c r="J4" s="29"/>
      <c r="K4" s="31" t="s">
        <v>37</v>
      </c>
      <c r="L4" s="100">
        <v>2</v>
      </c>
    </row>
    <row r="5" spans="1:15" x14ac:dyDescent="0.25">
      <c r="A5" s="183"/>
      <c r="B5" s="1"/>
      <c r="C5" s="28"/>
      <c r="D5" s="1"/>
      <c r="E5" s="1"/>
      <c r="G5" s="1"/>
      <c r="H5" s="28"/>
      <c r="I5" s="25"/>
      <c r="J5" s="29"/>
      <c r="K5" s="31" t="s">
        <v>38</v>
      </c>
      <c r="L5" s="100">
        <v>2</v>
      </c>
    </row>
    <row r="6" spans="1:15" ht="18" x14ac:dyDescent="0.25">
      <c r="A6" s="528" t="s">
        <v>122</v>
      </c>
      <c r="B6" s="528"/>
      <c r="C6" s="32"/>
      <c r="D6" s="1"/>
      <c r="E6" s="4"/>
      <c r="F6" s="2"/>
      <c r="G6" s="1"/>
      <c r="H6" s="28"/>
      <c r="I6" s="25"/>
      <c r="J6" s="29"/>
      <c r="K6" s="5" t="s">
        <v>39</v>
      </c>
      <c r="L6" s="33"/>
    </row>
    <row r="7" spans="1:15" x14ac:dyDescent="0.25">
      <c r="A7" s="6"/>
      <c r="B7" s="7"/>
      <c r="C7" s="34" t="s">
        <v>24</v>
      </c>
      <c r="D7" s="8"/>
      <c r="E7" s="8"/>
      <c r="F7" s="35" t="s">
        <v>25</v>
      </c>
      <c r="G7" s="34" t="s">
        <v>26</v>
      </c>
      <c r="H7" s="529" t="s">
        <v>27</v>
      </c>
      <c r="I7" s="530"/>
      <c r="J7" s="36"/>
      <c r="K7" s="531" t="s">
        <v>2</v>
      </c>
      <c r="L7" s="532"/>
    </row>
    <row r="8" spans="1:15" x14ac:dyDescent="0.25">
      <c r="A8" s="519" t="s">
        <v>28</v>
      </c>
      <c r="B8" s="520"/>
      <c r="C8" s="35" t="s">
        <v>29</v>
      </c>
      <c r="D8" s="184" t="s">
        <v>5</v>
      </c>
      <c r="E8" s="9" t="s">
        <v>6</v>
      </c>
      <c r="F8" s="35" t="s">
        <v>30</v>
      </c>
      <c r="G8" s="37" t="s">
        <v>31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7"/>
      <c r="B9" s="14"/>
      <c r="C9" s="35" t="s">
        <v>32</v>
      </c>
      <c r="D9" s="15"/>
      <c r="E9" s="14"/>
      <c r="F9" s="35" t="s">
        <v>33</v>
      </c>
      <c r="G9" s="37" t="s">
        <v>34</v>
      </c>
      <c r="H9" s="40" t="s">
        <v>11</v>
      </c>
      <c r="I9" s="39" t="s">
        <v>12</v>
      </c>
      <c r="J9" s="41"/>
      <c r="K9" s="184" t="s">
        <v>13</v>
      </c>
      <c r="L9" s="184" t="s">
        <v>14</v>
      </c>
    </row>
    <row r="10" spans="1:15" x14ac:dyDescent="0.25">
      <c r="A10" s="18"/>
      <c r="B10" s="19"/>
      <c r="C10" s="42"/>
      <c r="D10" s="20"/>
      <c r="E10" s="20"/>
      <c r="F10" s="43" t="s">
        <v>35</v>
      </c>
      <c r="G10" s="22"/>
      <c r="H10" s="44"/>
      <c r="I10" s="45" t="s">
        <v>36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ht="25.5" customHeight="1" x14ac:dyDescent="0.25">
      <c r="A12" s="219">
        <v>2</v>
      </c>
      <c r="B12" s="220" t="s">
        <v>1150</v>
      </c>
      <c r="C12" s="49"/>
      <c r="D12" s="220" t="s">
        <v>1151</v>
      </c>
      <c r="E12" s="220" t="s">
        <v>80</v>
      </c>
      <c r="F12" s="223" t="s">
        <v>1152</v>
      </c>
      <c r="G12" s="220" t="s">
        <v>1153</v>
      </c>
      <c r="H12" s="325" t="s">
        <v>1189</v>
      </c>
      <c r="I12" s="221">
        <v>1200</v>
      </c>
      <c r="J12" s="194" t="s">
        <v>255</v>
      </c>
      <c r="K12" s="79"/>
      <c r="L12" s="145" t="s">
        <v>43</v>
      </c>
    </row>
    <row r="13" spans="1:15" ht="34.5" customHeight="1" x14ac:dyDescent="0.25">
      <c r="A13" s="336">
        <v>7</v>
      </c>
      <c r="B13" s="220" t="s">
        <v>1186</v>
      </c>
      <c r="C13" s="49"/>
      <c r="D13" s="220"/>
      <c r="E13" s="220" t="s">
        <v>1187</v>
      </c>
      <c r="F13" s="231"/>
      <c r="G13" s="220" t="s">
        <v>1188</v>
      </c>
      <c r="H13" s="325" t="s">
        <v>1189</v>
      </c>
      <c r="I13" s="221">
        <v>20000</v>
      </c>
      <c r="J13" s="194" t="s">
        <v>255</v>
      </c>
      <c r="K13" s="79"/>
      <c r="L13" s="145" t="s">
        <v>43</v>
      </c>
    </row>
    <row r="14" spans="1:15" ht="21" customHeight="1" x14ac:dyDescent="0.25">
      <c r="A14" s="343">
        <v>9</v>
      </c>
      <c r="B14" s="238" t="s">
        <v>1203</v>
      </c>
      <c r="C14" s="190"/>
      <c r="D14" s="239"/>
      <c r="E14" s="145" t="s">
        <v>65</v>
      </c>
      <c r="F14" s="240" t="s">
        <v>1204</v>
      </c>
      <c r="G14" s="337" t="s">
        <v>1205</v>
      </c>
      <c r="H14" s="192" t="s">
        <v>42</v>
      </c>
      <c r="I14" s="278">
        <v>100</v>
      </c>
      <c r="J14" s="194" t="s">
        <v>255</v>
      </c>
      <c r="K14" s="79"/>
      <c r="L14" s="145" t="s">
        <v>43</v>
      </c>
      <c r="M14" s="132"/>
    </row>
    <row r="15" spans="1:15" ht="25.5" customHeight="1" x14ac:dyDescent="0.25">
      <c r="A15" s="300">
        <v>21</v>
      </c>
      <c r="B15" s="238" t="s">
        <v>1363</v>
      </c>
      <c r="C15" s="190"/>
      <c r="D15" s="239"/>
      <c r="E15" s="145" t="s">
        <v>1364</v>
      </c>
      <c r="F15" s="191" t="s">
        <v>1365</v>
      </c>
      <c r="G15" s="145" t="s">
        <v>1366</v>
      </c>
      <c r="H15" s="325" t="s">
        <v>1189</v>
      </c>
      <c r="I15" s="242">
        <v>4000</v>
      </c>
      <c r="J15" s="194" t="s">
        <v>255</v>
      </c>
      <c r="K15" s="79"/>
      <c r="L15" s="145" t="s">
        <v>43</v>
      </c>
      <c r="M15" s="132"/>
      <c r="O15" s="57"/>
    </row>
    <row r="16" spans="1:15" ht="30.75" customHeight="1" x14ac:dyDescent="0.25">
      <c r="A16" s="300">
        <v>21</v>
      </c>
      <c r="B16" s="238" t="s">
        <v>1363</v>
      </c>
      <c r="C16" s="190"/>
      <c r="D16" s="239"/>
      <c r="E16" s="145" t="s">
        <v>1364</v>
      </c>
      <c r="F16" s="191" t="s">
        <v>1365</v>
      </c>
      <c r="G16" s="145" t="s">
        <v>1366</v>
      </c>
      <c r="H16" s="344" t="s">
        <v>1367</v>
      </c>
      <c r="I16" s="242">
        <v>400</v>
      </c>
      <c r="J16" s="194" t="s">
        <v>255</v>
      </c>
      <c r="K16" s="80"/>
      <c r="L16" s="282" t="s">
        <v>43</v>
      </c>
      <c r="O16" s="57"/>
    </row>
    <row r="17" spans="1:15" ht="16.5" customHeight="1" x14ac:dyDescent="0.25">
      <c r="A17" s="222"/>
      <c r="B17" s="179"/>
      <c r="C17" s="79"/>
      <c r="D17" s="79"/>
      <c r="E17" s="79"/>
      <c r="F17" s="223"/>
      <c r="G17" s="79"/>
      <c r="H17" s="224"/>
      <c r="I17" s="195"/>
      <c r="J17" s="225"/>
      <c r="K17" s="79"/>
      <c r="L17" s="79"/>
      <c r="O17" s="57"/>
    </row>
    <row r="18" spans="1:15" x14ac:dyDescent="0.25">
      <c r="A18" s="222"/>
      <c r="B18" s="79"/>
      <c r="C18" s="190"/>
      <c r="D18" s="79"/>
      <c r="E18" s="79"/>
      <c r="F18" s="223"/>
      <c r="G18" s="79"/>
      <c r="H18" s="107"/>
      <c r="I18" s="195"/>
      <c r="J18" s="190"/>
      <c r="K18" s="79"/>
      <c r="L18" s="79"/>
      <c r="O18" s="57"/>
    </row>
    <row r="19" spans="1:15" x14ac:dyDescent="0.25">
      <c r="I19" s="26"/>
      <c r="J19" s="26"/>
    </row>
    <row r="20" spans="1:15" x14ac:dyDescent="0.25">
      <c r="I20" s="51" t="s">
        <v>19</v>
      </c>
      <c r="J20" s="26"/>
    </row>
    <row r="21" spans="1:15" x14ac:dyDescent="0.25">
      <c r="I21" s="26" t="s">
        <v>114</v>
      </c>
      <c r="J21" s="26"/>
    </row>
    <row r="22" spans="1:15" x14ac:dyDescent="0.25">
      <c r="B22" t="s">
        <v>20</v>
      </c>
      <c r="E22" t="s">
        <v>21</v>
      </c>
      <c r="I22" s="26" t="s">
        <v>115</v>
      </c>
      <c r="J22" s="99">
        <v>4</v>
      </c>
    </row>
    <row r="23" spans="1:15" x14ac:dyDescent="0.25">
      <c r="I23" s="26" t="s">
        <v>184</v>
      </c>
      <c r="J23" s="99">
        <v>100</v>
      </c>
    </row>
    <row r="24" spans="1:15" x14ac:dyDescent="0.25">
      <c r="I24" s="26" t="s">
        <v>589</v>
      </c>
      <c r="J24" s="99">
        <v>25200</v>
      </c>
    </row>
    <row r="25" spans="1:15" x14ac:dyDescent="0.25">
      <c r="I25" s="26" t="s">
        <v>1368</v>
      </c>
      <c r="J25" s="99">
        <v>400</v>
      </c>
    </row>
    <row r="26" spans="1:15" x14ac:dyDescent="0.25">
      <c r="I26" s="26" t="s">
        <v>116</v>
      </c>
      <c r="J26" s="99"/>
    </row>
    <row r="27" spans="1:15" x14ac:dyDescent="0.25">
      <c r="I27" s="26" t="s">
        <v>118</v>
      </c>
      <c r="J27" s="97"/>
    </row>
    <row r="28" spans="1:15" x14ac:dyDescent="0.25">
      <c r="B28" s="27" t="s">
        <v>538</v>
      </c>
      <c r="E28" s="521" t="s">
        <v>941</v>
      </c>
      <c r="F28" s="521"/>
      <c r="G28" s="521"/>
      <c r="H28" s="521"/>
      <c r="I28" s="26" t="s">
        <v>119</v>
      </c>
      <c r="J28" s="99"/>
      <c r="L28" s="57"/>
    </row>
    <row r="29" spans="1:15" x14ac:dyDescent="0.25">
      <c r="B29" t="s">
        <v>183</v>
      </c>
      <c r="E29" s="522" t="s">
        <v>942</v>
      </c>
      <c r="F29" s="522"/>
      <c r="G29" s="522"/>
      <c r="H29" s="522"/>
      <c r="I29" s="26" t="s">
        <v>120</v>
      </c>
      <c r="J29" s="97"/>
      <c r="L29" s="57"/>
    </row>
    <row r="30" spans="1:15" x14ac:dyDescent="0.25">
      <c r="I30" s="26" t="s">
        <v>23</v>
      </c>
      <c r="J30" s="98"/>
    </row>
    <row r="31" spans="1:15" x14ac:dyDescent="0.25">
      <c r="I31" s="3" t="s">
        <v>121</v>
      </c>
      <c r="J31" s="99"/>
    </row>
    <row r="32" spans="1:15" x14ac:dyDescent="0.25">
      <c r="I32" s="3" t="s">
        <v>91</v>
      </c>
      <c r="J32" s="99"/>
    </row>
  </sheetData>
  <mergeCells count="9">
    <mergeCell ref="A8:B8"/>
    <mergeCell ref="E28:H28"/>
    <mergeCell ref="E29:H29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7699-AB7D-428D-B59C-9F4383518DA3}">
  <sheetPr>
    <tabColor theme="5"/>
  </sheetPr>
  <dimension ref="A1:Q311"/>
  <sheetViews>
    <sheetView view="pageBreakPreview" topLeftCell="A113" zoomScale="106" zoomScaleNormal="100" zoomScaleSheetLayoutView="106" workbookViewId="0">
      <selection activeCell="P5" sqref="P5"/>
    </sheetView>
  </sheetViews>
  <sheetFormatPr defaultRowHeight="15" x14ac:dyDescent="0.25"/>
  <cols>
    <col min="1" max="1" width="4.7109375" style="183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91" customWidth="1"/>
    <col min="10" max="10" width="9.5703125" customWidth="1"/>
    <col min="11" max="11" width="17.85546875" customWidth="1"/>
    <col min="15" max="15" width="11.140625" customWidth="1"/>
    <col min="16" max="16" width="20" customWidth="1"/>
  </cols>
  <sheetData>
    <row r="1" spans="1:17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</row>
    <row r="2" spans="1:17" ht="18" x14ac:dyDescent="0.25">
      <c r="A2" s="524" t="s">
        <v>1149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</row>
    <row r="3" spans="1:17" x14ac:dyDescent="0.25">
      <c r="B3" s="1"/>
      <c r="C3" s="3"/>
      <c r="D3" s="1"/>
      <c r="E3" s="1"/>
      <c r="G3" s="3"/>
      <c r="H3" s="67"/>
      <c r="I3" s="81"/>
      <c r="J3" s="82" t="s">
        <v>1404</v>
      </c>
      <c r="K3" s="83"/>
    </row>
    <row r="4" spans="1:17" x14ac:dyDescent="0.25">
      <c r="B4" s="1"/>
      <c r="C4" s="3"/>
      <c r="D4" s="1"/>
      <c r="E4" s="1"/>
      <c r="G4" s="3"/>
      <c r="H4" s="67"/>
      <c r="I4" s="84"/>
      <c r="J4" s="76" t="s">
        <v>93</v>
      </c>
      <c r="K4" s="96">
        <v>85</v>
      </c>
    </row>
    <row r="5" spans="1:17" x14ac:dyDescent="0.25">
      <c r="B5" s="1"/>
      <c r="C5" s="3"/>
      <c r="D5" s="1"/>
      <c r="E5" s="1"/>
      <c r="G5" s="3"/>
      <c r="H5" s="67"/>
      <c r="I5" s="84"/>
      <c r="J5" s="76" t="s">
        <v>95</v>
      </c>
      <c r="K5" s="96">
        <v>20</v>
      </c>
      <c r="P5" s="448">
        <f>SUM(I14:I77,I81:I104,I106:I117)</f>
        <v>61820</v>
      </c>
    </row>
    <row r="6" spans="1:17" x14ac:dyDescent="0.25">
      <c r="A6" s="534" t="s">
        <v>123</v>
      </c>
      <c r="B6" s="534"/>
      <c r="C6" s="3"/>
      <c r="D6" s="1"/>
      <c r="E6" s="4"/>
      <c r="G6" s="3"/>
      <c r="H6" s="67"/>
      <c r="I6" s="81"/>
      <c r="J6" s="80" t="s">
        <v>383</v>
      </c>
      <c r="K6" s="85"/>
    </row>
    <row r="7" spans="1:17" x14ac:dyDescent="0.25">
      <c r="A7" s="6"/>
      <c r="B7" s="7"/>
      <c r="C7" s="64"/>
      <c r="D7" s="8"/>
      <c r="E7" s="8"/>
      <c r="F7" s="529" t="s">
        <v>1</v>
      </c>
      <c r="G7" s="535"/>
      <c r="H7" s="530"/>
      <c r="I7" s="86"/>
      <c r="J7" s="531" t="s">
        <v>2</v>
      </c>
      <c r="K7" s="532"/>
      <c r="P7" s="25"/>
    </row>
    <row r="8" spans="1:17" x14ac:dyDescent="0.25">
      <c r="A8" s="519" t="s">
        <v>3</v>
      </c>
      <c r="B8" s="520"/>
      <c r="C8" s="17" t="s">
        <v>4</v>
      </c>
      <c r="D8" s="184" t="s">
        <v>5</v>
      </c>
      <c r="E8" s="9" t="s">
        <v>6</v>
      </c>
      <c r="F8" s="10" t="s">
        <v>7</v>
      </c>
      <c r="G8" s="65"/>
      <c r="H8" s="11" t="s">
        <v>8</v>
      </c>
      <c r="I8" s="60" t="s">
        <v>9</v>
      </c>
      <c r="J8" s="77"/>
      <c r="K8" s="13"/>
    </row>
    <row r="9" spans="1:17" x14ac:dyDescent="0.25">
      <c r="A9" s="87"/>
      <c r="B9" s="14"/>
      <c r="C9" s="65"/>
      <c r="D9" s="15"/>
      <c r="E9" s="14"/>
      <c r="F9" s="16" t="s">
        <v>10</v>
      </c>
      <c r="G9" s="17" t="s">
        <v>11</v>
      </c>
      <c r="H9" s="11" t="s">
        <v>12</v>
      </c>
      <c r="I9" s="88"/>
      <c r="J9" s="184" t="s">
        <v>13</v>
      </c>
      <c r="K9" s="184" t="s">
        <v>14</v>
      </c>
      <c r="Q9" s="232"/>
    </row>
    <row r="10" spans="1:17" x14ac:dyDescent="0.25">
      <c r="A10" s="18"/>
      <c r="B10" s="19"/>
      <c r="C10" s="66"/>
      <c r="D10" s="20"/>
      <c r="E10" s="20"/>
      <c r="F10" s="21"/>
      <c r="G10" s="68"/>
      <c r="H10" s="69" t="s">
        <v>15</v>
      </c>
      <c r="I10" s="89"/>
      <c r="J10" s="21"/>
      <c r="K10" s="22" t="s">
        <v>16</v>
      </c>
      <c r="P10" s="232"/>
      <c r="Q10" s="232"/>
    </row>
    <row r="11" spans="1:17" x14ac:dyDescent="0.25">
      <c r="A11" s="47" t="s">
        <v>17</v>
      </c>
      <c r="B11" s="23"/>
      <c r="C11" s="23"/>
      <c r="D11" s="23"/>
      <c r="E11" s="23"/>
      <c r="F11" s="23"/>
      <c r="G11" s="23"/>
      <c r="H11" s="23"/>
      <c r="I11" s="61"/>
      <c r="J11" s="23"/>
      <c r="K11" s="23"/>
      <c r="P11" s="232"/>
      <c r="Q11" s="232"/>
    </row>
    <row r="12" spans="1:17" x14ac:dyDescent="0.25">
      <c r="A12" s="203">
        <v>2</v>
      </c>
      <c r="B12" s="205" t="s">
        <v>1154</v>
      </c>
      <c r="C12" s="205" t="s">
        <v>48</v>
      </c>
      <c r="D12" s="205" t="s">
        <v>1155</v>
      </c>
      <c r="E12" s="205" t="s">
        <v>51</v>
      </c>
      <c r="F12" s="206" t="s">
        <v>1156</v>
      </c>
      <c r="G12" s="208" t="s">
        <v>42</v>
      </c>
      <c r="H12" s="207">
        <v>40</v>
      </c>
      <c r="I12" s="204" t="s">
        <v>255</v>
      </c>
      <c r="J12" s="205" t="s">
        <v>1161</v>
      </c>
      <c r="K12" s="205" t="s">
        <v>43</v>
      </c>
      <c r="M12">
        <f t="shared" ref="M12:M121" si="0">H12/5</f>
        <v>8</v>
      </c>
      <c r="O12" s="25" t="s">
        <v>1201</v>
      </c>
      <c r="P12" s="232"/>
    </row>
    <row r="13" spans="1:17" x14ac:dyDescent="0.25">
      <c r="A13" s="203">
        <v>5</v>
      </c>
      <c r="B13" s="205" t="s">
        <v>1157</v>
      </c>
      <c r="C13" s="205" t="s">
        <v>40</v>
      </c>
      <c r="D13" s="205" t="s">
        <v>1158</v>
      </c>
      <c r="E13" s="205" t="s">
        <v>61</v>
      </c>
      <c r="F13" s="206" t="s">
        <v>1159</v>
      </c>
      <c r="G13" s="208" t="s">
        <v>42</v>
      </c>
      <c r="H13" s="207">
        <v>35</v>
      </c>
      <c r="I13" s="204" t="s">
        <v>255</v>
      </c>
      <c r="J13" s="205" t="s">
        <v>1161</v>
      </c>
      <c r="K13" s="205" t="s">
        <v>43</v>
      </c>
      <c r="M13">
        <f t="shared" si="0"/>
        <v>7</v>
      </c>
      <c r="O13" s="25" t="s">
        <v>42</v>
      </c>
      <c r="P13" s="232">
        <f>SUM(H12:H30)</f>
        <v>56475</v>
      </c>
    </row>
    <row r="14" spans="1:17" x14ac:dyDescent="0.25">
      <c r="A14" s="203">
        <v>6</v>
      </c>
      <c r="B14" s="205" t="s">
        <v>475</v>
      </c>
      <c r="C14" s="205" t="s">
        <v>40</v>
      </c>
      <c r="D14" s="205" t="s">
        <v>63</v>
      </c>
      <c r="E14" s="205" t="s">
        <v>88</v>
      </c>
      <c r="F14" s="206"/>
      <c r="G14" s="208" t="s">
        <v>42</v>
      </c>
      <c r="H14" s="207">
        <v>1000</v>
      </c>
      <c r="I14" s="204">
        <v>300</v>
      </c>
      <c r="J14" s="205" t="s">
        <v>179</v>
      </c>
      <c r="K14" s="205" t="s">
        <v>43</v>
      </c>
      <c r="M14">
        <f t="shared" si="0"/>
        <v>200</v>
      </c>
      <c r="O14" s="25"/>
      <c r="P14" s="232"/>
    </row>
    <row r="15" spans="1:17" x14ac:dyDescent="0.25">
      <c r="A15" s="203">
        <v>6</v>
      </c>
      <c r="B15" s="205" t="s">
        <v>1160</v>
      </c>
      <c r="C15" s="205" t="s">
        <v>48</v>
      </c>
      <c r="D15" s="205" t="s">
        <v>372</v>
      </c>
      <c r="E15" s="205" t="s">
        <v>44</v>
      </c>
      <c r="F15" s="206" t="s">
        <v>1162</v>
      </c>
      <c r="G15" s="208" t="s">
        <v>42</v>
      </c>
      <c r="H15" s="207">
        <v>1500</v>
      </c>
      <c r="I15" s="204">
        <v>450</v>
      </c>
      <c r="J15" s="205" t="s">
        <v>179</v>
      </c>
      <c r="K15" s="205" t="s">
        <v>43</v>
      </c>
      <c r="M15">
        <f t="shared" si="0"/>
        <v>300</v>
      </c>
      <c r="O15" s="25"/>
      <c r="P15" s="232"/>
    </row>
    <row r="16" spans="1:17" x14ac:dyDescent="0.25">
      <c r="A16" s="203">
        <v>6</v>
      </c>
      <c r="B16" s="205" t="s">
        <v>1163</v>
      </c>
      <c r="C16" s="205" t="s">
        <v>40</v>
      </c>
      <c r="D16" s="205" t="s">
        <v>1164</v>
      </c>
      <c r="E16" s="205" t="s">
        <v>44</v>
      </c>
      <c r="F16" s="206" t="s">
        <v>1165</v>
      </c>
      <c r="G16" s="208" t="s">
        <v>42</v>
      </c>
      <c r="H16" s="207">
        <v>4000</v>
      </c>
      <c r="I16" s="204">
        <v>800</v>
      </c>
      <c r="J16" s="205" t="s">
        <v>179</v>
      </c>
      <c r="K16" s="205" t="s">
        <v>43</v>
      </c>
      <c r="M16">
        <f t="shared" si="0"/>
        <v>800</v>
      </c>
      <c r="O16" s="25"/>
      <c r="P16" s="232"/>
    </row>
    <row r="17" spans="1:17" x14ac:dyDescent="0.25">
      <c r="A17" s="203">
        <v>6</v>
      </c>
      <c r="B17" s="205" t="s">
        <v>1166</v>
      </c>
      <c r="C17" s="205" t="s">
        <v>40</v>
      </c>
      <c r="D17" s="205" t="s">
        <v>931</v>
      </c>
      <c r="E17" s="205" t="s">
        <v>44</v>
      </c>
      <c r="F17" s="206" t="s">
        <v>1167</v>
      </c>
      <c r="G17" s="208" t="s">
        <v>42</v>
      </c>
      <c r="H17" s="207">
        <v>5000</v>
      </c>
      <c r="I17" s="204">
        <v>1500</v>
      </c>
      <c r="J17" s="205" t="s">
        <v>179</v>
      </c>
      <c r="K17" s="205" t="s">
        <v>43</v>
      </c>
      <c r="M17">
        <f t="shared" si="0"/>
        <v>1000</v>
      </c>
      <c r="O17" s="57"/>
      <c r="P17" s="232"/>
    </row>
    <row r="18" spans="1:17" x14ac:dyDescent="0.25">
      <c r="A18" s="203">
        <v>6</v>
      </c>
      <c r="B18" s="205" t="s">
        <v>1168</v>
      </c>
      <c r="C18" s="205" t="s">
        <v>40</v>
      </c>
      <c r="D18" s="205" t="s">
        <v>1169</v>
      </c>
      <c r="E18" s="205" t="s">
        <v>67</v>
      </c>
      <c r="F18" s="206" t="s">
        <v>1170</v>
      </c>
      <c r="G18" s="208" t="s">
        <v>42</v>
      </c>
      <c r="H18" s="207">
        <v>7000</v>
      </c>
      <c r="I18" s="204">
        <v>2100</v>
      </c>
      <c r="J18" s="205" t="s">
        <v>179</v>
      </c>
      <c r="K18" s="205" t="s">
        <v>43</v>
      </c>
      <c r="M18">
        <f t="shared" si="0"/>
        <v>1400</v>
      </c>
      <c r="P18" s="233"/>
      <c r="Q18" s="25"/>
    </row>
    <row r="19" spans="1:17" x14ac:dyDescent="0.25">
      <c r="A19" s="203">
        <v>6</v>
      </c>
      <c r="B19" s="205" t="s">
        <v>762</v>
      </c>
      <c r="C19" s="205" t="s">
        <v>40</v>
      </c>
      <c r="D19" s="205" t="s">
        <v>763</v>
      </c>
      <c r="E19" s="205" t="s">
        <v>57</v>
      </c>
      <c r="F19" s="206" t="s">
        <v>764</v>
      </c>
      <c r="G19" s="208" t="s">
        <v>42</v>
      </c>
      <c r="H19" s="207">
        <v>2000</v>
      </c>
      <c r="I19" s="204">
        <v>600</v>
      </c>
      <c r="J19" s="205" t="s">
        <v>179</v>
      </c>
      <c r="K19" s="205" t="s">
        <v>43</v>
      </c>
      <c r="M19">
        <f t="shared" si="0"/>
        <v>400</v>
      </c>
      <c r="O19" s="25"/>
      <c r="P19" s="232"/>
    </row>
    <row r="20" spans="1:17" x14ac:dyDescent="0.25">
      <c r="A20" s="203">
        <v>6</v>
      </c>
      <c r="B20" s="205" t="s">
        <v>1171</v>
      </c>
      <c r="C20" s="205" t="s">
        <v>40</v>
      </c>
      <c r="D20" s="205" t="s">
        <v>142</v>
      </c>
      <c r="E20" s="205" t="s">
        <v>57</v>
      </c>
      <c r="F20" s="206" t="s">
        <v>1172</v>
      </c>
      <c r="G20" s="208" t="s">
        <v>42</v>
      </c>
      <c r="H20" s="207">
        <v>1500</v>
      </c>
      <c r="I20" s="204">
        <v>450</v>
      </c>
      <c r="J20" s="205" t="s">
        <v>179</v>
      </c>
      <c r="K20" s="205" t="s">
        <v>43</v>
      </c>
      <c r="M20">
        <f t="shared" si="0"/>
        <v>300</v>
      </c>
      <c r="P20" s="232"/>
    </row>
    <row r="21" spans="1:17" x14ac:dyDescent="0.25">
      <c r="A21" s="203">
        <v>6</v>
      </c>
      <c r="B21" s="205" t="s">
        <v>1173</v>
      </c>
      <c r="C21" s="205" t="s">
        <v>40</v>
      </c>
      <c r="D21" s="205" t="s">
        <v>1174</v>
      </c>
      <c r="E21" s="205" t="s">
        <v>47</v>
      </c>
      <c r="F21" s="206"/>
      <c r="G21" s="208" t="s">
        <v>42</v>
      </c>
      <c r="H21" s="207">
        <v>400</v>
      </c>
      <c r="I21" s="204">
        <v>80</v>
      </c>
      <c r="J21" s="205" t="s">
        <v>179</v>
      </c>
      <c r="K21" s="205" t="s">
        <v>43</v>
      </c>
      <c r="M21">
        <f t="shared" si="0"/>
        <v>80</v>
      </c>
      <c r="P21" s="232"/>
    </row>
    <row r="22" spans="1:17" x14ac:dyDescent="0.25">
      <c r="A22" s="203">
        <v>6</v>
      </c>
      <c r="B22" s="205" t="s">
        <v>1175</v>
      </c>
      <c r="C22" s="205" t="s">
        <v>40</v>
      </c>
      <c r="D22" s="205" t="s">
        <v>1176</v>
      </c>
      <c r="E22" s="205" t="s">
        <v>44</v>
      </c>
      <c r="F22" s="206" t="s">
        <v>1177</v>
      </c>
      <c r="G22" s="208" t="s">
        <v>42</v>
      </c>
      <c r="H22" s="207">
        <v>6000</v>
      </c>
      <c r="I22" s="204">
        <v>1200</v>
      </c>
      <c r="J22" s="205" t="s">
        <v>179</v>
      </c>
      <c r="K22" s="205" t="s">
        <v>43</v>
      </c>
      <c r="M22">
        <f t="shared" si="0"/>
        <v>1200</v>
      </c>
      <c r="P22" s="232"/>
    </row>
    <row r="23" spans="1:17" x14ac:dyDescent="0.25">
      <c r="A23" s="203">
        <v>6</v>
      </c>
      <c r="B23" s="205" t="s">
        <v>1178</v>
      </c>
      <c r="C23" s="205" t="s">
        <v>40</v>
      </c>
      <c r="D23" s="205" t="s">
        <v>1179</v>
      </c>
      <c r="E23" s="205" t="s">
        <v>52</v>
      </c>
      <c r="F23" s="206" t="s">
        <v>1180</v>
      </c>
      <c r="G23" s="208" t="s">
        <v>42</v>
      </c>
      <c r="H23" s="207">
        <v>100</v>
      </c>
      <c r="I23" s="204">
        <v>20</v>
      </c>
      <c r="J23" s="205" t="s">
        <v>179</v>
      </c>
      <c r="K23" s="205" t="s">
        <v>43</v>
      </c>
      <c r="M23">
        <f t="shared" si="0"/>
        <v>20</v>
      </c>
      <c r="P23" s="233"/>
    </row>
    <row r="24" spans="1:17" x14ac:dyDescent="0.25">
      <c r="A24" s="203">
        <v>7</v>
      </c>
      <c r="B24" s="205" t="s">
        <v>1181</v>
      </c>
      <c r="C24" s="205" t="s">
        <v>40</v>
      </c>
      <c r="D24" s="205" t="s">
        <v>1054</v>
      </c>
      <c r="E24" s="205" t="s">
        <v>52</v>
      </c>
      <c r="F24" s="206" t="s">
        <v>1182</v>
      </c>
      <c r="G24" s="208" t="s">
        <v>42</v>
      </c>
      <c r="H24" s="207">
        <v>2500</v>
      </c>
      <c r="I24" s="204">
        <v>500</v>
      </c>
      <c r="J24" s="205" t="s">
        <v>179</v>
      </c>
      <c r="K24" s="205" t="s">
        <v>43</v>
      </c>
      <c r="M24">
        <f t="shared" si="0"/>
        <v>500</v>
      </c>
      <c r="P24" s="233"/>
    </row>
    <row r="25" spans="1:17" x14ac:dyDescent="0.25">
      <c r="A25" s="203">
        <v>7</v>
      </c>
      <c r="B25" s="205" t="s">
        <v>1183</v>
      </c>
      <c r="C25" s="205" t="s">
        <v>48</v>
      </c>
      <c r="D25" s="205" t="s">
        <v>1184</v>
      </c>
      <c r="E25" s="205" t="s">
        <v>78</v>
      </c>
      <c r="F25" s="206" t="s">
        <v>1185</v>
      </c>
      <c r="G25" s="208" t="s">
        <v>42</v>
      </c>
      <c r="H25" s="207">
        <v>200</v>
      </c>
      <c r="I25" s="204">
        <v>40</v>
      </c>
      <c r="J25" s="205" t="s">
        <v>179</v>
      </c>
      <c r="K25" s="205" t="s">
        <v>43</v>
      </c>
      <c r="M25">
        <f t="shared" si="0"/>
        <v>40</v>
      </c>
      <c r="P25" s="25"/>
      <c r="Q25" s="25"/>
    </row>
    <row r="26" spans="1:17" x14ac:dyDescent="0.25">
      <c r="A26" s="203">
        <v>7</v>
      </c>
      <c r="B26" s="205" t="s">
        <v>1190</v>
      </c>
      <c r="C26" s="205" t="s">
        <v>40</v>
      </c>
      <c r="D26" s="205" t="s">
        <v>725</v>
      </c>
      <c r="E26" s="205" t="s">
        <v>45</v>
      </c>
      <c r="F26" s="206" t="s">
        <v>1191</v>
      </c>
      <c r="G26" s="208" t="s">
        <v>42</v>
      </c>
      <c r="H26" s="207">
        <v>200</v>
      </c>
      <c r="I26" s="204">
        <v>40</v>
      </c>
      <c r="J26" s="205" t="s">
        <v>179</v>
      </c>
      <c r="K26" s="205" t="s">
        <v>43</v>
      </c>
      <c r="M26">
        <f t="shared" si="0"/>
        <v>40</v>
      </c>
      <c r="P26" s="25"/>
      <c r="Q26" s="25"/>
    </row>
    <row r="27" spans="1:17" x14ac:dyDescent="0.25">
      <c r="A27" s="203">
        <v>7</v>
      </c>
      <c r="B27" s="205" t="s">
        <v>1192</v>
      </c>
      <c r="C27" s="205" t="s">
        <v>40</v>
      </c>
      <c r="D27" s="205" t="s">
        <v>1193</v>
      </c>
      <c r="E27" s="205" t="s">
        <v>75</v>
      </c>
      <c r="F27" s="206" t="s">
        <v>1194</v>
      </c>
      <c r="G27" s="208" t="s">
        <v>42</v>
      </c>
      <c r="H27" s="207">
        <v>3000</v>
      </c>
      <c r="I27" s="204">
        <v>600</v>
      </c>
      <c r="J27" s="205" t="s">
        <v>179</v>
      </c>
      <c r="K27" s="205" t="s">
        <v>43</v>
      </c>
      <c r="M27">
        <f t="shared" si="0"/>
        <v>600</v>
      </c>
      <c r="P27" s="25"/>
    </row>
    <row r="28" spans="1:17" x14ac:dyDescent="0.25">
      <c r="A28" s="203">
        <v>7</v>
      </c>
      <c r="B28" s="205" t="s">
        <v>1195</v>
      </c>
      <c r="C28" s="205" t="s">
        <v>40</v>
      </c>
      <c r="D28" s="205" t="s">
        <v>1196</v>
      </c>
      <c r="E28" s="205" t="s">
        <v>71</v>
      </c>
      <c r="F28" s="206" t="s">
        <v>1197</v>
      </c>
      <c r="G28" s="208" t="s">
        <v>42</v>
      </c>
      <c r="H28" s="207">
        <v>6000</v>
      </c>
      <c r="I28" s="204">
        <v>1200</v>
      </c>
      <c r="J28" s="205" t="s">
        <v>179</v>
      </c>
      <c r="K28" s="205" t="s">
        <v>43</v>
      </c>
      <c r="M28">
        <f t="shared" si="0"/>
        <v>1200</v>
      </c>
      <c r="P28" s="25"/>
    </row>
    <row r="29" spans="1:17" x14ac:dyDescent="0.25">
      <c r="A29" s="203">
        <v>7</v>
      </c>
      <c r="B29" s="205" t="s">
        <v>1198</v>
      </c>
      <c r="C29" s="205" t="s">
        <v>40</v>
      </c>
      <c r="D29" s="205" t="s">
        <v>266</v>
      </c>
      <c r="E29" s="205" t="s">
        <v>540</v>
      </c>
      <c r="F29" s="206" t="s">
        <v>267</v>
      </c>
      <c r="G29" s="208" t="s">
        <v>42</v>
      </c>
      <c r="H29" s="207">
        <v>6000</v>
      </c>
      <c r="I29" s="204">
        <v>1200</v>
      </c>
      <c r="J29" s="205" t="s">
        <v>179</v>
      </c>
      <c r="K29" s="205" t="s">
        <v>43</v>
      </c>
      <c r="M29">
        <f t="shared" si="0"/>
        <v>1200</v>
      </c>
    </row>
    <row r="30" spans="1:17" x14ac:dyDescent="0.25">
      <c r="A30" s="321">
        <v>7</v>
      </c>
      <c r="B30" s="205" t="s">
        <v>1199</v>
      </c>
      <c r="C30" s="205" t="s">
        <v>40</v>
      </c>
      <c r="D30" s="205" t="s">
        <v>369</v>
      </c>
      <c r="E30" s="205" t="s">
        <v>52</v>
      </c>
      <c r="F30" s="206" t="s">
        <v>1200</v>
      </c>
      <c r="G30" s="208" t="s">
        <v>42</v>
      </c>
      <c r="H30" s="207">
        <v>10000</v>
      </c>
      <c r="I30" s="204">
        <v>2000</v>
      </c>
      <c r="J30" s="205" t="s">
        <v>179</v>
      </c>
      <c r="K30" s="205" t="s">
        <v>43</v>
      </c>
      <c r="M30">
        <f t="shared" si="0"/>
        <v>2000</v>
      </c>
    </row>
    <row r="31" spans="1:17" x14ac:dyDescent="0.25">
      <c r="A31" s="203">
        <v>13</v>
      </c>
      <c r="B31" s="205" t="s">
        <v>1206</v>
      </c>
      <c r="C31" s="205" t="s">
        <v>40</v>
      </c>
      <c r="D31" s="205" t="s">
        <v>1207</v>
      </c>
      <c r="E31" s="205" t="s">
        <v>50</v>
      </c>
      <c r="F31" s="206" t="s">
        <v>1208</v>
      </c>
      <c r="G31" s="208" t="s">
        <v>42</v>
      </c>
      <c r="H31" s="207">
        <v>1000</v>
      </c>
      <c r="I31" s="204">
        <v>200</v>
      </c>
      <c r="J31" s="205" t="s">
        <v>179</v>
      </c>
      <c r="K31" s="205" t="s">
        <v>43</v>
      </c>
      <c r="M31">
        <f t="shared" si="0"/>
        <v>200</v>
      </c>
      <c r="O31" s="338" t="s">
        <v>1276</v>
      </c>
    </row>
    <row r="32" spans="1:17" x14ac:dyDescent="0.25">
      <c r="A32" s="203">
        <v>13</v>
      </c>
      <c r="B32" s="205" t="s">
        <v>1209</v>
      </c>
      <c r="C32" s="205" t="s">
        <v>40</v>
      </c>
      <c r="D32" s="205" t="s">
        <v>927</v>
      </c>
      <c r="E32" s="205" t="s">
        <v>57</v>
      </c>
      <c r="F32" s="206" t="s">
        <v>1210</v>
      </c>
      <c r="G32" s="208" t="s">
        <v>42</v>
      </c>
      <c r="H32" s="207">
        <v>300</v>
      </c>
      <c r="I32" s="204">
        <v>60</v>
      </c>
      <c r="J32" s="205" t="s">
        <v>179</v>
      </c>
      <c r="K32" s="205" t="s">
        <v>43</v>
      </c>
      <c r="M32">
        <f t="shared" si="0"/>
        <v>60</v>
      </c>
      <c r="O32" t="s">
        <v>42</v>
      </c>
      <c r="P32" s="25">
        <f>SUM(H31:H50)</f>
        <v>54050</v>
      </c>
    </row>
    <row r="33" spans="1:16" x14ac:dyDescent="0.25">
      <c r="A33" s="203">
        <v>13</v>
      </c>
      <c r="B33" s="205" t="s">
        <v>1211</v>
      </c>
      <c r="C33" s="205" t="s">
        <v>40</v>
      </c>
      <c r="D33" s="205" t="s">
        <v>1184</v>
      </c>
      <c r="E33" s="205" t="s">
        <v>57</v>
      </c>
      <c r="F33" s="206" t="s">
        <v>1212</v>
      </c>
      <c r="G33" s="208" t="s">
        <v>42</v>
      </c>
      <c r="H33" s="207">
        <v>50</v>
      </c>
      <c r="I33" s="204">
        <v>10</v>
      </c>
      <c r="J33" s="205" t="s">
        <v>179</v>
      </c>
      <c r="K33" s="205" t="s">
        <v>43</v>
      </c>
      <c r="M33">
        <f t="shared" si="0"/>
        <v>10</v>
      </c>
      <c r="P33" s="57">
        <f>SUM(H53:H65)</f>
        <v>31000</v>
      </c>
    </row>
    <row r="34" spans="1:16" x14ac:dyDescent="0.25">
      <c r="A34" s="203">
        <v>13</v>
      </c>
      <c r="B34" s="205" t="s">
        <v>1213</v>
      </c>
      <c r="C34" s="205" t="s">
        <v>48</v>
      </c>
      <c r="D34" s="205" t="s">
        <v>1214</v>
      </c>
      <c r="E34" s="205" t="s">
        <v>56</v>
      </c>
      <c r="F34" s="206" t="s">
        <v>1215</v>
      </c>
      <c r="G34" s="208" t="s">
        <v>42</v>
      </c>
      <c r="H34" s="207">
        <v>3500</v>
      </c>
      <c r="I34" s="204">
        <v>700</v>
      </c>
      <c r="J34" s="205" t="s">
        <v>179</v>
      </c>
      <c r="K34" s="205" t="s">
        <v>43</v>
      </c>
      <c r="M34">
        <f t="shared" si="0"/>
        <v>700</v>
      </c>
      <c r="P34" s="181">
        <f>P32+P33</f>
        <v>85050</v>
      </c>
    </row>
    <row r="35" spans="1:16" x14ac:dyDescent="0.25">
      <c r="A35" s="203">
        <v>13</v>
      </c>
      <c r="B35" s="205" t="s">
        <v>1216</v>
      </c>
      <c r="C35" s="205" t="s">
        <v>40</v>
      </c>
      <c r="D35" s="205" t="s">
        <v>266</v>
      </c>
      <c r="E35" s="205" t="s">
        <v>540</v>
      </c>
      <c r="F35" s="206"/>
      <c r="G35" s="208" t="s">
        <v>42</v>
      </c>
      <c r="H35" s="207">
        <v>3000</v>
      </c>
      <c r="I35" s="204">
        <v>600</v>
      </c>
      <c r="J35" s="205" t="s">
        <v>179</v>
      </c>
      <c r="K35" s="205" t="s">
        <v>43</v>
      </c>
      <c r="M35">
        <f t="shared" si="0"/>
        <v>600</v>
      </c>
      <c r="O35" t="s">
        <v>1129</v>
      </c>
      <c r="P35" s="181">
        <f>H51+H52</f>
        <v>40</v>
      </c>
    </row>
    <row r="36" spans="1:16" x14ac:dyDescent="0.25">
      <c r="A36" s="203">
        <v>13</v>
      </c>
      <c r="B36" s="205" t="s">
        <v>1217</v>
      </c>
      <c r="C36" s="205" t="s">
        <v>40</v>
      </c>
      <c r="D36" s="205"/>
      <c r="E36" s="205" t="s">
        <v>73</v>
      </c>
      <c r="F36" s="206"/>
      <c r="G36" s="208" t="s">
        <v>42</v>
      </c>
      <c r="H36" s="207">
        <v>8000</v>
      </c>
      <c r="I36" s="204">
        <v>1600</v>
      </c>
      <c r="J36" s="205" t="s">
        <v>179</v>
      </c>
      <c r="K36" s="205" t="s">
        <v>43</v>
      </c>
      <c r="M36">
        <f t="shared" si="0"/>
        <v>1600</v>
      </c>
    </row>
    <row r="37" spans="1:16" x14ac:dyDescent="0.25">
      <c r="A37" s="203">
        <v>13</v>
      </c>
      <c r="B37" s="205" t="s">
        <v>1218</v>
      </c>
      <c r="C37" s="205" t="s">
        <v>48</v>
      </c>
      <c r="D37" s="205" t="s">
        <v>1219</v>
      </c>
      <c r="E37" s="205" t="s">
        <v>50</v>
      </c>
      <c r="F37" s="206" t="s">
        <v>1220</v>
      </c>
      <c r="G37" s="208" t="s">
        <v>42</v>
      </c>
      <c r="H37" s="207">
        <v>500</v>
      </c>
      <c r="I37" s="204">
        <v>100</v>
      </c>
      <c r="J37" s="205" t="s">
        <v>179</v>
      </c>
      <c r="K37" s="205" t="s">
        <v>43</v>
      </c>
      <c r="M37">
        <f t="shared" si="0"/>
        <v>100</v>
      </c>
      <c r="O37" s="340" t="s">
        <v>1306</v>
      </c>
    </row>
    <row r="38" spans="1:16" x14ac:dyDescent="0.25">
      <c r="A38" s="203">
        <v>13</v>
      </c>
      <c r="B38" s="205" t="s">
        <v>1221</v>
      </c>
      <c r="C38" s="205" t="s">
        <v>40</v>
      </c>
      <c r="D38" s="205" t="s">
        <v>478</v>
      </c>
      <c r="E38" s="205" t="s">
        <v>57</v>
      </c>
      <c r="F38" s="206" t="s">
        <v>1222</v>
      </c>
      <c r="G38" s="205" t="s">
        <v>42</v>
      </c>
      <c r="H38" s="211">
        <v>10000</v>
      </c>
      <c r="I38" s="234">
        <v>2000</v>
      </c>
      <c r="J38" s="205" t="s">
        <v>179</v>
      </c>
      <c r="K38" s="205" t="s">
        <v>43</v>
      </c>
      <c r="M38">
        <f t="shared" si="0"/>
        <v>2000</v>
      </c>
      <c r="O38" t="s">
        <v>42</v>
      </c>
      <c r="P38" s="181">
        <f>SUM(H66:H79)</f>
        <v>69150</v>
      </c>
    </row>
    <row r="39" spans="1:16" x14ac:dyDescent="0.25">
      <c r="A39" s="203">
        <v>13</v>
      </c>
      <c r="B39" s="205" t="s">
        <v>1223</v>
      </c>
      <c r="C39" s="205" t="s">
        <v>40</v>
      </c>
      <c r="D39" s="205" t="s">
        <v>931</v>
      </c>
      <c r="E39" s="205" t="s">
        <v>44</v>
      </c>
      <c r="F39" s="206" t="s">
        <v>932</v>
      </c>
      <c r="G39" s="205" t="s">
        <v>42</v>
      </c>
      <c r="H39" s="211">
        <v>10000</v>
      </c>
      <c r="I39" s="234">
        <v>2000</v>
      </c>
      <c r="J39" s="205" t="s">
        <v>179</v>
      </c>
      <c r="K39" s="205" t="s">
        <v>43</v>
      </c>
      <c r="M39">
        <f t="shared" si="0"/>
        <v>2000</v>
      </c>
      <c r="O39" t="s">
        <v>1129</v>
      </c>
      <c r="P39" s="181">
        <v>60</v>
      </c>
    </row>
    <row r="40" spans="1:16" x14ac:dyDescent="0.25">
      <c r="A40" s="203">
        <v>13</v>
      </c>
      <c r="B40" s="205" t="s">
        <v>1224</v>
      </c>
      <c r="C40" s="205" t="s">
        <v>40</v>
      </c>
      <c r="D40" s="205" t="s">
        <v>142</v>
      </c>
      <c r="E40" s="205" t="s">
        <v>50</v>
      </c>
      <c r="F40" s="206"/>
      <c r="G40" s="205" t="s">
        <v>42</v>
      </c>
      <c r="H40" s="211">
        <v>700</v>
      </c>
      <c r="I40" s="234">
        <v>140</v>
      </c>
      <c r="J40" s="205" t="s">
        <v>179</v>
      </c>
      <c r="K40" s="205" t="s">
        <v>43</v>
      </c>
      <c r="M40">
        <f t="shared" si="0"/>
        <v>140</v>
      </c>
      <c r="P40" s="57"/>
    </row>
    <row r="41" spans="1:16" x14ac:dyDescent="0.25">
      <c r="A41" s="203">
        <v>13</v>
      </c>
      <c r="B41" s="205" t="s">
        <v>244</v>
      </c>
      <c r="C41" s="205" t="s">
        <v>48</v>
      </c>
      <c r="D41" s="205" t="s">
        <v>141</v>
      </c>
      <c r="E41" s="205" t="s">
        <v>45</v>
      </c>
      <c r="F41" s="206" t="s">
        <v>1225</v>
      </c>
      <c r="G41" s="205" t="s">
        <v>42</v>
      </c>
      <c r="H41" s="211">
        <v>3500</v>
      </c>
      <c r="I41" s="234">
        <v>700</v>
      </c>
      <c r="J41" s="205" t="s">
        <v>179</v>
      </c>
      <c r="K41" s="205" t="s">
        <v>43</v>
      </c>
      <c r="M41">
        <f t="shared" si="0"/>
        <v>700</v>
      </c>
      <c r="O41" s="340" t="s">
        <v>1354</v>
      </c>
    </row>
    <row r="42" spans="1:16" x14ac:dyDescent="0.25">
      <c r="A42" s="203">
        <v>13</v>
      </c>
      <c r="B42" s="205" t="s">
        <v>1226</v>
      </c>
      <c r="C42" s="205" t="s">
        <v>40</v>
      </c>
      <c r="D42" s="205" t="s">
        <v>602</v>
      </c>
      <c r="E42" s="205" t="s">
        <v>47</v>
      </c>
      <c r="F42" s="206" t="s">
        <v>1227</v>
      </c>
      <c r="G42" s="205" t="s">
        <v>42</v>
      </c>
      <c r="H42" s="211">
        <v>3000</v>
      </c>
      <c r="I42" s="234">
        <v>600</v>
      </c>
      <c r="J42" s="205" t="s">
        <v>179</v>
      </c>
      <c r="K42" s="205" t="s">
        <v>43</v>
      </c>
      <c r="M42">
        <f t="shared" si="0"/>
        <v>600</v>
      </c>
      <c r="O42" t="s">
        <v>42</v>
      </c>
      <c r="P42" s="181">
        <f>SUM(H81:H102)</f>
        <v>72850</v>
      </c>
    </row>
    <row r="43" spans="1:16" x14ac:dyDescent="0.25">
      <c r="A43" s="203">
        <v>13</v>
      </c>
      <c r="B43" s="205" t="s">
        <v>1228</v>
      </c>
      <c r="C43" s="205" t="s">
        <v>40</v>
      </c>
      <c r="D43" s="205" t="s">
        <v>725</v>
      </c>
      <c r="E43" s="205" t="s">
        <v>45</v>
      </c>
      <c r="F43" s="206" t="s">
        <v>1229</v>
      </c>
      <c r="G43" s="205" t="s">
        <v>42</v>
      </c>
      <c r="H43" s="211">
        <v>500</v>
      </c>
      <c r="I43" s="234">
        <v>100</v>
      </c>
      <c r="J43" s="205" t="s">
        <v>179</v>
      </c>
      <c r="K43" s="205" t="s">
        <v>43</v>
      </c>
      <c r="M43">
        <f t="shared" si="0"/>
        <v>100</v>
      </c>
    </row>
    <row r="44" spans="1:16" x14ac:dyDescent="0.25">
      <c r="A44" s="203">
        <v>13</v>
      </c>
      <c r="B44" s="205" t="s">
        <v>1230</v>
      </c>
      <c r="C44" s="205" t="s">
        <v>40</v>
      </c>
      <c r="D44" s="205" t="s">
        <v>1231</v>
      </c>
      <c r="E44" s="205" t="s">
        <v>52</v>
      </c>
      <c r="F44" s="206" t="s">
        <v>1232</v>
      </c>
      <c r="G44" s="205" t="s">
        <v>42</v>
      </c>
      <c r="H44" s="211">
        <v>1000</v>
      </c>
      <c r="I44" s="234">
        <v>200</v>
      </c>
      <c r="J44" s="205" t="s">
        <v>179</v>
      </c>
      <c r="K44" s="205" t="s">
        <v>43</v>
      </c>
      <c r="M44">
        <f t="shared" si="0"/>
        <v>200</v>
      </c>
      <c r="O44" s="340" t="s">
        <v>1360</v>
      </c>
    </row>
    <row r="45" spans="1:16" x14ac:dyDescent="0.25">
      <c r="A45" s="203">
        <v>13</v>
      </c>
      <c r="B45" s="205" t="s">
        <v>1233</v>
      </c>
      <c r="C45" s="205" t="s">
        <v>40</v>
      </c>
      <c r="D45" s="205" t="s">
        <v>725</v>
      </c>
      <c r="E45" s="205" t="s">
        <v>45</v>
      </c>
      <c r="F45" s="206" t="s">
        <v>1234</v>
      </c>
      <c r="G45" s="205" t="s">
        <v>42</v>
      </c>
      <c r="H45" s="211">
        <v>500</v>
      </c>
      <c r="I45" s="234">
        <v>100</v>
      </c>
      <c r="J45" s="205" t="s">
        <v>179</v>
      </c>
      <c r="K45" s="205" t="s">
        <v>43</v>
      </c>
      <c r="M45">
        <f t="shared" si="0"/>
        <v>100</v>
      </c>
      <c r="O45" t="s">
        <v>42</v>
      </c>
      <c r="P45" s="342">
        <v>3500</v>
      </c>
    </row>
    <row r="46" spans="1:16" x14ac:dyDescent="0.25">
      <c r="A46" s="203">
        <v>13</v>
      </c>
      <c r="B46" s="205" t="s">
        <v>1235</v>
      </c>
      <c r="C46" s="205" t="s">
        <v>40</v>
      </c>
      <c r="D46" s="205" t="s">
        <v>1236</v>
      </c>
      <c r="E46" s="205" t="s">
        <v>52</v>
      </c>
      <c r="F46" s="206" t="s">
        <v>1237</v>
      </c>
      <c r="G46" s="205" t="s">
        <v>42</v>
      </c>
      <c r="H46" s="211">
        <v>500</v>
      </c>
      <c r="I46" s="234">
        <v>100</v>
      </c>
      <c r="J46" s="205" t="s">
        <v>179</v>
      </c>
      <c r="K46" s="205" t="s">
        <v>43</v>
      </c>
      <c r="M46">
        <f t="shared" si="0"/>
        <v>100</v>
      </c>
    </row>
    <row r="47" spans="1:16" x14ac:dyDescent="0.25">
      <c r="A47" s="203">
        <v>13</v>
      </c>
      <c r="B47" s="205" t="s">
        <v>1238</v>
      </c>
      <c r="C47" s="205" t="s">
        <v>40</v>
      </c>
      <c r="D47" s="205" t="s">
        <v>725</v>
      </c>
      <c r="E47" s="205" t="s">
        <v>45</v>
      </c>
      <c r="F47" s="206" t="s">
        <v>1239</v>
      </c>
      <c r="G47" s="205" t="s">
        <v>42</v>
      </c>
      <c r="H47" s="211">
        <v>3000</v>
      </c>
      <c r="I47" s="234">
        <v>600</v>
      </c>
      <c r="J47" s="205" t="s">
        <v>179</v>
      </c>
      <c r="K47" s="205" t="s">
        <v>43</v>
      </c>
      <c r="M47">
        <f t="shared" si="0"/>
        <v>600</v>
      </c>
      <c r="O47" s="340" t="s">
        <v>1376</v>
      </c>
    </row>
    <row r="48" spans="1:16" x14ac:dyDescent="0.25">
      <c r="A48" s="203">
        <v>13</v>
      </c>
      <c r="B48" s="205" t="s">
        <v>1240</v>
      </c>
      <c r="C48" s="205" t="s">
        <v>48</v>
      </c>
      <c r="D48" s="205" t="s">
        <v>141</v>
      </c>
      <c r="E48" s="205" t="s">
        <v>45</v>
      </c>
      <c r="F48" s="206" t="s">
        <v>1239</v>
      </c>
      <c r="G48" s="205" t="s">
        <v>42</v>
      </c>
      <c r="H48" s="211">
        <v>3000</v>
      </c>
      <c r="I48" s="234">
        <v>600</v>
      </c>
      <c r="J48" s="205" t="s">
        <v>179</v>
      </c>
      <c r="K48" s="205" t="s">
        <v>43</v>
      </c>
      <c r="M48">
        <f t="shared" si="0"/>
        <v>600</v>
      </c>
      <c r="O48" t="s">
        <v>42</v>
      </c>
      <c r="P48" s="342">
        <v>3500</v>
      </c>
    </row>
    <row r="49" spans="1:16" x14ac:dyDescent="0.25">
      <c r="A49" s="203">
        <v>13</v>
      </c>
      <c r="B49" s="205" t="s">
        <v>1241</v>
      </c>
      <c r="C49" s="205" t="s">
        <v>48</v>
      </c>
      <c r="D49" s="205" t="s">
        <v>1242</v>
      </c>
      <c r="E49" s="205" t="s">
        <v>61</v>
      </c>
      <c r="F49" s="206" t="s">
        <v>1243</v>
      </c>
      <c r="G49" s="205" t="s">
        <v>42</v>
      </c>
      <c r="H49" s="211">
        <v>1000</v>
      </c>
      <c r="I49" s="234">
        <v>200</v>
      </c>
      <c r="J49" s="205" t="s">
        <v>179</v>
      </c>
      <c r="K49" s="205" t="s">
        <v>43</v>
      </c>
      <c r="M49">
        <f t="shared" si="0"/>
        <v>200</v>
      </c>
    </row>
    <row r="50" spans="1:16" x14ac:dyDescent="0.25">
      <c r="A50" s="203">
        <v>13</v>
      </c>
      <c r="B50" s="205" t="s">
        <v>1244</v>
      </c>
      <c r="C50" s="205" t="s">
        <v>48</v>
      </c>
      <c r="D50" s="205" t="s">
        <v>61</v>
      </c>
      <c r="E50" s="205" t="s">
        <v>44</v>
      </c>
      <c r="F50" s="206" t="s">
        <v>1245</v>
      </c>
      <c r="G50" s="205" t="s">
        <v>42</v>
      </c>
      <c r="H50" s="211">
        <v>1000</v>
      </c>
      <c r="I50" s="234">
        <v>200</v>
      </c>
      <c r="J50" s="205" t="s">
        <v>179</v>
      </c>
      <c r="K50" s="205" t="s">
        <v>43</v>
      </c>
      <c r="M50">
        <f t="shared" si="0"/>
        <v>200</v>
      </c>
      <c r="O50" s="340" t="s">
        <v>1399</v>
      </c>
    </row>
    <row r="51" spans="1:16" x14ac:dyDescent="0.25">
      <c r="A51" s="203">
        <v>13</v>
      </c>
      <c r="B51" s="205" t="s">
        <v>1244</v>
      </c>
      <c r="C51" s="205" t="s">
        <v>48</v>
      </c>
      <c r="D51" s="205" t="s">
        <v>61</v>
      </c>
      <c r="E51" s="205" t="s">
        <v>44</v>
      </c>
      <c r="F51" s="206" t="s">
        <v>1245</v>
      </c>
      <c r="G51" s="205" t="s">
        <v>162</v>
      </c>
      <c r="H51" s="211">
        <v>5</v>
      </c>
      <c r="I51" s="234">
        <v>25</v>
      </c>
      <c r="J51" s="205" t="s">
        <v>179</v>
      </c>
      <c r="K51" s="205" t="s">
        <v>43</v>
      </c>
      <c r="M51">
        <f t="shared" si="0"/>
        <v>1</v>
      </c>
      <c r="O51" t="s">
        <v>42</v>
      </c>
      <c r="P51" s="181">
        <f>SUM(H109:H118)</f>
        <v>13800</v>
      </c>
    </row>
    <row r="52" spans="1:16" x14ac:dyDescent="0.25">
      <c r="A52" s="203">
        <v>13</v>
      </c>
      <c r="B52" s="205" t="s">
        <v>1246</v>
      </c>
      <c r="C52" s="205" t="s">
        <v>40</v>
      </c>
      <c r="D52" s="205"/>
      <c r="E52" s="205" t="s">
        <v>59</v>
      </c>
      <c r="F52" s="206" t="s">
        <v>1247</v>
      </c>
      <c r="G52" s="205" t="s">
        <v>162</v>
      </c>
      <c r="H52" s="211">
        <v>35</v>
      </c>
      <c r="I52" s="234">
        <v>175</v>
      </c>
      <c r="J52" s="205" t="s">
        <v>179</v>
      </c>
      <c r="K52" s="205" t="s">
        <v>43</v>
      </c>
      <c r="M52">
        <f t="shared" si="0"/>
        <v>7</v>
      </c>
    </row>
    <row r="53" spans="1:16" x14ac:dyDescent="0.25">
      <c r="A53" s="203">
        <v>13</v>
      </c>
      <c r="B53" s="205" t="s">
        <v>1248</v>
      </c>
      <c r="C53" s="205" t="s">
        <v>40</v>
      </c>
      <c r="D53" s="205" t="s">
        <v>141</v>
      </c>
      <c r="E53" s="205" t="s">
        <v>45</v>
      </c>
      <c r="F53" s="206" t="s">
        <v>1249</v>
      </c>
      <c r="G53" s="205" t="s">
        <v>42</v>
      </c>
      <c r="H53" s="211">
        <v>5000</v>
      </c>
      <c r="I53" s="234">
        <v>1000</v>
      </c>
      <c r="J53" s="205" t="s">
        <v>179</v>
      </c>
      <c r="K53" s="205" t="s">
        <v>43</v>
      </c>
      <c r="M53">
        <f t="shared" si="0"/>
        <v>1000</v>
      </c>
    </row>
    <row r="54" spans="1:16" x14ac:dyDescent="0.25">
      <c r="A54" s="203">
        <v>13</v>
      </c>
      <c r="B54" s="205" t="s">
        <v>1250</v>
      </c>
      <c r="C54" s="205" t="s">
        <v>40</v>
      </c>
      <c r="D54" s="205" t="s">
        <v>836</v>
      </c>
      <c r="E54" s="205" t="s">
        <v>51</v>
      </c>
      <c r="F54" s="206" t="s">
        <v>1251</v>
      </c>
      <c r="G54" s="205" t="s">
        <v>42</v>
      </c>
      <c r="H54" s="211">
        <v>500</v>
      </c>
      <c r="I54" s="234">
        <v>100</v>
      </c>
      <c r="J54" s="205" t="s">
        <v>179</v>
      </c>
      <c r="K54" s="205" t="s">
        <v>43</v>
      </c>
      <c r="M54">
        <f t="shared" si="0"/>
        <v>100</v>
      </c>
      <c r="P54" s="25"/>
    </row>
    <row r="55" spans="1:16" x14ac:dyDescent="0.25">
      <c r="A55" s="203">
        <v>13</v>
      </c>
      <c r="B55" s="205" t="s">
        <v>1252</v>
      </c>
      <c r="C55" s="205" t="s">
        <v>48</v>
      </c>
      <c r="D55" s="205" t="s">
        <v>1253</v>
      </c>
      <c r="E55" s="205" t="s">
        <v>52</v>
      </c>
      <c r="F55" s="206" t="s">
        <v>1254</v>
      </c>
      <c r="G55" s="206" t="s">
        <v>42</v>
      </c>
      <c r="H55" s="211">
        <v>2000</v>
      </c>
      <c r="I55" s="234">
        <v>400</v>
      </c>
      <c r="J55" s="205" t="s">
        <v>179</v>
      </c>
      <c r="K55" s="205" t="s">
        <v>43</v>
      </c>
      <c r="M55">
        <f t="shared" si="0"/>
        <v>400</v>
      </c>
    </row>
    <row r="56" spans="1:16" x14ac:dyDescent="0.25">
      <c r="A56" s="203">
        <v>13</v>
      </c>
      <c r="B56" s="205" t="s">
        <v>1255</v>
      </c>
      <c r="C56" s="205" t="s">
        <v>40</v>
      </c>
      <c r="D56" s="205" t="s">
        <v>1169</v>
      </c>
      <c r="E56" s="205" t="s">
        <v>52</v>
      </c>
      <c r="F56" s="206" t="s">
        <v>1256</v>
      </c>
      <c r="G56" s="205" t="s">
        <v>42</v>
      </c>
      <c r="H56" s="211">
        <v>3500</v>
      </c>
      <c r="I56" s="234">
        <v>700</v>
      </c>
      <c r="J56" s="205" t="s">
        <v>179</v>
      </c>
      <c r="K56" s="205" t="s">
        <v>43</v>
      </c>
      <c r="M56">
        <f t="shared" si="0"/>
        <v>700</v>
      </c>
    </row>
    <row r="57" spans="1:16" x14ac:dyDescent="0.25">
      <c r="A57" s="203">
        <v>13</v>
      </c>
      <c r="B57" s="205" t="s">
        <v>1257</v>
      </c>
      <c r="C57" s="205" t="s">
        <v>40</v>
      </c>
      <c r="D57" s="205" t="s">
        <v>1258</v>
      </c>
      <c r="E57" s="205" t="s">
        <v>44</v>
      </c>
      <c r="F57" s="206" t="s">
        <v>1259</v>
      </c>
      <c r="G57" s="205" t="s">
        <v>42</v>
      </c>
      <c r="H57" s="211">
        <v>2500</v>
      </c>
      <c r="I57" s="234">
        <v>500</v>
      </c>
      <c r="J57" s="205" t="s">
        <v>179</v>
      </c>
      <c r="K57" s="205" t="s">
        <v>43</v>
      </c>
      <c r="M57">
        <f t="shared" si="0"/>
        <v>500</v>
      </c>
    </row>
    <row r="58" spans="1:16" x14ac:dyDescent="0.25">
      <c r="A58" s="203">
        <v>13</v>
      </c>
      <c r="B58" s="205" t="s">
        <v>1260</v>
      </c>
      <c r="C58" s="205" t="s">
        <v>48</v>
      </c>
      <c r="D58" s="205" t="s">
        <v>1169</v>
      </c>
      <c r="E58" s="205" t="s">
        <v>60</v>
      </c>
      <c r="F58" s="206" t="s">
        <v>1261</v>
      </c>
      <c r="G58" s="205" t="s">
        <v>42</v>
      </c>
      <c r="H58" s="211">
        <v>6500</v>
      </c>
      <c r="I58" s="234">
        <v>1300</v>
      </c>
      <c r="J58" s="205" t="s">
        <v>179</v>
      </c>
      <c r="K58" s="205" t="s">
        <v>43</v>
      </c>
      <c r="M58">
        <f t="shared" si="0"/>
        <v>1300</v>
      </c>
    </row>
    <row r="59" spans="1:16" x14ac:dyDescent="0.25">
      <c r="A59" s="203">
        <v>13</v>
      </c>
      <c r="B59" s="205" t="s">
        <v>1262</v>
      </c>
      <c r="C59" s="205" t="s">
        <v>40</v>
      </c>
      <c r="D59" s="205" t="s">
        <v>1263</v>
      </c>
      <c r="E59" s="205" t="s">
        <v>59</v>
      </c>
      <c r="F59" s="206" t="s">
        <v>1264</v>
      </c>
      <c r="G59" s="205" t="s">
        <v>42</v>
      </c>
      <c r="H59" s="211">
        <v>2000</v>
      </c>
      <c r="I59" s="234">
        <v>400</v>
      </c>
      <c r="J59" s="205" t="s">
        <v>179</v>
      </c>
      <c r="K59" s="205" t="s">
        <v>43</v>
      </c>
      <c r="M59">
        <f t="shared" si="0"/>
        <v>400</v>
      </c>
    </row>
    <row r="60" spans="1:16" x14ac:dyDescent="0.25">
      <c r="A60" s="203">
        <v>13</v>
      </c>
      <c r="B60" s="205" t="s">
        <v>1265</v>
      </c>
      <c r="C60" s="205" t="s">
        <v>40</v>
      </c>
      <c r="D60" s="205" t="s">
        <v>142</v>
      </c>
      <c r="E60" s="205" t="s">
        <v>57</v>
      </c>
      <c r="F60" s="206" t="s">
        <v>1266</v>
      </c>
      <c r="G60" s="205" t="s">
        <v>42</v>
      </c>
      <c r="H60" s="211">
        <v>2000</v>
      </c>
      <c r="I60" s="234">
        <v>400</v>
      </c>
      <c r="J60" s="205" t="s">
        <v>179</v>
      </c>
      <c r="K60" s="205" t="s">
        <v>43</v>
      </c>
      <c r="M60">
        <f t="shared" si="0"/>
        <v>400</v>
      </c>
    </row>
    <row r="61" spans="1:16" x14ac:dyDescent="0.25">
      <c r="A61" s="203">
        <v>13</v>
      </c>
      <c r="B61" s="205" t="s">
        <v>246</v>
      </c>
      <c r="C61" s="205" t="s">
        <v>40</v>
      </c>
      <c r="D61" s="205" t="s">
        <v>1267</v>
      </c>
      <c r="E61" s="205" t="s">
        <v>60</v>
      </c>
      <c r="F61" s="206" t="s">
        <v>247</v>
      </c>
      <c r="G61" s="205" t="s">
        <v>42</v>
      </c>
      <c r="H61" s="211">
        <v>500</v>
      </c>
      <c r="I61" s="234">
        <v>100</v>
      </c>
      <c r="J61" s="205" t="s">
        <v>179</v>
      </c>
      <c r="K61" s="205" t="s">
        <v>43</v>
      </c>
      <c r="M61">
        <f t="shared" si="0"/>
        <v>100</v>
      </c>
    </row>
    <row r="62" spans="1:16" x14ac:dyDescent="0.25">
      <c r="A62" s="203">
        <v>13</v>
      </c>
      <c r="B62" s="205" t="s">
        <v>1268</v>
      </c>
      <c r="C62" s="205" t="s">
        <v>40</v>
      </c>
      <c r="D62" s="205" t="s">
        <v>417</v>
      </c>
      <c r="E62" s="205" t="s">
        <v>92</v>
      </c>
      <c r="F62" s="206" t="s">
        <v>1269</v>
      </c>
      <c r="G62" s="205" t="s">
        <v>42</v>
      </c>
      <c r="H62" s="211">
        <v>1000</v>
      </c>
      <c r="I62" s="234">
        <v>200</v>
      </c>
      <c r="J62" s="205" t="s">
        <v>179</v>
      </c>
      <c r="K62" s="205" t="s">
        <v>43</v>
      </c>
      <c r="M62">
        <f t="shared" si="0"/>
        <v>200</v>
      </c>
    </row>
    <row r="63" spans="1:16" x14ac:dyDescent="0.25">
      <c r="A63" s="203">
        <v>13</v>
      </c>
      <c r="B63" s="205" t="s">
        <v>1270</v>
      </c>
      <c r="C63" s="205" t="s">
        <v>40</v>
      </c>
      <c r="D63" s="205" t="s">
        <v>61</v>
      </c>
      <c r="E63" s="205" t="s">
        <v>44</v>
      </c>
      <c r="F63" s="206" t="s">
        <v>1271</v>
      </c>
      <c r="G63" s="205" t="s">
        <v>42</v>
      </c>
      <c r="H63" s="211">
        <v>2000</v>
      </c>
      <c r="I63" s="234">
        <v>400</v>
      </c>
      <c r="J63" s="205" t="s">
        <v>179</v>
      </c>
      <c r="K63" s="205" t="s">
        <v>43</v>
      </c>
      <c r="M63">
        <f t="shared" si="0"/>
        <v>400</v>
      </c>
    </row>
    <row r="64" spans="1:16" x14ac:dyDescent="0.25">
      <c r="A64" s="203">
        <v>13</v>
      </c>
      <c r="B64" s="205" t="s">
        <v>1272</v>
      </c>
      <c r="C64" s="205" t="s">
        <v>40</v>
      </c>
      <c r="D64" s="205" t="s">
        <v>144</v>
      </c>
      <c r="E64" s="205" t="s">
        <v>57</v>
      </c>
      <c r="F64" s="206" t="s">
        <v>1273</v>
      </c>
      <c r="G64" s="205" t="s">
        <v>42</v>
      </c>
      <c r="H64" s="211">
        <v>1500</v>
      </c>
      <c r="I64" s="234">
        <v>300</v>
      </c>
      <c r="J64" s="205" t="s">
        <v>179</v>
      </c>
      <c r="K64" s="205" t="s">
        <v>43</v>
      </c>
      <c r="M64">
        <f t="shared" si="0"/>
        <v>300</v>
      </c>
    </row>
    <row r="65" spans="1:13" x14ac:dyDescent="0.25">
      <c r="A65" s="321">
        <v>13</v>
      </c>
      <c r="B65" s="205" t="s">
        <v>1274</v>
      </c>
      <c r="C65" s="205" t="s">
        <v>40</v>
      </c>
      <c r="D65" s="205" t="s">
        <v>342</v>
      </c>
      <c r="E65" s="205" t="s">
        <v>47</v>
      </c>
      <c r="F65" s="206" t="s">
        <v>1275</v>
      </c>
      <c r="G65" s="205" t="s">
        <v>42</v>
      </c>
      <c r="H65" s="211">
        <v>2000</v>
      </c>
      <c r="I65" s="234">
        <v>400</v>
      </c>
      <c r="J65" s="205" t="s">
        <v>179</v>
      </c>
      <c r="K65" s="205" t="s">
        <v>43</v>
      </c>
      <c r="M65">
        <f t="shared" si="0"/>
        <v>400</v>
      </c>
    </row>
    <row r="66" spans="1:13" x14ac:dyDescent="0.25">
      <c r="A66" s="203">
        <v>15</v>
      </c>
      <c r="B66" s="205" t="s">
        <v>1278</v>
      </c>
      <c r="C66" s="205" t="s">
        <v>40</v>
      </c>
      <c r="D66" s="205" t="s">
        <v>1279</v>
      </c>
      <c r="E66" s="205" t="s">
        <v>60</v>
      </c>
      <c r="F66" s="206" t="s">
        <v>1280</v>
      </c>
      <c r="G66" s="205" t="s">
        <v>42</v>
      </c>
      <c r="H66" s="211">
        <v>1000</v>
      </c>
      <c r="I66" s="234">
        <v>200</v>
      </c>
      <c r="J66" s="205" t="s">
        <v>179</v>
      </c>
      <c r="K66" s="205" t="s">
        <v>43</v>
      </c>
      <c r="M66">
        <f t="shared" si="0"/>
        <v>200</v>
      </c>
    </row>
    <row r="67" spans="1:13" x14ac:dyDescent="0.25">
      <c r="A67" s="203">
        <v>15</v>
      </c>
      <c r="B67" s="205" t="s">
        <v>1281</v>
      </c>
      <c r="C67" s="205" t="s">
        <v>48</v>
      </c>
      <c r="D67" s="205" t="s">
        <v>981</v>
      </c>
      <c r="E67" s="205" t="s">
        <v>45</v>
      </c>
      <c r="F67" s="206"/>
      <c r="G67" s="205" t="s">
        <v>42</v>
      </c>
      <c r="H67" s="211">
        <v>200</v>
      </c>
      <c r="I67" s="234">
        <v>40</v>
      </c>
      <c r="J67" s="205" t="s">
        <v>179</v>
      </c>
      <c r="K67" s="205" t="s">
        <v>43</v>
      </c>
      <c r="M67">
        <f t="shared" si="0"/>
        <v>40</v>
      </c>
    </row>
    <row r="68" spans="1:13" x14ac:dyDescent="0.25">
      <c r="A68" s="203">
        <v>15</v>
      </c>
      <c r="B68" s="205" t="s">
        <v>1282</v>
      </c>
      <c r="C68" s="205" t="s">
        <v>40</v>
      </c>
      <c r="D68" s="205" t="s">
        <v>931</v>
      </c>
      <c r="E68" s="205" t="s">
        <v>44</v>
      </c>
      <c r="F68" s="206" t="s">
        <v>1283</v>
      </c>
      <c r="G68" s="205" t="s">
        <v>42</v>
      </c>
      <c r="H68" s="211">
        <v>9000</v>
      </c>
      <c r="I68" s="234">
        <v>1800</v>
      </c>
      <c r="J68" s="205" t="s">
        <v>179</v>
      </c>
      <c r="K68" s="205" t="s">
        <v>43</v>
      </c>
      <c r="M68">
        <f t="shared" si="0"/>
        <v>1800</v>
      </c>
    </row>
    <row r="69" spans="1:13" x14ac:dyDescent="0.25">
      <c r="A69" s="203">
        <v>15</v>
      </c>
      <c r="B69" s="205" t="s">
        <v>1284</v>
      </c>
      <c r="C69" s="205" t="s">
        <v>40</v>
      </c>
      <c r="D69" s="205" t="s">
        <v>372</v>
      </c>
      <c r="E69" s="205" t="s">
        <v>44</v>
      </c>
      <c r="F69" s="206" t="s">
        <v>1285</v>
      </c>
      <c r="G69" s="205" t="s">
        <v>42</v>
      </c>
      <c r="H69" s="211">
        <v>5000</v>
      </c>
      <c r="I69" s="234">
        <v>1000</v>
      </c>
      <c r="J69" s="205" t="s">
        <v>179</v>
      </c>
      <c r="K69" s="205" t="s">
        <v>43</v>
      </c>
      <c r="M69">
        <f t="shared" si="0"/>
        <v>1000</v>
      </c>
    </row>
    <row r="70" spans="1:13" x14ac:dyDescent="0.25">
      <c r="A70" s="203">
        <v>15</v>
      </c>
      <c r="B70" s="205" t="s">
        <v>1286</v>
      </c>
      <c r="C70" s="205" t="s">
        <v>40</v>
      </c>
      <c r="D70" s="205" t="s">
        <v>890</v>
      </c>
      <c r="E70" s="205" t="s">
        <v>60</v>
      </c>
      <c r="F70" s="206" t="s">
        <v>1287</v>
      </c>
      <c r="G70" s="205" t="s">
        <v>42</v>
      </c>
      <c r="H70" s="211">
        <v>2000</v>
      </c>
      <c r="I70" s="234">
        <v>400</v>
      </c>
      <c r="J70" s="205" t="s">
        <v>179</v>
      </c>
      <c r="K70" s="205" t="s">
        <v>43</v>
      </c>
      <c r="M70">
        <f t="shared" si="0"/>
        <v>400</v>
      </c>
    </row>
    <row r="71" spans="1:13" x14ac:dyDescent="0.25">
      <c r="A71" s="203">
        <v>15</v>
      </c>
      <c r="B71" s="205" t="s">
        <v>1288</v>
      </c>
      <c r="C71" s="205" t="s">
        <v>40</v>
      </c>
      <c r="D71" s="205" t="s">
        <v>1289</v>
      </c>
      <c r="E71" s="205" t="s">
        <v>63</v>
      </c>
      <c r="F71" s="206" t="s">
        <v>1290</v>
      </c>
      <c r="G71" s="205" t="s">
        <v>42</v>
      </c>
      <c r="H71" s="211">
        <v>2000</v>
      </c>
      <c r="I71" s="234">
        <v>400</v>
      </c>
      <c r="J71" s="205" t="s">
        <v>179</v>
      </c>
      <c r="K71" s="205" t="s">
        <v>43</v>
      </c>
      <c r="M71">
        <f t="shared" si="0"/>
        <v>400</v>
      </c>
    </row>
    <row r="72" spans="1:13" x14ac:dyDescent="0.25">
      <c r="A72" s="203">
        <v>15</v>
      </c>
      <c r="B72" s="205" t="s">
        <v>1291</v>
      </c>
      <c r="C72" s="205" t="s">
        <v>40</v>
      </c>
      <c r="D72" s="205" t="s">
        <v>1289</v>
      </c>
      <c r="E72" s="205" t="s">
        <v>63</v>
      </c>
      <c r="F72" s="206" t="s">
        <v>1292</v>
      </c>
      <c r="G72" s="205" t="s">
        <v>42</v>
      </c>
      <c r="H72" s="211">
        <v>1000</v>
      </c>
      <c r="I72" s="234">
        <v>200</v>
      </c>
      <c r="J72" s="205" t="s">
        <v>179</v>
      </c>
      <c r="K72" s="205" t="s">
        <v>43</v>
      </c>
      <c r="M72">
        <f t="shared" si="0"/>
        <v>200</v>
      </c>
    </row>
    <row r="73" spans="1:13" x14ac:dyDescent="0.25">
      <c r="A73" s="203">
        <v>15</v>
      </c>
      <c r="B73" s="205" t="s">
        <v>1293</v>
      </c>
      <c r="C73" s="205" t="s">
        <v>48</v>
      </c>
      <c r="D73" s="205" t="s">
        <v>1294</v>
      </c>
      <c r="E73" s="205" t="s">
        <v>52</v>
      </c>
      <c r="F73" s="206" t="s">
        <v>1295</v>
      </c>
      <c r="G73" s="205" t="s">
        <v>42</v>
      </c>
      <c r="H73" s="211">
        <v>5000</v>
      </c>
      <c r="I73" s="234">
        <v>1000</v>
      </c>
      <c r="J73" s="205" t="s">
        <v>179</v>
      </c>
      <c r="K73" s="205" t="s">
        <v>43</v>
      </c>
      <c r="M73">
        <f t="shared" si="0"/>
        <v>1000</v>
      </c>
    </row>
    <row r="74" spans="1:13" x14ac:dyDescent="0.25">
      <c r="A74" s="203">
        <v>15</v>
      </c>
      <c r="B74" s="205" t="s">
        <v>1296</v>
      </c>
      <c r="C74" s="205" t="s">
        <v>40</v>
      </c>
      <c r="D74" s="205" t="s">
        <v>380</v>
      </c>
      <c r="E74" s="205" t="s">
        <v>45</v>
      </c>
      <c r="F74" s="206"/>
      <c r="G74" s="205" t="s">
        <v>42</v>
      </c>
      <c r="H74" s="211">
        <v>15000</v>
      </c>
      <c r="I74" s="234">
        <v>3000</v>
      </c>
      <c r="J74" s="205" t="s">
        <v>179</v>
      </c>
      <c r="K74" s="205" t="s">
        <v>43</v>
      </c>
      <c r="M74">
        <f t="shared" si="0"/>
        <v>3000</v>
      </c>
    </row>
    <row r="75" spans="1:13" x14ac:dyDescent="0.25">
      <c r="A75" s="203">
        <v>15</v>
      </c>
      <c r="B75" s="205" t="s">
        <v>324</v>
      </c>
      <c r="C75" s="205" t="s">
        <v>40</v>
      </c>
      <c r="D75" s="205" t="s">
        <v>325</v>
      </c>
      <c r="E75" s="205" t="s">
        <v>56</v>
      </c>
      <c r="F75" s="206" t="s">
        <v>1297</v>
      </c>
      <c r="G75" s="205" t="s">
        <v>42</v>
      </c>
      <c r="H75" s="211">
        <v>15000</v>
      </c>
      <c r="I75" s="234">
        <v>3000</v>
      </c>
      <c r="J75" s="205" t="s">
        <v>179</v>
      </c>
      <c r="K75" s="205" t="s">
        <v>43</v>
      </c>
      <c r="M75">
        <f t="shared" si="0"/>
        <v>3000</v>
      </c>
    </row>
    <row r="76" spans="1:13" x14ac:dyDescent="0.25">
      <c r="A76" s="203">
        <v>15</v>
      </c>
      <c r="B76" s="205" t="s">
        <v>1298</v>
      </c>
      <c r="C76" s="205" t="s">
        <v>40</v>
      </c>
      <c r="D76" s="205" t="s">
        <v>1299</v>
      </c>
      <c r="E76" s="205" t="s">
        <v>60</v>
      </c>
      <c r="F76" s="206"/>
      <c r="G76" s="205" t="s">
        <v>42</v>
      </c>
      <c r="H76" s="211">
        <v>1800</v>
      </c>
      <c r="I76" s="234">
        <v>360</v>
      </c>
      <c r="J76" s="205" t="s">
        <v>179</v>
      </c>
      <c r="K76" s="205" t="s">
        <v>43</v>
      </c>
      <c r="M76">
        <f t="shared" si="0"/>
        <v>360</v>
      </c>
    </row>
    <row r="77" spans="1:13" x14ac:dyDescent="0.25">
      <c r="A77" s="203">
        <v>15</v>
      </c>
      <c r="B77" s="205" t="s">
        <v>1300</v>
      </c>
      <c r="C77" s="205" t="s">
        <v>40</v>
      </c>
      <c r="D77" s="205" t="s">
        <v>1301</v>
      </c>
      <c r="E77" s="205" t="s">
        <v>67</v>
      </c>
      <c r="F77" s="206" t="s">
        <v>1302</v>
      </c>
      <c r="G77" s="205" t="s">
        <v>42</v>
      </c>
      <c r="H77" s="211">
        <v>8000</v>
      </c>
      <c r="I77" s="234">
        <v>1600</v>
      </c>
      <c r="J77" s="205" t="s">
        <v>179</v>
      </c>
      <c r="K77" s="205" t="s">
        <v>43</v>
      </c>
      <c r="M77">
        <f t="shared" si="0"/>
        <v>1600</v>
      </c>
    </row>
    <row r="78" spans="1:13" x14ac:dyDescent="0.25">
      <c r="A78" s="203">
        <v>15</v>
      </c>
      <c r="B78" s="205" t="s">
        <v>1157</v>
      </c>
      <c r="C78" s="205" t="s">
        <v>40</v>
      </c>
      <c r="D78" s="205" t="s">
        <v>1158</v>
      </c>
      <c r="E78" s="205" t="s">
        <v>61</v>
      </c>
      <c r="F78" s="206" t="s">
        <v>1303</v>
      </c>
      <c r="G78" s="205" t="s">
        <v>42</v>
      </c>
      <c r="H78" s="211">
        <v>150</v>
      </c>
      <c r="I78" s="234" t="s">
        <v>255</v>
      </c>
      <c r="J78" s="205" t="s">
        <v>179</v>
      </c>
      <c r="K78" s="205" t="s">
        <v>43</v>
      </c>
      <c r="M78">
        <f t="shared" si="0"/>
        <v>30</v>
      </c>
    </row>
    <row r="79" spans="1:13" x14ac:dyDescent="0.25">
      <c r="A79" s="203">
        <v>15</v>
      </c>
      <c r="B79" s="205" t="s">
        <v>1304</v>
      </c>
      <c r="C79" s="205" t="s">
        <v>40</v>
      </c>
      <c r="D79" s="205" t="s">
        <v>793</v>
      </c>
      <c r="E79" s="205" t="s">
        <v>58</v>
      </c>
      <c r="F79" s="206" t="s">
        <v>1305</v>
      </c>
      <c r="G79" s="205" t="s">
        <v>42</v>
      </c>
      <c r="H79" s="211">
        <v>4000</v>
      </c>
      <c r="I79" s="234" t="s">
        <v>255</v>
      </c>
      <c r="J79" s="205" t="s">
        <v>179</v>
      </c>
      <c r="K79" s="205" t="s">
        <v>43</v>
      </c>
      <c r="M79">
        <f t="shared" si="0"/>
        <v>800</v>
      </c>
    </row>
    <row r="80" spans="1:13" x14ac:dyDescent="0.25">
      <c r="A80" s="321">
        <v>15</v>
      </c>
      <c r="B80" s="205" t="s">
        <v>1304</v>
      </c>
      <c r="C80" s="205" t="s">
        <v>40</v>
      </c>
      <c r="D80" s="205" t="s">
        <v>793</v>
      </c>
      <c r="E80" s="205" t="s">
        <v>58</v>
      </c>
      <c r="F80" s="206" t="s">
        <v>1305</v>
      </c>
      <c r="G80" s="205" t="s">
        <v>162</v>
      </c>
      <c r="H80" s="211">
        <v>60</v>
      </c>
      <c r="I80" s="234" t="s">
        <v>255</v>
      </c>
      <c r="J80" s="205" t="s">
        <v>179</v>
      </c>
      <c r="K80" s="205" t="s">
        <v>43</v>
      </c>
      <c r="M80">
        <f t="shared" si="0"/>
        <v>12</v>
      </c>
    </row>
    <row r="81" spans="1:16" x14ac:dyDescent="0.25">
      <c r="A81" s="203">
        <v>19</v>
      </c>
      <c r="B81" s="205" t="s">
        <v>1308</v>
      </c>
      <c r="C81" s="205" t="s">
        <v>40</v>
      </c>
      <c r="D81" s="205" t="s">
        <v>1176</v>
      </c>
      <c r="E81" s="205" t="s">
        <v>59</v>
      </c>
      <c r="F81" s="206" t="s">
        <v>1309</v>
      </c>
      <c r="G81" s="205" t="s">
        <v>42</v>
      </c>
      <c r="H81" s="211">
        <v>4500</v>
      </c>
      <c r="I81" s="234">
        <v>900</v>
      </c>
      <c r="J81" s="205" t="s">
        <v>179</v>
      </c>
      <c r="K81" s="205" t="s">
        <v>43</v>
      </c>
      <c r="M81">
        <f t="shared" si="0"/>
        <v>900</v>
      </c>
    </row>
    <row r="82" spans="1:16" x14ac:dyDescent="0.25">
      <c r="A82" s="203">
        <v>19</v>
      </c>
      <c r="B82" s="205" t="s">
        <v>1310</v>
      </c>
      <c r="C82" s="205" t="s">
        <v>40</v>
      </c>
      <c r="D82" s="205" t="s">
        <v>302</v>
      </c>
      <c r="E82" s="205" t="s">
        <v>57</v>
      </c>
      <c r="F82" s="206"/>
      <c r="G82" s="205" t="s">
        <v>42</v>
      </c>
      <c r="H82" s="211">
        <v>2500</v>
      </c>
      <c r="I82" s="234">
        <v>500</v>
      </c>
      <c r="J82" s="205" t="s">
        <v>179</v>
      </c>
      <c r="K82" s="205" t="s">
        <v>43</v>
      </c>
      <c r="M82">
        <f t="shared" si="0"/>
        <v>500</v>
      </c>
    </row>
    <row r="83" spans="1:16" x14ac:dyDescent="0.25">
      <c r="A83" s="203">
        <v>19</v>
      </c>
      <c r="B83" s="205" t="s">
        <v>1311</v>
      </c>
      <c r="C83" s="205" t="s">
        <v>40</v>
      </c>
      <c r="D83" s="205" t="s">
        <v>1312</v>
      </c>
      <c r="E83" s="205" t="s">
        <v>53</v>
      </c>
      <c r="F83" s="206" t="s">
        <v>1313</v>
      </c>
      <c r="G83" s="205" t="s">
        <v>42</v>
      </c>
      <c r="H83" s="211">
        <v>4000</v>
      </c>
      <c r="I83" s="234">
        <v>800</v>
      </c>
      <c r="J83" s="205" t="s">
        <v>179</v>
      </c>
      <c r="K83" s="205" t="s">
        <v>43</v>
      </c>
      <c r="M83">
        <f t="shared" si="0"/>
        <v>800</v>
      </c>
    </row>
    <row r="84" spans="1:16" x14ac:dyDescent="0.25">
      <c r="A84" s="203">
        <v>19</v>
      </c>
      <c r="B84" s="205" t="s">
        <v>1314</v>
      </c>
      <c r="C84" s="205" t="s">
        <v>40</v>
      </c>
      <c r="D84" s="205" t="s">
        <v>402</v>
      </c>
      <c r="E84" s="205" t="s">
        <v>57</v>
      </c>
      <c r="F84" s="206"/>
      <c r="G84" s="205" t="s">
        <v>42</v>
      </c>
      <c r="H84" s="211">
        <v>200</v>
      </c>
      <c r="I84" s="234">
        <v>40</v>
      </c>
      <c r="J84" s="205" t="s">
        <v>179</v>
      </c>
      <c r="K84" s="205" t="s">
        <v>43</v>
      </c>
      <c r="M84">
        <f t="shared" si="0"/>
        <v>40</v>
      </c>
    </row>
    <row r="85" spans="1:16" x14ac:dyDescent="0.25">
      <c r="A85" s="203">
        <v>19</v>
      </c>
      <c r="B85" s="205" t="s">
        <v>1315</v>
      </c>
      <c r="C85" s="205" t="s">
        <v>40</v>
      </c>
      <c r="D85" s="205" t="s">
        <v>1316</v>
      </c>
      <c r="E85" s="205" t="s">
        <v>52</v>
      </c>
      <c r="F85" s="206" t="s">
        <v>1317</v>
      </c>
      <c r="G85" s="205" t="s">
        <v>42</v>
      </c>
      <c r="H85" s="211">
        <v>3000</v>
      </c>
      <c r="I85" s="234">
        <v>600</v>
      </c>
      <c r="J85" s="205" t="s">
        <v>179</v>
      </c>
      <c r="K85" s="205" t="s">
        <v>43</v>
      </c>
      <c r="M85">
        <f t="shared" si="0"/>
        <v>600</v>
      </c>
    </row>
    <row r="86" spans="1:16" x14ac:dyDescent="0.25">
      <c r="A86" s="203">
        <v>19</v>
      </c>
      <c r="B86" s="205" t="s">
        <v>1318</v>
      </c>
      <c r="C86" s="205" t="s">
        <v>40</v>
      </c>
      <c r="D86" s="205" t="s">
        <v>325</v>
      </c>
      <c r="E86" s="205" t="s">
        <v>56</v>
      </c>
      <c r="F86" s="206" t="s">
        <v>1319</v>
      </c>
      <c r="G86" s="205" t="s">
        <v>42</v>
      </c>
      <c r="H86" s="211">
        <v>800</v>
      </c>
      <c r="I86" s="234">
        <v>160</v>
      </c>
      <c r="J86" s="205" t="s">
        <v>179</v>
      </c>
      <c r="K86" s="205" t="s">
        <v>43</v>
      </c>
      <c r="M86">
        <f t="shared" si="0"/>
        <v>160</v>
      </c>
    </row>
    <row r="87" spans="1:16" x14ac:dyDescent="0.25">
      <c r="A87" s="203">
        <v>19</v>
      </c>
      <c r="B87" s="205" t="s">
        <v>1320</v>
      </c>
      <c r="C87" s="205" t="s">
        <v>40</v>
      </c>
      <c r="D87" s="205" t="s">
        <v>417</v>
      </c>
      <c r="E87" s="205" t="s">
        <v>50</v>
      </c>
      <c r="F87" s="206" t="s">
        <v>1321</v>
      </c>
      <c r="G87" s="205" t="s">
        <v>42</v>
      </c>
      <c r="H87" s="211">
        <v>100</v>
      </c>
      <c r="I87" s="234">
        <v>20</v>
      </c>
      <c r="J87" s="205" t="s">
        <v>179</v>
      </c>
      <c r="K87" s="205" t="s">
        <v>43</v>
      </c>
      <c r="M87">
        <f t="shared" si="0"/>
        <v>20</v>
      </c>
      <c r="P87" s="57">
        <f>SUM(H81:H104)</f>
        <v>76350</v>
      </c>
    </row>
    <row r="88" spans="1:16" x14ac:dyDescent="0.25">
      <c r="A88" s="203">
        <v>19</v>
      </c>
      <c r="B88" s="205" t="s">
        <v>1322</v>
      </c>
      <c r="C88" s="205" t="s">
        <v>40</v>
      </c>
      <c r="D88" s="205" t="s">
        <v>875</v>
      </c>
      <c r="E88" s="205" t="s">
        <v>59</v>
      </c>
      <c r="F88" s="206" t="s">
        <v>1323</v>
      </c>
      <c r="G88" s="205" t="s">
        <v>42</v>
      </c>
      <c r="H88" s="211">
        <v>300</v>
      </c>
      <c r="I88" s="234">
        <v>60</v>
      </c>
      <c r="J88" s="205" t="s">
        <v>179</v>
      </c>
      <c r="K88" s="205" t="s">
        <v>43</v>
      </c>
      <c r="M88">
        <f t="shared" si="0"/>
        <v>60</v>
      </c>
    </row>
    <row r="89" spans="1:16" x14ac:dyDescent="0.25">
      <c r="A89" s="203">
        <v>19</v>
      </c>
      <c r="B89" s="205" t="s">
        <v>1324</v>
      </c>
      <c r="C89" s="205" t="s">
        <v>40</v>
      </c>
      <c r="D89" s="205" t="s">
        <v>1176</v>
      </c>
      <c r="E89" s="205" t="s">
        <v>44</v>
      </c>
      <c r="F89" s="206" t="s">
        <v>697</v>
      </c>
      <c r="G89" s="205" t="s">
        <v>42</v>
      </c>
      <c r="H89" s="211">
        <v>2000</v>
      </c>
      <c r="I89" s="234">
        <v>400</v>
      </c>
      <c r="J89" s="205" t="s">
        <v>179</v>
      </c>
      <c r="K89" s="205" t="s">
        <v>43</v>
      </c>
      <c r="M89">
        <f t="shared" si="0"/>
        <v>400</v>
      </c>
    </row>
    <row r="90" spans="1:16" x14ac:dyDescent="0.25">
      <c r="A90" s="203">
        <v>19</v>
      </c>
      <c r="B90" s="205" t="s">
        <v>1325</v>
      </c>
      <c r="C90" s="205" t="s">
        <v>40</v>
      </c>
      <c r="D90" s="205" t="s">
        <v>1326</v>
      </c>
      <c r="E90" s="205" t="s">
        <v>53</v>
      </c>
      <c r="F90" s="206" t="s">
        <v>1327</v>
      </c>
      <c r="G90" s="205" t="s">
        <v>42</v>
      </c>
      <c r="H90" s="211">
        <v>2000</v>
      </c>
      <c r="I90" s="234">
        <v>400</v>
      </c>
      <c r="J90" s="205" t="s">
        <v>179</v>
      </c>
      <c r="K90" s="205" t="s">
        <v>43</v>
      </c>
      <c r="M90">
        <f t="shared" si="0"/>
        <v>400</v>
      </c>
    </row>
    <row r="91" spans="1:16" x14ac:dyDescent="0.25">
      <c r="A91" s="203">
        <v>19</v>
      </c>
      <c r="B91" s="205" t="s">
        <v>1328</v>
      </c>
      <c r="C91" s="205" t="s">
        <v>40</v>
      </c>
      <c r="D91" s="205" t="s">
        <v>725</v>
      </c>
      <c r="E91" s="205" t="s">
        <v>45</v>
      </c>
      <c r="F91" s="206"/>
      <c r="G91" s="205" t="s">
        <v>42</v>
      </c>
      <c r="H91" s="211">
        <v>350</v>
      </c>
      <c r="I91" s="234">
        <v>70</v>
      </c>
      <c r="J91" s="205" t="s">
        <v>179</v>
      </c>
      <c r="K91" s="205" t="s">
        <v>43</v>
      </c>
      <c r="M91">
        <f t="shared" si="0"/>
        <v>70</v>
      </c>
    </row>
    <row r="92" spans="1:16" x14ac:dyDescent="0.25">
      <c r="A92" s="203">
        <v>19</v>
      </c>
      <c r="B92" s="205" t="s">
        <v>1329</v>
      </c>
      <c r="C92" s="205" t="s">
        <v>48</v>
      </c>
      <c r="D92" s="205" t="s">
        <v>325</v>
      </c>
      <c r="E92" s="205" t="s">
        <v>56</v>
      </c>
      <c r="F92" s="206" t="s">
        <v>1330</v>
      </c>
      <c r="G92" s="205" t="s">
        <v>42</v>
      </c>
      <c r="H92" s="211">
        <v>25000</v>
      </c>
      <c r="I92" s="234">
        <v>5000</v>
      </c>
      <c r="J92" s="205" t="s">
        <v>179</v>
      </c>
      <c r="K92" s="205" t="s">
        <v>43</v>
      </c>
      <c r="M92">
        <f t="shared" si="0"/>
        <v>5000</v>
      </c>
    </row>
    <row r="93" spans="1:16" x14ac:dyDescent="0.25">
      <c r="A93" s="203">
        <v>19</v>
      </c>
      <c r="B93" s="205" t="s">
        <v>1331</v>
      </c>
      <c r="C93" s="205" t="s">
        <v>40</v>
      </c>
      <c r="D93" s="205" t="s">
        <v>159</v>
      </c>
      <c r="E93" s="205" t="s">
        <v>52</v>
      </c>
      <c r="F93" s="206" t="s">
        <v>1332</v>
      </c>
      <c r="G93" s="205" t="s">
        <v>42</v>
      </c>
      <c r="H93" s="211">
        <v>2000</v>
      </c>
      <c r="I93" s="234">
        <v>400</v>
      </c>
      <c r="J93" s="205" t="s">
        <v>179</v>
      </c>
      <c r="K93" s="205" t="s">
        <v>43</v>
      </c>
      <c r="M93">
        <f t="shared" si="0"/>
        <v>400</v>
      </c>
    </row>
    <row r="94" spans="1:16" x14ac:dyDescent="0.25">
      <c r="A94" s="203">
        <v>19</v>
      </c>
      <c r="B94" s="205" t="s">
        <v>1333</v>
      </c>
      <c r="C94" s="205" t="s">
        <v>40</v>
      </c>
      <c r="D94" s="205" t="s">
        <v>890</v>
      </c>
      <c r="E94" s="205" t="s">
        <v>60</v>
      </c>
      <c r="F94" s="206" t="s">
        <v>1334</v>
      </c>
      <c r="G94" s="205" t="s">
        <v>42</v>
      </c>
      <c r="H94" s="211">
        <v>1500</v>
      </c>
      <c r="I94" s="234">
        <v>300</v>
      </c>
      <c r="J94" s="205" t="s">
        <v>179</v>
      </c>
      <c r="K94" s="205" t="s">
        <v>43</v>
      </c>
      <c r="M94">
        <f t="shared" si="0"/>
        <v>300</v>
      </c>
    </row>
    <row r="95" spans="1:16" x14ac:dyDescent="0.25">
      <c r="A95" s="203">
        <v>19</v>
      </c>
      <c r="B95" s="205" t="s">
        <v>1335</v>
      </c>
      <c r="C95" s="205" t="s">
        <v>40</v>
      </c>
      <c r="D95" s="205" t="s">
        <v>1336</v>
      </c>
      <c r="E95" s="205" t="s">
        <v>67</v>
      </c>
      <c r="F95" s="206" t="s">
        <v>1337</v>
      </c>
      <c r="G95" s="205" t="s">
        <v>42</v>
      </c>
      <c r="H95" s="211">
        <v>1500</v>
      </c>
      <c r="I95" s="234">
        <v>300</v>
      </c>
      <c r="J95" s="205" t="s">
        <v>179</v>
      </c>
      <c r="K95" s="205" t="s">
        <v>43</v>
      </c>
      <c r="M95">
        <f t="shared" si="0"/>
        <v>300</v>
      </c>
    </row>
    <row r="96" spans="1:16" x14ac:dyDescent="0.25">
      <c r="A96" s="203">
        <v>19</v>
      </c>
      <c r="B96" s="205" t="s">
        <v>1338</v>
      </c>
      <c r="C96" s="205" t="s">
        <v>40</v>
      </c>
      <c r="D96" s="205" t="s">
        <v>1339</v>
      </c>
      <c r="E96" s="205" t="s">
        <v>73</v>
      </c>
      <c r="F96" s="206" t="s">
        <v>1340</v>
      </c>
      <c r="G96" s="205" t="s">
        <v>42</v>
      </c>
      <c r="H96" s="211">
        <v>500</v>
      </c>
      <c r="I96" s="234">
        <v>100</v>
      </c>
      <c r="J96" s="205" t="s">
        <v>179</v>
      </c>
      <c r="K96" s="205" t="s">
        <v>43</v>
      </c>
      <c r="M96">
        <f t="shared" si="0"/>
        <v>100</v>
      </c>
    </row>
    <row r="97" spans="1:16" x14ac:dyDescent="0.25">
      <c r="A97" s="203">
        <v>19</v>
      </c>
      <c r="B97" s="205" t="s">
        <v>1341</v>
      </c>
      <c r="C97" s="205" t="s">
        <v>40</v>
      </c>
      <c r="D97" s="205" t="s">
        <v>1342</v>
      </c>
      <c r="E97" s="205" t="s">
        <v>61</v>
      </c>
      <c r="F97" s="206" t="s">
        <v>1343</v>
      </c>
      <c r="G97" s="205" t="s">
        <v>42</v>
      </c>
      <c r="H97" s="211">
        <v>600</v>
      </c>
      <c r="I97" s="234">
        <v>120</v>
      </c>
      <c r="J97" s="205" t="s">
        <v>179</v>
      </c>
      <c r="K97" s="205" t="s">
        <v>43</v>
      </c>
      <c r="M97">
        <f t="shared" si="0"/>
        <v>120</v>
      </c>
    </row>
    <row r="98" spans="1:16" x14ac:dyDescent="0.25">
      <c r="A98" s="203">
        <v>19</v>
      </c>
      <c r="B98" s="205" t="s">
        <v>1344</v>
      </c>
      <c r="C98" s="205" t="s">
        <v>40</v>
      </c>
      <c r="D98" s="205" t="s">
        <v>873</v>
      </c>
      <c r="E98" s="205" t="s">
        <v>57</v>
      </c>
      <c r="F98" s="206" t="s">
        <v>1345</v>
      </c>
      <c r="G98" s="205" t="s">
        <v>42</v>
      </c>
      <c r="H98" s="211">
        <v>10000</v>
      </c>
      <c r="I98" s="234">
        <v>2000</v>
      </c>
      <c r="J98" s="205" t="s">
        <v>179</v>
      </c>
      <c r="K98" s="205" t="s">
        <v>43</v>
      </c>
      <c r="M98">
        <f t="shared" si="0"/>
        <v>2000</v>
      </c>
    </row>
    <row r="99" spans="1:16" x14ac:dyDescent="0.25">
      <c r="A99" s="203">
        <v>19</v>
      </c>
      <c r="B99" s="205" t="s">
        <v>1346</v>
      </c>
      <c r="C99" s="205" t="s">
        <v>48</v>
      </c>
      <c r="D99" s="205" t="s">
        <v>1253</v>
      </c>
      <c r="E99" s="205" t="s">
        <v>52</v>
      </c>
      <c r="F99" s="206" t="s">
        <v>1347</v>
      </c>
      <c r="G99" s="205" t="s">
        <v>42</v>
      </c>
      <c r="H99" s="211">
        <v>3000</v>
      </c>
      <c r="I99" s="234">
        <v>600</v>
      </c>
      <c r="J99" s="205" t="s">
        <v>179</v>
      </c>
      <c r="K99" s="205" t="s">
        <v>43</v>
      </c>
      <c r="M99">
        <f t="shared" si="0"/>
        <v>600</v>
      </c>
    </row>
    <row r="100" spans="1:16" x14ac:dyDescent="0.25">
      <c r="A100" s="203">
        <v>19</v>
      </c>
      <c r="B100" s="205" t="s">
        <v>1348</v>
      </c>
      <c r="C100" s="205" t="s">
        <v>40</v>
      </c>
      <c r="D100" s="205" t="s">
        <v>144</v>
      </c>
      <c r="E100" s="205" t="s">
        <v>60</v>
      </c>
      <c r="F100" s="206" t="s">
        <v>1349</v>
      </c>
      <c r="G100" s="205" t="s">
        <v>42</v>
      </c>
      <c r="H100" s="211">
        <v>1200</v>
      </c>
      <c r="I100" s="234">
        <v>240</v>
      </c>
      <c r="J100" s="205" t="s">
        <v>179</v>
      </c>
      <c r="K100" s="205" t="s">
        <v>43</v>
      </c>
      <c r="M100">
        <f t="shared" si="0"/>
        <v>240</v>
      </c>
    </row>
    <row r="101" spans="1:16" x14ac:dyDescent="0.25">
      <c r="A101" s="203">
        <v>19</v>
      </c>
      <c r="B101" s="205" t="s">
        <v>1350</v>
      </c>
      <c r="C101" s="205" t="s">
        <v>48</v>
      </c>
      <c r="D101" s="205" t="s">
        <v>488</v>
      </c>
      <c r="E101" s="205" t="s">
        <v>46</v>
      </c>
      <c r="F101" s="206" t="s">
        <v>1351</v>
      </c>
      <c r="G101" s="205" t="s">
        <v>42</v>
      </c>
      <c r="H101" s="211">
        <v>7000</v>
      </c>
      <c r="I101" s="234">
        <v>1400</v>
      </c>
      <c r="J101" s="205" t="s">
        <v>179</v>
      </c>
      <c r="K101" s="205" t="s">
        <v>43</v>
      </c>
      <c r="M101">
        <f t="shared" si="0"/>
        <v>1400</v>
      </c>
    </row>
    <row r="102" spans="1:16" x14ac:dyDescent="0.25">
      <c r="A102" s="321">
        <v>19</v>
      </c>
      <c r="B102" s="205" t="s">
        <v>1352</v>
      </c>
      <c r="C102" s="205" t="s">
        <v>48</v>
      </c>
      <c r="D102" s="205" t="s">
        <v>369</v>
      </c>
      <c r="E102" s="205" t="s">
        <v>52</v>
      </c>
      <c r="F102" s="206" t="s">
        <v>1353</v>
      </c>
      <c r="G102" s="205" t="s">
        <v>42</v>
      </c>
      <c r="H102" s="211">
        <v>800</v>
      </c>
      <c r="I102" s="234">
        <v>160</v>
      </c>
      <c r="J102" s="205" t="s">
        <v>179</v>
      </c>
      <c r="K102" s="205" t="s">
        <v>43</v>
      </c>
      <c r="M102">
        <f t="shared" si="0"/>
        <v>160</v>
      </c>
    </row>
    <row r="103" spans="1:16" x14ac:dyDescent="0.25">
      <c r="A103" s="203">
        <v>20</v>
      </c>
      <c r="B103" s="205" t="s">
        <v>1356</v>
      </c>
      <c r="C103" s="205" t="s">
        <v>48</v>
      </c>
      <c r="D103" s="205" t="s">
        <v>144</v>
      </c>
      <c r="E103" s="205" t="s">
        <v>57</v>
      </c>
      <c r="F103" s="206" t="s">
        <v>1357</v>
      </c>
      <c r="G103" s="205" t="s">
        <v>42</v>
      </c>
      <c r="H103" s="211">
        <v>1500</v>
      </c>
      <c r="I103" s="234">
        <v>300</v>
      </c>
      <c r="J103" s="205" t="s">
        <v>179</v>
      </c>
      <c r="K103" s="205" t="s">
        <v>43</v>
      </c>
      <c r="M103">
        <f t="shared" si="0"/>
        <v>300</v>
      </c>
    </row>
    <row r="104" spans="1:16" x14ac:dyDescent="0.25">
      <c r="A104" s="321">
        <v>20</v>
      </c>
      <c r="B104" s="205" t="s">
        <v>1358</v>
      </c>
      <c r="C104" s="205" t="s">
        <v>40</v>
      </c>
      <c r="D104" s="205" t="s">
        <v>890</v>
      </c>
      <c r="E104" s="205" t="s">
        <v>60</v>
      </c>
      <c r="F104" s="206" t="s">
        <v>1359</v>
      </c>
      <c r="G104" s="205" t="s">
        <v>42</v>
      </c>
      <c r="H104" s="211">
        <v>2000</v>
      </c>
      <c r="I104" s="234">
        <v>400</v>
      </c>
      <c r="J104" s="205" t="s">
        <v>179</v>
      </c>
      <c r="K104" s="205" t="s">
        <v>43</v>
      </c>
      <c r="M104">
        <f t="shared" si="0"/>
        <v>400</v>
      </c>
      <c r="P104" s="25"/>
    </row>
    <row r="105" spans="1:16" x14ac:dyDescent="0.25">
      <c r="A105" s="203">
        <v>20</v>
      </c>
      <c r="B105" s="205" t="s">
        <v>670</v>
      </c>
      <c r="C105" s="205" t="s">
        <v>40</v>
      </c>
      <c r="D105" s="205" t="s">
        <v>671</v>
      </c>
      <c r="E105" s="205" t="s">
        <v>49</v>
      </c>
      <c r="F105" s="206"/>
      <c r="G105" s="205" t="s">
        <v>1362</v>
      </c>
      <c r="H105" s="211">
        <v>4</v>
      </c>
      <c r="I105" s="234" t="s">
        <v>255</v>
      </c>
      <c r="J105" s="205" t="s">
        <v>179</v>
      </c>
      <c r="K105" s="205" t="s">
        <v>43</v>
      </c>
      <c r="M105">
        <f t="shared" si="0"/>
        <v>0.8</v>
      </c>
      <c r="P105" s="57"/>
    </row>
    <row r="106" spans="1:16" x14ac:dyDescent="0.25">
      <c r="A106" s="203">
        <v>21</v>
      </c>
      <c r="B106" s="205" t="s">
        <v>1369</v>
      </c>
      <c r="C106" s="205" t="s">
        <v>40</v>
      </c>
      <c r="D106" s="205" t="s">
        <v>1370</v>
      </c>
      <c r="E106" s="205" t="s">
        <v>61</v>
      </c>
      <c r="F106" s="206" t="s">
        <v>1371</v>
      </c>
      <c r="G106" s="205" t="s">
        <v>42</v>
      </c>
      <c r="H106" s="211">
        <v>500</v>
      </c>
      <c r="I106" s="234">
        <v>100</v>
      </c>
      <c r="J106" s="205" t="s">
        <v>179</v>
      </c>
      <c r="K106" s="205" t="s">
        <v>43</v>
      </c>
      <c r="M106">
        <f t="shared" si="0"/>
        <v>100</v>
      </c>
      <c r="P106" s="57"/>
    </row>
    <row r="107" spans="1:16" x14ac:dyDescent="0.25">
      <c r="A107" s="203">
        <v>21</v>
      </c>
      <c r="B107" s="205" t="s">
        <v>1372</v>
      </c>
      <c r="C107" s="205" t="s">
        <v>48</v>
      </c>
      <c r="D107" s="205" t="s">
        <v>521</v>
      </c>
      <c r="E107" s="205" t="s">
        <v>72</v>
      </c>
      <c r="F107" s="206" t="s">
        <v>1373</v>
      </c>
      <c r="G107" s="205" t="s">
        <v>42</v>
      </c>
      <c r="H107" s="211">
        <v>2000</v>
      </c>
      <c r="I107" s="234">
        <v>400</v>
      </c>
      <c r="J107" s="205" t="s">
        <v>179</v>
      </c>
      <c r="K107" s="205" t="s">
        <v>43</v>
      </c>
      <c r="M107">
        <f t="shared" si="0"/>
        <v>400</v>
      </c>
      <c r="P107" s="57"/>
    </row>
    <row r="108" spans="1:16" x14ac:dyDescent="0.25">
      <c r="A108" s="321">
        <v>22</v>
      </c>
      <c r="B108" s="205" t="s">
        <v>1374</v>
      </c>
      <c r="C108" s="205" t="s">
        <v>48</v>
      </c>
      <c r="D108" s="205" t="s">
        <v>451</v>
      </c>
      <c r="E108" s="205" t="s">
        <v>57</v>
      </c>
      <c r="F108" s="206" t="s">
        <v>1375</v>
      </c>
      <c r="G108" s="205" t="s">
        <v>42</v>
      </c>
      <c r="H108" s="211">
        <v>1000</v>
      </c>
      <c r="I108" s="234">
        <v>200</v>
      </c>
      <c r="J108" s="205" t="s">
        <v>179</v>
      </c>
      <c r="K108" s="205" t="s">
        <v>43</v>
      </c>
      <c r="M108">
        <f t="shared" si="0"/>
        <v>200</v>
      </c>
      <c r="P108" s="57"/>
    </row>
    <row r="109" spans="1:16" x14ac:dyDescent="0.25">
      <c r="A109" s="203">
        <v>26</v>
      </c>
      <c r="B109" s="205" t="s">
        <v>1377</v>
      </c>
      <c r="C109" s="205" t="s">
        <v>40</v>
      </c>
      <c r="D109" s="205" t="s">
        <v>1378</v>
      </c>
      <c r="E109" s="205" t="s">
        <v>52</v>
      </c>
      <c r="F109" s="206" t="s">
        <v>1379</v>
      </c>
      <c r="G109" s="205" t="s">
        <v>42</v>
      </c>
      <c r="H109" s="211">
        <v>100</v>
      </c>
      <c r="I109" s="234">
        <v>20</v>
      </c>
      <c r="J109" s="205" t="s">
        <v>179</v>
      </c>
      <c r="K109" s="205" t="s">
        <v>43</v>
      </c>
      <c r="M109">
        <f t="shared" si="0"/>
        <v>20</v>
      </c>
      <c r="P109" s="57"/>
    </row>
    <row r="110" spans="1:16" x14ac:dyDescent="0.25">
      <c r="A110" s="203">
        <v>26</v>
      </c>
      <c r="B110" s="205" t="s">
        <v>1380</v>
      </c>
      <c r="C110" s="205" t="s">
        <v>40</v>
      </c>
      <c r="D110" s="205" t="s">
        <v>141</v>
      </c>
      <c r="E110" s="205" t="s">
        <v>45</v>
      </c>
      <c r="F110" s="206" t="s">
        <v>1381</v>
      </c>
      <c r="G110" s="205" t="s">
        <v>42</v>
      </c>
      <c r="H110" s="211">
        <v>6000</v>
      </c>
      <c r="I110" s="234">
        <v>1200</v>
      </c>
      <c r="J110" s="205" t="s">
        <v>179</v>
      </c>
      <c r="K110" s="205" t="s">
        <v>43</v>
      </c>
      <c r="M110">
        <f t="shared" si="0"/>
        <v>1200</v>
      </c>
      <c r="P110" s="57"/>
    </row>
    <row r="111" spans="1:16" x14ac:dyDescent="0.25">
      <c r="A111" s="203">
        <v>26</v>
      </c>
      <c r="B111" s="205" t="s">
        <v>1382</v>
      </c>
      <c r="C111" s="205" t="s">
        <v>40</v>
      </c>
      <c r="D111" s="205" t="s">
        <v>852</v>
      </c>
      <c r="E111" s="205" t="s">
        <v>45</v>
      </c>
      <c r="F111" s="206"/>
      <c r="G111" s="205" t="s">
        <v>42</v>
      </c>
      <c r="H111" s="211">
        <v>1000</v>
      </c>
      <c r="I111" s="234">
        <v>200</v>
      </c>
      <c r="J111" s="205" t="s">
        <v>179</v>
      </c>
      <c r="K111" s="205" t="s">
        <v>43</v>
      </c>
      <c r="M111">
        <f t="shared" si="0"/>
        <v>200</v>
      </c>
      <c r="P111" s="57"/>
    </row>
    <row r="112" spans="1:16" x14ac:dyDescent="0.25">
      <c r="A112" s="203">
        <v>26</v>
      </c>
      <c r="B112" s="205" t="s">
        <v>1383</v>
      </c>
      <c r="C112" s="205" t="s">
        <v>40</v>
      </c>
      <c r="D112" s="205" t="s">
        <v>1253</v>
      </c>
      <c r="E112" s="205" t="s">
        <v>52</v>
      </c>
      <c r="F112" s="206" t="s">
        <v>1384</v>
      </c>
      <c r="G112" s="205" t="s">
        <v>42</v>
      </c>
      <c r="H112" s="211">
        <v>500</v>
      </c>
      <c r="I112" s="234">
        <v>100</v>
      </c>
      <c r="J112" s="205" t="s">
        <v>179</v>
      </c>
      <c r="K112" s="205" t="s">
        <v>43</v>
      </c>
      <c r="M112">
        <f t="shared" si="0"/>
        <v>100</v>
      </c>
      <c r="P112" s="57"/>
    </row>
    <row r="113" spans="1:16" x14ac:dyDescent="0.25">
      <c r="A113" s="203">
        <v>26</v>
      </c>
      <c r="B113" s="205" t="s">
        <v>1385</v>
      </c>
      <c r="C113" s="205" t="s">
        <v>40</v>
      </c>
      <c r="D113" s="205" t="s">
        <v>1231</v>
      </c>
      <c r="E113" s="205" t="s">
        <v>52</v>
      </c>
      <c r="F113" s="206" t="s">
        <v>1386</v>
      </c>
      <c r="G113" s="205" t="s">
        <v>42</v>
      </c>
      <c r="H113" s="211">
        <v>600</v>
      </c>
      <c r="I113" s="234">
        <v>120</v>
      </c>
      <c r="J113" s="205" t="s">
        <v>179</v>
      </c>
      <c r="K113" s="205" t="s">
        <v>43</v>
      </c>
      <c r="M113">
        <f t="shared" si="0"/>
        <v>120</v>
      </c>
      <c r="P113" s="57"/>
    </row>
    <row r="114" spans="1:16" x14ac:dyDescent="0.25">
      <c r="A114" s="203">
        <v>26</v>
      </c>
      <c r="B114" s="205" t="s">
        <v>1387</v>
      </c>
      <c r="C114" s="205" t="s">
        <v>40</v>
      </c>
      <c r="D114" s="205" t="s">
        <v>366</v>
      </c>
      <c r="E114" s="205" t="s">
        <v>57</v>
      </c>
      <c r="F114" s="206" t="s">
        <v>1388</v>
      </c>
      <c r="G114" s="205" t="s">
        <v>42</v>
      </c>
      <c r="H114" s="211">
        <v>800</v>
      </c>
      <c r="I114" s="234">
        <v>160</v>
      </c>
      <c r="J114" s="205" t="s">
        <v>179</v>
      </c>
      <c r="K114" s="205" t="s">
        <v>43</v>
      </c>
      <c r="M114">
        <f t="shared" si="0"/>
        <v>160</v>
      </c>
      <c r="P114" s="57"/>
    </row>
    <row r="115" spans="1:16" x14ac:dyDescent="0.25">
      <c r="A115" s="203">
        <v>26</v>
      </c>
      <c r="B115" s="205" t="s">
        <v>1389</v>
      </c>
      <c r="C115" s="205" t="s">
        <v>40</v>
      </c>
      <c r="D115" s="205" t="s">
        <v>1231</v>
      </c>
      <c r="E115" s="205" t="s">
        <v>52</v>
      </c>
      <c r="F115" s="206" t="s">
        <v>1390</v>
      </c>
      <c r="G115" s="205" t="s">
        <v>42</v>
      </c>
      <c r="H115" s="211">
        <v>1000</v>
      </c>
      <c r="I115" s="234">
        <v>200</v>
      </c>
      <c r="J115" s="205" t="s">
        <v>179</v>
      </c>
      <c r="K115" s="205" t="s">
        <v>43</v>
      </c>
      <c r="M115">
        <f t="shared" si="0"/>
        <v>200</v>
      </c>
      <c r="P115" s="57"/>
    </row>
    <row r="116" spans="1:16" x14ac:dyDescent="0.25">
      <c r="A116" s="203">
        <v>26</v>
      </c>
      <c r="B116" s="205" t="s">
        <v>1391</v>
      </c>
      <c r="C116" s="205" t="s">
        <v>40</v>
      </c>
      <c r="D116" s="205" t="s">
        <v>1392</v>
      </c>
      <c r="E116" s="205" t="s">
        <v>59</v>
      </c>
      <c r="F116" s="206" t="s">
        <v>1393</v>
      </c>
      <c r="G116" s="205" t="s">
        <v>42</v>
      </c>
      <c r="H116" s="211">
        <v>1300</v>
      </c>
      <c r="I116" s="234">
        <v>260</v>
      </c>
      <c r="J116" s="205" t="s">
        <v>179</v>
      </c>
      <c r="K116" s="205" t="s">
        <v>43</v>
      </c>
      <c r="M116">
        <f t="shared" si="0"/>
        <v>260</v>
      </c>
      <c r="P116" s="57"/>
    </row>
    <row r="117" spans="1:16" x14ac:dyDescent="0.25">
      <c r="A117" s="203">
        <v>26</v>
      </c>
      <c r="B117" s="205" t="s">
        <v>1394</v>
      </c>
      <c r="C117" s="205" t="s">
        <v>40</v>
      </c>
      <c r="D117" s="205" t="s">
        <v>1169</v>
      </c>
      <c r="E117" s="205" t="s">
        <v>67</v>
      </c>
      <c r="F117" s="206" t="s">
        <v>1395</v>
      </c>
      <c r="G117" s="205" t="s">
        <v>42</v>
      </c>
      <c r="H117" s="211">
        <v>1500</v>
      </c>
      <c r="I117" s="234">
        <v>300</v>
      </c>
      <c r="J117" s="205" t="s">
        <v>179</v>
      </c>
      <c r="K117" s="205" t="s">
        <v>43</v>
      </c>
      <c r="M117">
        <f t="shared" si="0"/>
        <v>300</v>
      </c>
      <c r="P117" s="57"/>
    </row>
    <row r="118" spans="1:16" x14ac:dyDescent="0.25">
      <c r="A118" s="203">
        <v>26</v>
      </c>
      <c r="B118" s="205" t="s">
        <v>1396</v>
      </c>
      <c r="C118" s="205" t="s">
        <v>40</v>
      </c>
      <c r="D118" s="205" t="s">
        <v>1397</v>
      </c>
      <c r="E118" s="205" t="s">
        <v>51</v>
      </c>
      <c r="F118" s="206" t="s">
        <v>1398</v>
      </c>
      <c r="G118" s="205" t="s">
        <v>42</v>
      </c>
      <c r="H118" s="211">
        <v>1000</v>
      </c>
      <c r="I118" s="234" t="s">
        <v>255</v>
      </c>
      <c r="J118" s="205" t="s">
        <v>179</v>
      </c>
      <c r="K118" s="205" t="s">
        <v>43</v>
      </c>
      <c r="M118">
        <f t="shared" si="0"/>
        <v>200</v>
      </c>
      <c r="P118" s="57"/>
    </row>
    <row r="119" spans="1:16" x14ac:dyDescent="0.25">
      <c r="A119" s="203"/>
      <c r="B119" s="205"/>
      <c r="C119" s="205"/>
      <c r="D119" s="205"/>
      <c r="E119" s="205"/>
      <c r="F119" s="206"/>
      <c r="G119" s="205"/>
      <c r="H119" s="211"/>
      <c r="I119" s="234"/>
      <c r="J119" s="205"/>
      <c r="K119" s="205"/>
      <c r="P119" s="57"/>
    </row>
    <row r="120" spans="1:16" x14ac:dyDescent="0.25">
      <c r="A120" s="203"/>
      <c r="B120" s="205"/>
      <c r="C120" s="205"/>
      <c r="D120" s="205"/>
      <c r="E120" s="205"/>
      <c r="F120" s="206"/>
      <c r="G120" s="205"/>
      <c r="H120" s="211"/>
      <c r="I120" s="234"/>
      <c r="J120" s="205"/>
      <c r="K120" s="205"/>
      <c r="P120" s="57"/>
    </row>
    <row r="121" spans="1:16" x14ac:dyDescent="0.25">
      <c r="A121" s="203"/>
      <c r="B121" s="205"/>
      <c r="C121" s="205"/>
      <c r="D121" s="205"/>
      <c r="E121" s="205"/>
      <c r="F121" s="206"/>
      <c r="G121" s="205"/>
      <c r="H121" s="211"/>
      <c r="I121" s="234"/>
      <c r="J121" s="205"/>
      <c r="K121" s="205"/>
      <c r="M121">
        <f t="shared" si="0"/>
        <v>0</v>
      </c>
      <c r="P121" s="57"/>
    </row>
    <row r="122" spans="1:16" x14ac:dyDescent="0.25">
      <c r="A122" s="203"/>
      <c r="B122" s="208"/>
      <c r="C122" s="205"/>
      <c r="D122" s="205"/>
      <c r="E122" s="205"/>
      <c r="F122" s="206"/>
      <c r="G122" s="205"/>
      <c r="H122" s="211"/>
      <c r="I122" s="234"/>
      <c r="J122" s="205"/>
      <c r="K122" s="205"/>
      <c r="P122" s="25"/>
    </row>
    <row r="123" spans="1:16" x14ac:dyDescent="0.25">
      <c r="A123" s="230"/>
      <c r="B123" s="79"/>
      <c r="C123" s="199"/>
      <c r="D123" s="199"/>
      <c r="E123" s="199"/>
      <c r="F123" s="200"/>
      <c r="G123" s="199"/>
      <c r="H123" s="209"/>
      <c r="I123" s="210"/>
      <c r="J123" s="199"/>
      <c r="K123" s="199"/>
      <c r="M123">
        <f>SUM(M12:M121)</f>
        <v>60885.8</v>
      </c>
    </row>
    <row r="124" spans="1:16" x14ac:dyDescent="0.25">
      <c r="A124" s="324"/>
    </row>
    <row r="125" spans="1:16" x14ac:dyDescent="0.25">
      <c r="A125" s="324"/>
    </row>
    <row r="126" spans="1:16" x14ac:dyDescent="0.25">
      <c r="I126" s="92" t="s">
        <v>19</v>
      </c>
      <c r="J126" s="26"/>
    </row>
    <row r="127" spans="1:16" ht="16.5" customHeight="1" x14ac:dyDescent="0.25">
      <c r="B127" t="s">
        <v>20</v>
      </c>
      <c r="E127" t="s">
        <v>21</v>
      </c>
      <c r="I127" s="81" t="s">
        <v>114</v>
      </c>
      <c r="J127" s="97">
        <v>100</v>
      </c>
      <c r="P127" s="25"/>
    </row>
    <row r="128" spans="1:16" x14ac:dyDescent="0.25">
      <c r="I128" s="81" t="s">
        <v>115</v>
      </c>
      <c r="J128" s="97"/>
      <c r="K128" s="57"/>
      <c r="P128" s="57"/>
    </row>
    <row r="129" spans="2:16" x14ac:dyDescent="0.25">
      <c r="I129" s="81" t="s">
        <v>165</v>
      </c>
      <c r="J129" s="99">
        <v>304325</v>
      </c>
      <c r="K129" s="57"/>
      <c r="N129" s="25">
        <f>J129+3500</f>
        <v>307825</v>
      </c>
      <c r="P129" s="25">
        <f>SUM(H12:H50)</f>
        <v>110525</v>
      </c>
    </row>
    <row r="130" spans="2:16" x14ac:dyDescent="0.25">
      <c r="I130" s="81" t="s">
        <v>567</v>
      </c>
      <c r="J130" s="99"/>
      <c r="P130" s="57">
        <f>SUM(H53:H79)</f>
        <v>100150</v>
      </c>
    </row>
    <row r="131" spans="2:16" x14ac:dyDescent="0.25">
      <c r="B131" s="93" t="s">
        <v>538</v>
      </c>
      <c r="E131" s="533" t="s">
        <v>941</v>
      </c>
      <c r="F131" s="533"/>
      <c r="G131" s="533"/>
      <c r="H131" s="533"/>
      <c r="I131" s="81" t="s">
        <v>116</v>
      </c>
      <c r="J131" s="99"/>
      <c r="P131" s="57">
        <f>SUM(H81:H104)</f>
        <v>76350</v>
      </c>
    </row>
    <row r="132" spans="2:16" x14ac:dyDescent="0.25">
      <c r="B132" t="s">
        <v>183</v>
      </c>
      <c r="E132" s="522" t="s">
        <v>942</v>
      </c>
      <c r="F132" s="522"/>
      <c r="G132" s="522"/>
      <c r="H132" s="522"/>
      <c r="I132" s="81" t="s">
        <v>117</v>
      </c>
      <c r="J132" s="99">
        <v>100</v>
      </c>
      <c r="P132" s="57">
        <f>SUM(H106:H118)</f>
        <v>17300</v>
      </c>
    </row>
    <row r="133" spans="2:16" x14ac:dyDescent="0.25">
      <c r="I133" s="81" t="s">
        <v>119</v>
      </c>
      <c r="J133" s="99">
        <v>4</v>
      </c>
      <c r="P133" s="25">
        <f>SUM(P129:P132)</f>
        <v>304325</v>
      </c>
    </row>
    <row r="134" spans="2:16" x14ac:dyDescent="0.25">
      <c r="I134" s="94" t="s">
        <v>113</v>
      </c>
      <c r="J134" s="97"/>
    </row>
    <row r="135" spans="2:16" x14ac:dyDescent="0.25">
      <c r="I135" s="81" t="s">
        <v>23</v>
      </c>
      <c r="J135" s="323"/>
    </row>
    <row r="136" spans="2:16" x14ac:dyDescent="0.25">
      <c r="I136" s="95" t="s">
        <v>111</v>
      </c>
      <c r="J136" s="99"/>
    </row>
    <row r="137" spans="2:16" x14ac:dyDescent="0.25">
      <c r="B137" s="27"/>
      <c r="E137" s="27"/>
      <c r="F137" s="27"/>
      <c r="G137" s="27"/>
      <c r="I137" s="95" t="s">
        <v>112</v>
      </c>
      <c r="J137" s="58"/>
    </row>
    <row r="138" spans="2:16" x14ac:dyDescent="0.25">
      <c r="I138" s="81"/>
      <c r="J138" s="26"/>
    </row>
    <row r="139" spans="2:16" x14ac:dyDescent="0.25">
      <c r="I139" s="81"/>
      <c r="J139" s="26"/>
    </row>
    <row r="140" spans="2:16" x14ac:dyDescent="0.25">
      <c r="I140" s="81"/>
      <c r="J140" s="58"/>
    </row>
    <row r="141" spans="2:16" x14ac:dyDescent="0.25">
      <c r="I141" s="81"/>
      <c r="J141" s="58"/>
    </row>
    <row r="161" spans="12:12" x14ac:dyDescent="0.25">
      <c r="L161" s="25"/>
    </row>
    <row r="184" spans="12:12" x14ac:dyDescent="0.25">
      <c r="L184" s="25"/>
    </row>
    <row r="311" spans="12:12" x14ac:dyDescent="0.25">
      <c r="L311" s="25"/>
    </row>
  </sheetData>
  <mergeCells count="8">
    <mergeCell ref="E131:H131"/>
    <mergeCell ref="E132:H132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1398-0059-4C59-9DE7-40543A04DFCE}">
  <sheetPr>
    <tabColor theme="5"/>
  </sheetPr>
  <dimension ref="A1:O31"/>
  <sheetViews>
    <sheetView view="pageBreakPreview" zoomScale="96" zoomScaleNormal="100" zoomScaleSheetLayoutView="96" workbookViewId="0">
      <selection activeCell="L13" sqref="L13:L16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6.7109375" customWidth="1"/>
    <col min="9" max="9" width="19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</row>
    <row r="2" spans="1:15" ht="18" x14ac:dyDescent="0.25">
      <c r="A2" s="524" t="s">
        <v>1061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</row>
    <row r="3" spans="1:15" x14ac:dyDescent="0.25">
      <c r="A3" s="183"/>
      <c r="B3" s="1"/>
      <c r="C3" s="28"/>
      <c r="D3" s="1"/>
      <c r="E3" s="1"/>
      <c r="G3" s="1"/>
      <c r="H3" s="28"/>
      <c r="I3" s="25"/>
      <c r="J3" s="29"/>
      <c r="K3" s="526" t="s">
        <v>1015</v>
      </c>
      <c r="L3" s="536"/>
    </row>
    <row r="4" spans="1:15" x14ac:dyDescent="0.25">
      <c r="A4" s="183"/>
      <c r="B4" s="1"/>
      <c r="C4" s="28"/>
      <c r="D4" s="1"/>
      <c r="E4" s="1"/>
      <c r="G4" s="1"/>
      <c r="H4" s="28"/>
      <c r="I4" s="25"/>
      <c r="J4" s="29"/>
      <c r="K4" s="31" t="s">
        <v>37</v>
      </c>
      <c r="L4" s="100">
        <v>1</v>
      </c>
    </row>
    <row r="5" spans="1:15" x14ac:dyDescent="0.25">
      <c r="A5" s="183"/>
      <c r="B5" s="1"/>
      <c r="C5" s="28"/>
      <c r="D5" s="1"/>
      <c r="E5" s="1"/>
      <c r="G5" s="1"/>
      <c r="H5" s="28"/>
      <c r="I5" s="25"/>
      <c r="J5" s="29"/>
      <c r="K5" s="31" t="s">
        <v>38</v>
      </c>
      <c r="L5" s="100"/>
    </row>
    <row r="6" spans="1:15" ht="18" x14ac:dyDescent="0.25">
      <c r="A6" s="528" t="s">
        <v>122</v>
      </c>
      <c r="B6" s="528"/>
      <c r="C6" s="32"/>
      <c r="D6" s="1"/>
      <c r="E6" s="4"/>
      <c r="F6" s="2"/>
      <c r="G6" s="1"/>
      <c r="H6" s="28"/>
      <c r="I6" s="25"/>
      <c r="J6" s="29"/>
      <c r="K6" s="5" t="s">
        <v>39</v>
      </c>
      <c r="L6" s="33"/>
    </row>
    <row r="7" spans="1:15" x14ac:dyDescent="0.25">
      <c r="A7" s="6"/>
      <c r="B7" s="7"/>
      <c r="C7" s="34" t="s">
        <v>24</v>
      </c>
      <c r="D7" s="8"/>
      <c r="E7" s="8"/>
      <c r="F7" s="35" t="s">
        <v>25</v>
      </c>
      <c r="G7" s="34" t="s">
        <v>26</v>
      </c>
      <c r="H7" s="529" t="s">
        <v>27</v>
      </c>
      <c r="I7" s="530"/>
      <c r="J7" s="36"/>
      <c r="K7" s="531" t="s">
        <v>2</v>
      </c>
      <c r="L7" s="532"/>
    </row>
    <row r="8" spans="1:15" x14ac:dyDescent="0.25">
      <c r="A8" s="519" t="s">
        <v>28</v>
      </c>
      <c r="B8" s="520"/>
      <c r="C8" s="35" t="s">
        <v>29</v>
      </c>
      <c r="D8" s="184" t="s">
        <v>5</v>
      </c>
      <c r="E8" s="9" t="s">
        <v>6</v>
      </c>
      <c r="F8" s="35" t="s">
        <v>30</v>
      </c>
      <c r="G8" s="37" t="s">
        <v>31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7"/>
      <c r="B9" s="14"/>
      <c r="C9" s="35" t="s">
        <v>32</v>
      </c>
      <c r="D9" s="15"/>
      <c r="E9" s="14"/>
      <c r="F9" s="35" t="s">
        <v>33</v>
      </c>
      <c r="G9" s="37" t="s">
        <v>34</v>
      </c>
      <c r="H9" s="40" t="s">
        <v>11</v>
      </c>
      <c r="I9" s="39" t="s">
        <v>12</v>
      </c>
      <c r="J9" s="41"/>
      <c r="K9" s="184" t="s">
        <v>13</v>
      </c>
      <c r="L9" s="184" t="s">
        <v>14</v>
      </c>
    </row>
    <row r="10" spans="1:15" x14ac:dyDescent="0.25">
      <c r="A10" s="18"/>
      <c r="B10" s="19"/>
      <c r="C10" s="42"/>
      <c r="D10" s="20"/>
      <c r="E10" s="20"/>
      <c r="F10" s="43" t="s">
        <v>35</v>
      </c>
      <c r="G10" s="22"/>
      <c r="H10" s="44"/>
      <c r="I10" s="45" t="s">
        <v>36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x14ac:dyDescent="0.25">
      <c r="A12" s="219">
        <v>29</v>
      </c>
      <c r="B12" s="220" t="s">
        <v>1133</v>
      </c>
      <c r="C12" s="49"/>
      <c r="D12" s="48"/>
      <c r="E12" s="48" t="s">
        <v>47</v>
      </c>
      <c r="F12" s="231"/>
      <c r="G12" s="220" t="s">
        <v>1134</v>
      </c>
      <c r="H12" s="322" t="s">
        <v>1135</v>
      </c>
      <c r="I12" s="221">
        <v>1200</v>
      </c>
      <c r="J12" s="194" t="s">
        <v>255</v>
      </c>
      <c r="K12" s="79"/>
      <c r="L12" s="145" t="s">
        <v>43</v>
      </c>
    </row>
    <row r="13" spans="1:15" x14ac:dyDescent="0.25">
      <c r="A13" s="299"/>
      <c r="B13" s="220"/>
      <c r="C13" s="49"/>
      <c r="D13" s="48"/>
      <c r="E13" s="48"/>
      <c r="F13" s="231"/>
      <c r="G13" s="220"/>
      <c r="H13" s="220"/>
      <c r="I13" s="221"/>
      <c r="J13" s="194"/>
      <c r="K13" s="79"/>
      <c r="L13" s="145"/>
    </row>
    <row r="14" spans="1:15" ht="21" customHeight="1" x14ac:dyDescent="0.25">
      <c r="A14" s="300"/>
      <c r="B14" s="238"/>
      <c r="C14" s="190"/>
      <c r="D14" s="239"/>
      <c r="E14" s="145"/>
      <c r="F14" s="240"/>
      <c r="G14" s="241"/>
      <c r="H14" s="192"/>
      <c r="I14" s="278"/>
      <c r="J14" s="194"/>
      <c r="K14" s="79"/>
      <c r="L14" s="145"/>
      <c r="M14" s="132"/>
    </row>
    <row r="15" spans="1:15" ht="17.25" customHeight="1" x14ac:dyDescent="0.25">
      <c r="A15" s="300"/>
      <c r="B15" s="238"/>
      <c r="C15" s="190"/>
      <c r="D15" s="239"/>
      <c r="E15" s="145"/>
      <c r="F15" s="191"/>
      <c r="G15" s="145"/>
      <c r="H15" s="192"/>
      <c r="I15" s="242"/>
      <c r="J15" s="194"/>
      <c r="K15" s="79"/>
      <c r="L15" s="145"/>
      <c r="M15" s="132"/>
      <c r="O15" s="57"/>
    </row>
    <row r="16" spans="1:15" ht="18" customHeight="1" x14ac:dyDescent="0.25">
      <c r="A16" s="301"/>
      <c r="B16" s="280"/>
      <c r="C16" s="279"/>
      <c r="D16" s="281"/>
      <c r="E16" s="282"/>
      <c r="F16" s="283"/>
      <c r="G16" s="282"/>
      <c r="H16" s="284"/>
      <c r="I16" s="242"/>
      <c r="J16" s="285"/>
      <c r="K16" s="80"/>
      <c r="L16" s="145"/>
      <c r="O16" s="57"/>
    </row>
    <row r="17" spans="1:15" ht="16.5" customHeight="1" x14ac:dyDescent="0.25">
      <c r="A17" s="222"/>
      <c r="B17" s="179"/>
      <c r="C17" s="79"/>
      <c r="D17" s="79"/>
      <c r="E17" s="79"/>
      <c r="F17" s="223"/>
      <c r="G17" s="79"/>
      <c r="H17" s="224"/>
      <c r="I17" s="195"/>
      <c r="J17" s="225"/>
      <c r="K17" s="79"/>
      <c r="L17" s="79"/>
      <c r="O17" s="57"/>
    </row>
    <row r="18" spans="1:15" x14ac:dyDescent="0.25">
      <c r="A18" s="222"/>
      <c r="B18" s="79"/>
      <c r="C18" s="190"/>
      <c r="D18" s="79"/>
      <c r="E18" s="79"/>
      <c r="F18" s="223"/>
      <c r="G18" s="79"/>
      <c r="H18" s="107"/>
      <c r="I18" s="195"/>
      <c r="J18" s="190"/>
      <c r="K18" s="79"/>
      <c r="L18" s="79"/>
      <c r="O18" s="57"/>
    </row>
    <row r="19" spans="1:15" x14ac:dyDescent="0.25">
      <c r="I19" s="26"/>
      <c r="J19" s="26"/>
    </row>
    <row r="20" spans="1:15" x14ac:dyDescent="0.25">
      <c r="I20" s="51" t="s">
        <v>19</v>
      </c>
      <c r="J20" s="26"/>
    </row>
    <row r="21" spans="1:15" x14ac:dyDescent="0.25">
      <c r="I21" s="26" t="s">
        <v>114</v>
      </c>
      <c r="J21" s="26"/>
    </row>
    <row r="22" spans="1:15" x14ac:dyDescent="0.25">
      <c r="B22" t="s">
        <v>20</v>
      </c>
      <c r="E22" t="s">
        <v>21</v>
      </c>
      <c r="I22" s="26" t="s">
        <v>115</v>
      </c>
      <c r="J22" s="99">
        <v>1</v>
      </c>
    </row>
    <row r="23" spans="1:15" x14ac:dyDescent="0.25">
      <c r="I23" s="26" t="s">
        <v>184</v>
      </c>
      <c r="J23" s="99"/>
    </row>
    <row r="24" spans="1:15" x14ac:dyDescent="0.25">
      <c r="I24" s="26" t="s">
        <v>589</v>
      </c>
      <c r="J24" s="99">
        <v>1200</v>
      </c>
    </row>
    <row r="25" spans="1:15" x14ac:dyDescent="0.25">
      <c r="I25" s="26" t="s">
        <v>116</v>
      </c>
      <c r="J25" s="99"/>
    </row>
    <row r="26" spans="1:15" x14ac:dyDescent="0.25">
      <c r="I26" s="26" t="s">
        <v>118</v>
      </c>
      <c r="J26" s="97"/>
    </row>
    <row r="27" spans="1:15" x14ac:dyDescent="0.25">
      <c r="B27" s="27" t="s">
        <v>538</v>
      </c>
      <c r="E27" s="521" t="s">
        <v>941</v>
      </c>
      <c r="F27" s="521"/>
      <c r="G27" s="521"/>
      <c r="H27" s="521"/>
      <c r="I27" s="26" t="s">
        <v>119</v>
      </c>
      <c r="J27" s="99"/>
      <c r="L27" s="57"/>
    </row>
    <row r="28" spans="1:15" x14ac:dyDescent="0.25">
      <c r="B28" t="s">
        <v>183</v>
      </c>
      <c r="E28" s="522" t="s">
        <v>942</v>
      </c>
      <c r="F28" s="522"/>
      <c r="G28" s="522"/>
      <c r="H28" s="522"/>
      <c r="I28" s="26" t="s">
        <v>120</v>
      </c>
      <c r="J28" s="97"/>
      <c r="L28" s="57"/>
    </row>
    <row r="29" spans="1:15" x14ac:dyDescent="0.25">
      <c r="I29" s="26" t="s">
        <v>23</v>
      </c>
      <c r="J29" s="98"/>
    </row>
    <row r="30" spans="1:15" x14ac:dyDescent="0.25">
      <c r="I30" s="3" t="s">
        <v>121</v>
      </c>
      <c r="J30" s="99"/>
    </row>
    <row r="31" spans="1:15" x14ac:dyDescent="0.25">
      <c r="I31" s="3" t="s">
        <v>91</v>
      </c>
      <c r="J31" s="99"/>
    </row>
  </sheetData>
  <mergeCells count="9">
    <mergeCell ref="A8:B8"/>
    <mergeCell ref="E27:H27"/>
    <mergeCell ref="E28:H2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55F0-6391-4E4C-A1A4-E58303355153}">
  <sheetPr>
    <tabColor theme="5"/>
  </sheetPr>
  <dimension ref="A1:Q248"/>
  <sheetViews>
    <sheetView view="pageBreakPreview" topLeftCell="A50" zoomScale="106" zoomScaleNormal="100" zoomScaleSheetLayoutView="106" workbookViewId="0">
      <selection activeCell="P9" sqref="P9"/>
    </sheetView>
  </sheetViews>
  <sheetFormatPr defaultRowHeight="15" x14ac:dyDescent="0.25"/>
  <cols>
    <col min="1" max="1" width="4.7109375" style="183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91" customWidth="1"/>
    <col min="10" max="10" width="9.5703125" customWidth="1"/>
    <col min="11" max="11" width="17.85546875" customWidth="1"/>
    <col min="16" max="16" width="20" customWidth="1"/>
  </cols>
  <sheetData>
    <row r="1" spans="1:17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</row>
    <row r="2" spans="1:17" ht="18" x14ac:dyDescent="0.25">
      <c r="A2" s="524" t="s">
        <v>1061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</row>
    <row r="3" spans="1:17" x14ac:dyDescent="0.25">
      <c r="B3" s="1"/>
      <c r="C3" s="3"/>
      <c r="D3" s="1"/>
      <c r="E3" s="1"/>
      <c r="G3" s="3"/>
      <c r="H3" s="67"/>
      <c r="I3" s="81"/>
      <c r="J3" s="82" t="s">
        <v>1148</v>
      </c>
      <c r="K3" s="83"/>
    </row>
    <row r="4" spans="1:17" x14ac:dyDescent="0.25">
      <c r="B4" s="1"/>
      <c r="C4" s="3"/>
      <c r="D4" s="1"/>
      <c r="E4" s="1"/>
      <c r="G4" s="3"/>
      <c r="H4" s="67"/>
      <c r="I4" s="84"/>
      <c r="J4" s="76" t="s">
        <v>93</v>
      </c>
      <c r="K4" s="96">
        <v>33</v>
      </c>
    </row>
    <row r="5" spans="1:17" x14ac:dyDescent="0.25">
      <c r="B5" s="1"/>
      <c r="C5" s="3"/>
      <c r="D5" s="1"/>
      <c r="E5" s="1"/>
      <c r="G5" s="3"/>
      <c r="H5" s="67"/>
      <c r="I5" s="84"/>
      <c r="J5" s="76" t="s">
        <v>95</v>
      </c>
      <c r="K5" s="96">
        <v>7</v>
      </c>
    </row>
    <row r="6" spans="1:17" x14ac:dyDescent="0.25">
      <c r="A6" s="534" t="s">
        <v>123</v>
      </c>
      <c r="B6" s="534"/>
      <c r="C6" s="3"/>
      <c r="D6" s="1"/>
      <c r="E6" s="4"/>
      <c r="G6" s="3"/>
      <c r="H6" s="67"/>
      <c r="I6" s="81"/>
      <c r="J6" s="80" t="s">
        <v>1062</v>
      </c>
      <c r="K6" s="85"/>
    </row>
    <row r="7" spans="1:17" x14ac:dyDescent="0.25">
      <c r="A7" s="6"/>
      <c r="B7" s="7"/>
      <c r="C7" s="64"/>
      <c r="D7" s="8"/>
      <c r="E7" s="8"/>
      <c r="F7" s="529" t="s">
        <v>1</v>
      </c>
      <c r="G7" s="535"/>
      <c r="H7" s="530"/>
      <c r="I7" s="86"/>
      <c r="J7" s="531" t="s">
        <v>2</v>
      </c>
      <c r="K7" s="532"/>
      <c r="P7" s="25"/>
    </row>
    <row r="8" spans="1:17" x14ac:dyDescent="0.25">
      <c r="A8" s="519" t="s">
        <v>3</v>
      </c>
      <c r="B8" s="520"/>
      <c r="C8" s="17" t="s">
        <v>4</v>
      </c>
      <c r="D8" s="184" t="s">
        <v>5</v>
      </c>
      <c r="E8" s="9" t="s">
        <v>6</v>
      </c>
      <c r="F8" s="10" t="s">
        <v>7</v>
      </c>
      <c r="G8" s="65"/>
      <c r="H8" s="11" t="s">
        <v>8</v>
      </c>
      <c r="I8" s="60" t="s">
        <v>9</v>
      </c>
      <c r="J8" s="77"/>
      <c r="K8" s="13"/>
    </row>
    <row r="9" spans="1:17" x14ac:dyDescent="0.25">
      <c r="A9" s="87"/>
      <c r="B9" s="14"/>
      <c r="C9" s="65"/>
      <c r="D9" s="15"/>
      <c r="E9" s="14"/>
      <c r="F9" s="16" t="s">
        <v>10</v>
      </c>
      <c r="G9" s="17" t="s">
        <v>11</v>
      </c>
      <c r="H9" s="11" t="s">
        <v>12</v>
      </c>
      <c r="I9" s="88"/>
      <c r="J9" s="184" t="s">
        <v>13</v>
      </c>
      <c r="K9" s="184" t="s">
        <v>14</v>
      </c>
      <c r="P9" s="448">
        <f>SUM(I12:I18,I21:I52)</f>
        <v>13974</v>
      </c>
      <c r="Q9" s="232"/>
    </row>
    <row r="10" spans="1:17" x14ac:dyDescent="0.25">
      <c r="A10" s="18"/>
      <c r="B10" s="19"/>
      <c r="C10" s="66"/>
      <c r="D10" s="20"/>
      <c r="E10" s="20"/>
      <c r="F10" s="21"/>
      <c r="G10" s="68"/>
      <c r="H10" s="69" t="s">
        <v>15</v>
      </c>
      <c r="I10" s="89"/>
      <c r="J10" s="21"/>
      <c r="K10" s="22" t="s">
        <v>16</v>
      </c>
      <c r="P10" s="232"/>
      <c r="Q10" s="232"/>
    </row>
    <row r="11" spans="1:17" x14ac:dyDescent="0.25">
      <c r="A11" s="47" t="s">
        <v>17</v>
      </c>
      <c r="B11" s="23"/>
      <c r="C11" s="23"/>
      <c r="D11" s="23"/>
      <c r="E11" s="23"/>
      <c r="F11" s="23"/>
      <c r="G11" s="23"/>
      <c r="H11" s="23"/>
      <c r="I11" s="61"/>
      <c r="J11" s="23"/>
      <c r="K11" s="23"/>
      <c r="P11" s="232"/>
      <c r="Q11" s="232"/>
    </row>
    <row r="12" spans="1:17" x14ac:dyDescent="0.25">
      <c r="A12" s="203">
        <v>2</v>
      </c>
      <c r="B12" s="205" t="s">
        <v>1063</v>
      </c>
      <c r="C12" s="205" t="s">
        <v>40</v>
      </c>
      <c r="D12" s="205" t="s">
        <v>966</v>
      </c>
      <c r="E12" s="205" t="s">
        <v>47</v>
      </c>
      <c r="F12" s="206" t="s">
        <v>1064</v>
      </c>
      <c r="G12" s="208" t="s">
        <v>187</v>
      </c>
      <c r="H12" s="207">
        <v>300</v>
      </c>
      <c r="I12" s="204">
        <v>60</v>
      </c>
      <c r="J12" s="205" t="s">
        <v>179</v>
      </c>
      <c r="K12" s="205" t="s">
        <v>43</v>
      </c>
      <c r="M12">
        <f t="shared" ref="M12:M58" si="0">H12/5</f>
        <v>60</v>
      </c>
      <c r="O12" s="25" t="s">
        <v>1130</v>
      </c>
      <c r="P12" s="232">
        <f>H12+H21+H22+H28+H43+H48</f>
        <v>1920</v>
      </c>
      <c r="Q12" s="25"/>
    </row>
    <row r="13" spans="1:17" x14ac:dyDescent="0.25">
      <c r="A13" s="203">
        <v>2</v>
      </c>
      <c r="B13" s="205" t="s">
        <v>1065</v>
      </c>
      <c r="C13" s="205" t="s">
        <v>40</v>
      </c>
      <c r="D13" s="205" t="s">
        <v>297</v>
      </c>
      <c r="E13" s="205" t="s">
        <v>46</v>
      </c>
      <c r="F13" s="206" t="s">
        <v>1066</v>
      </c>
      <c r="G13" s="208" t="s">
        <v>42</v>
      </c>
      <c r="H13" s="207">
        <v>1500</v>
      </c>
      <c r="I13" s="204">
        <v>300</v>
      </c>
      <c r="J13" s="205" t="s">
        <v>179</v>
      </c>
      <c r="K13" s="205" t="s">
        <v>43</v>
      </c>
      <c r="M13">
        <f t="shared" si="0"/>
        <v>300</v>
      </c>
      <c r="O13" s="25" t="s">
        <v>42</v>
      </c>
      <c r="P13" s="232">
        <f>H13+H15+H19+H20+H23+H25+H30+H31+H33+H34+H35+H37+H39+H40+H41+H42+H45+H47+H50</f>
        <v>32290</v>
      </c>
    </row>
    <row r="14" spans="1:17" x14ac:dyDescent="0.25">
      <c r="A14" s="203">
        <v>2</v>
      </c>
      <c r="B14" s="205" t="s">
        <v>527</v>
      </c>
      <c r="C14" s="205" t="s">
        <v>40</v>
      </c>
      <c r="D14" s="205" t="s">
        <v>142</v>
      </c>
      <c r="E14" s="205" t="s">
        <v>57</v>
      </c>
      <c r="F14" s="206" t="s">
        <v>1067</v>
      </c>
      <c r="G14" s="208" t="s">
        <v>162</v>
      </c>
      <c r="H14" s="207">
        <v>180</v>
      </c>
      <c r="I14" s="204">
        <v>900</v>
      </c>
      <c r="J14" s="205" t="s">
        <v>179</v>
      </c>
      <c r="K14" s="205" t="s">
        <v>43</v>
      </c>
      <c r="M14">
        <f t="shared" si="0"/>
        <v>36</v>
      </c>
      <c r="O14" s="25" t="s">
        <v>1129</v>
      </c>
      <c r="P14" s="232">
        <f>H14+H16+H17+H18+H24+H27+H32+H36+H38+H44+H46+H52+H53+H55+H56</f>
        <v>931</v>
      </c>
    </row>
    <row r="15" spans="1:17" x14ac:dyDescent="0.25">
      <c r="A15" s="203">
        <v>2</v>
      </c>
      <c r="B15" s="205" t="s">
        <v>1068</v>
      </c>
      <c r="C15" s="205" t="s">
        <v>40</v>
      </c>
      <c r="D15" s="205" t="s">
        <v>1069</v>
      </c>
      <c r="E15" s="205" t="s">
        <v>72</v>
      </c>
      <c r="F15" s="206" t="s">
        <v>1070</v>
      </c>
      <c r="G15" s="208" t="s">
        <v>42</v>
      </c>
      <c r="H15" s="207">
        <v>600</v>
      </c>
      <c r="I15" s="204">
        <v>120</v>
      </c>
      <c r="J15" s="205" t="s">
        <v>179</v>
      </c>
      <c r="K15" s="205" t="s">
        <v>43</v>
      </c>
      <c r="M15">
        <f t="shared" si="0"/>
        <v>120</v>
      </c>
      <c r="O15" s="25" t="s">
        <v>163</v>
      </c>
      <c r="P15" s="232">
        <f>H26+H29+H49+H51+H54</f>
        <v>2200</v>
      </c>
    </row>
    <row r="16" spans="1:17" x14ac:dyDescent="0.25">
      <c r="A16" s="203">
        <v>2</v>
      </c>
      <c r="B16" s="205" t="s">
        <v>1071</v>
      </c>
      <c r="C16" s="205" t="s">
        <v>40</v>
      </c>
      <c r="D16" s="205" t="s">
        <v>1072</v>
      </c>
      <c r="E16" s="205" t="s">
        <v>51</v>
      </c>
      <c r="F16" s="206" t="s">
        <v>1073</v>
      </c>
      <c r="G16" s="208" t="s">
        <v>162</v>
      </c>
      <c r="H16" s="207">
        <v>100</v>
      </c>
      <c r="I16" s="204">
        <v>500</v>
      </c>
      <c r="J16" s="205" t="s">
        <v>179</v>
      </c>
      <c r="K16" s="205" t="s">
        <v>43</v>
      </c>
      <c r="M16">
        <f t="shared" si="0"/>
        <v>20</v>
      </c>
      <c r="O16" s="25"/>
      <c r="P16" s="232"/>
    </row>
    <row r="17" spans="1:17" x14ac:dyDescent="0.25">
      <c r="A17" s="203">
        <v>2</v>
      </c>
      <c r="B17" s="205" t="s">
        <v>1074</v>
      </c>
      <c r="C17" s="205" t="s">
        <v>48</v>
      </c>
      <c r="D17" s="205"/>
      <c r="E17" s="205" t="s">
        <v>86</v>
      </c>
      <c r="F17" s="206"/>
      <c r="G17" s="208" t="s">
        <v>162</v>
      </c>
      <c r="H17" s="207">
        <v>40</v>
      </c>
      <c r="I17" s="204">
        <v>200</v>
      </c>
      <c r="J17" s="205" t="s">
        <v>179</v>
      </c>
      <c r="K17" s="205" t="s">
        <v>43</v>
      </c>
      <c r="M17">
        <f t="shared" si="0"/>
        <v>8</v>
      </c>
      <c r="O17" s="57"/>
      <c r="P17" s="232"/>
    </row>
    <row r="18" spans="1:17" x14ac:dyDescent="0.25">
      <c r="A18" s="203">
        <v>2</v>
      </c>
      <c r="B18" s="205" t="s">
        <v>1075</v>
      </c>
      <c r="C18" s="205" t="s">
        <v>40</v>
      </c>
      <c r="D18" s="205" t="s">
        <v>1076</v>
      </c>
      <c r="E18" s="205" t="s">
        <v>84</v>
      </c>
      <c r="F18" s="206" t="s">
        <v>1077</v>
      </c>
      <c r="G18" s="208" t="s">
        <v>162</v>
      </c>
      <c r="H18" s="207">
        <v>40</v>
      </c>
      <c r="I18" s="204">
        <v>200</v>
      </c>
      <c r="J18" s="205" t="s">
        <v>179</v>
      </c>
      <c r="K18" s="205" t="s">
        <v>43</v>
      </c>
      <c r="M18">
        <f t="shared" si="0"/>
        <v>8</v>
      </c>
      <c r="P18" s="233"/>
      <c r="Q18" s="25"/>
    </row>
    <row r="19" spans="1:17" x14ac:dyDescent="0.25">
      <c r="A19" s="203">
        <v>2</v>
      </c>
      <c r="B19" s="205" t="s">
        <v>1078</v>
      </c>
      <c r="C19" s="205" t="s">
        <v>48</v>
      </c>
      <c r="D19" s="205" t="s">
        <v>836</v>
      </c>
      <c r="E19" s="205" t="s">
        <v>51</v>
      </c>
      <c r="F19" s="206" t="s">
        <v>1079</v>
      </c>
      <c r="G19" s="208" t="s">
        <v>42</v>
      </c>
      <c r="H19" s="207">
        <v>40</v>
      </c>
      <c r="I19" s="204" t="s">
        <v>255</v>
      </c>
      <c r="J19" s="205" t="s">
        <v>179</v>
      </c>
      <c r="K19" s="205" t="s">
        <v>43</v>
      </c>
      <c r="M19">
        <f t="shared" si="0"/>
        <v>8</v>
      </c>
      <c r="O19" s="25"/>
      <c r="P19" s="232"/>
    </row>
    <row r="20" spans="1:17" x14ac:dyDescent="0.25">
      <c r="A20" s="203">
        <v>2</v>
      </c>
      <c r="B20" s="205" t="s">
        <v>1080</v>
      </c>
      <c r="C20" s="205" t="s">
        <v>40</v>
      </c>
      <c r="D20" s="205" t="s">
        <v>1081</v>
      </c>
      <c r="E20" s="205" t="s">
        <v>50</v>
      </c>
      <c r="F20" s="206" t="s">
        <v>1082</v>
      </c>
      <c r="G20" s="208" t="s">
        <v>42</v>
      </c>
      <c r="H20" s="207">
        <v>150</v>
      </c>
      <c r="I20" s="204" t="s">
        <v>255</v>
      </c>
      <c r="J20" s="205" t="s">
        <v>179</v>
      </c>
      <c r="K20" s="205" t="s">
        <v>43</v>
      </c>
      <c r="M20">
        <f t="shared" si="0"/>
        <v>30</v>
      </c>
      <c r="P20" s="232"/>
    </row>
    <row r="21" spans="1:17" x14ac:dyDescent="0.25">
      <c r="A21" s="203">
        <v>8</v>
      </c>
      <c r="B21" s="205" t="s">
        <v>1083</v>
      </c>
      <c r="C21" s="205" t="s">
        <v>40</v>
      </c>
      <c r="D21" s="205" t="s">
        <v>524</v>
      </c>
      <c r="E21" s="205" t="s">
        <v>50</v>
      </c>
      <c r="F21" s="206" t="s">
        <v>1084</v>
      </c>
      <c r="G21" s="208" t="s">
        <v>187</v>
      </c>
      <c r="H21" s="207">
        <v>100</v>
      </c>
      <c r="I21" s="204">
        <v>20</v>
      </c>
      <c r="J21" s="205" t="s">
        <v>179</v>
      </c>
      <c r="K21" s="205" t="s">
        <v>43</v>
      </c>
      <c r="M21">
        <f t="shared" si="0"/>
        <v>20</v>
      </c>
      <c r="P21" s="232"/>
    </row>
    <row r="22" spans="1:17" x14ac:dyDescent="0.25">
      <c r="A22" s="203">
        <v>8</v>
      </c>
      <c r="B22" s="205" t="s">
        <v>1085</v>
      </c>
      <c r="C22" s="205" t="s">
        <v>40</v>
      </c>
      <c r="D22" s="205" t="s">
        <v>524</v>
      </c>
      <c r="E22" s="205" t="s">
        <v>50</v>
      </c>
      <c r="F22" s="206" t="s">
        <v>525</v>
      </c>
      <c r="G22" s="208" t="s">
        <v>187</v>
      </c>
      <c r="H22" s="207">
        <v>500</v>
      </c>
      <c r="I22" s="204">
        <v>100</v>
      </c>
      <c r="J22" s="205" t="s">
        <v>179</v>
      </c>
      <c r="K22" s="205" t="s">
        <v>43</v>
      </c>
      <c r="M22">
        <f t="shared" si="0"/>
        <v>100</v>
      </c>
      <c r="P22" s="232"/>
    </row>
    <row r="23" spans="1:17" x14ac:dyDescent="0.25">
      <c r="A23" s="203">
        <v>8</v>
      </c>
      <c r="B23" s="205" t="s">
        <v>973</v>
      </c>
      <c r="C23" s="205" t="s">
        <v>40</v>
      </c>
      <c r="D23" s="205" t="s">
        <v>313</v>
      </c>
      <c r="E23" s="205" t="s">
        <v>50</v>
      </c>
      <c r="F23" s="206" t="s">
        <v>1086</v>
      </c>
      <c r="G23" s="208" t="s">
        <v>42</v>
      </c>
      <c r="H23" s="207">
        <v>1000</v>
      </c>
      <c r="I23" s="204">
        <v>200</v>
      </c>
      <c r="J23" s="205" t="s">
        <v>179</v>
      </c>
      <c r="K23" s="205" t="s">
        <v>43</v>
      </c>
      <c r="M23">
        <f t="shared" si="0"/>
        <v>200</v>
      </c>
      <c r="P23" s="233"/>
    </row>
    <row r="24" spans="1:17" x14ac:dyDescent="0.25">
      <c r="A24" s="203">
        <v>8</v>
      </c>
      <c r="B24" s="205" t="s">
        <v>1087</v>
      </c>
      <c r="C24" s="205" t="s">
        <v>40</v>
      </c>
      <c r="D24" s="205" t="s">
        <v>1088</v>
      </c>
      <c r="E24" s="205" t="s">
        <v>50</v>
      </c>
      <c r="F24" s="206"/>
      <c r="G24" s="208" t="s">
        <v>162</v>
      </c>
      <c r="H24" s="207">
        <v>300</v>
      </c>
      <c r="I24" s="204">
        <v>1500</v>
      </c>
      <c r="J24" s="205" t="s">
        <v>179</v>
      </c>
      <c r="K24" s="205" t="s">
        <v>43</v>
      </c>
      <c r="M24">
        <f t="shared" si="0"/>
        <v>60</v>
      </c>
      <c r="P24" s="233"/>
    </row>
    <row r="25" spans="1:17" x14ac:dyDescent="0.25">
      <c r="A25" s="321">
        <v>9</v>
      </c>
      <c r="B25" s="205" t="s">
        <v>760</v>
      </c>
      <c r="C25" s="205" t="s">
        <v>48</v>
      </c>
      <c r="D25" s="205" t="s">
        <v>380</v>
      </c>
      <c r="E25" s="205" t="s">
        <v>45</v>
      </c>
      <c r="F25" s="206" t="s">
        <v>1089</v>
      </c>
      <c r="G25" s="208" t="s">
        <v>42</v>
      </c>
      <c r="H25" s="207">
        <v>6000</v>
      </c>
      <c r="I25" s="204">
        <v>1200</v>
      </c>
      <c r="J25" s="205" t="s">
        <v>179</v>
      </c>
      <c r="K25" s="205" t="s">
        <v>43</v>
      </c>
      <c r="M25">
        <f t="shared" si="0"/>
        <v>1200</v>
      </c>
      <c r="P25" s="25"/>
      <c r="Q25" s="25"/>
    </row>
    <row r="26" spans="1:17" x14ac:dyDescent="0.25">
      <c r="A26" s="203">
        <v>12</v>
      </c>
      <c r="B26" s="205" t="s">
        <v>1091</v>
      </c>
      <c r="C26" s="205" t="s">
        <v>40</v>
      </c>
      <c r="D26" s="205" t="s">
        <v>1092</v>
      </c>
      <c r="E26" s="205" t="s">
        <v>53</v>
      </c>
      <c r="F26" s="206" t="s">
        <v>1093</v>
      </c>
      <c r="G26" s="208" t="s">
        <v>163</v>
      </c>
      <c r="H26" s="207">
        <v>1500</v>
      </c>
      <c r="I26" s="204">
        <v>1500</v>
      </c>
      <c r="J26" s="205" t="s">
        <v>179</v>
      </c>
      <c r="K26" s="205" t="s">
        <v>43</v>
      </c>
      <c r="M26">
        <f t="shared" si="0"/>
        <v>300</v>
      </c>
      <c r="P26" s="25"/>
      <c r="Q26" s="25"/>
    </row>
    <row r="27" spans="1:17" x14ac:dyDescent="0.25">
      <c r="A27" s="203">
        <v>12</v>
      </c>
      <c r="B27" s="205" t="s">
        <v>1091</v>
      </c>
      <c r="C27" s="205" t="s">
        <v>40</v>
      </c>
      <c r="D27" s="205" t="s">
        <v>1092</v>
      </c>
      <c r="E27" s="205" t="s">
        <v>53</v>
      </c>
      <c r="F27" s="206" t="s">
        <v>1093</v>
      </c>
      <c r="G27" s="208" t="s">
        <v>162</v>
      </c>
      <c r="H27" s="207">
        <v>20</v>
      </c>
      <c r="I27" s="204">
        <v>100</v>
      </c>
      <c r="J27" s="205" t="s">
        <v>179</v>
      </c>
      <c r="K27" s="205" t="s">
        <v>43</v>
      </c>
      <c r="M27">
        <f t="shared" si="0"/>
        <v>4</v>
      </c>
      <c r="P27" s="25"/>
    </row>
    <row r="28" spans="1:17" x14ac:dyDescent="0.25">
      <c r="A28" s="203">
        <v>12</v>
      </c>
      <c r="B28" s="205" t="s">
        <v>1094</v>
      </c>
      <c r="C28" s="205" t="s">
        <v>40</v>
      </c>
      <c r="D28" s="205" t="s">
        <v>1095</v>
      </c>
      <c r="E28" s="205" t="s">
        <v>44</v>
      </c>
      <c r="F28" s="206"/>
      <c r="G28" s="208" t="s">
        <v>187</v>
      </c>
      <c r="H28" s="207">
        <v>500</v>
      </c>
      <c r="I28" s="204">
        <v>100</v>
      </c>
      <c r="J28" s="205" t="s">
        <v>179</v>
      </c>
      <c r="K28" s="205" t="s">
        <v>43</v>
      </c>
      <c r="M28">
        <f t="shared" si="0"/>
        <v>100</v>
      </c>
      <c r="P28" s="25"/>
    </row>
    <row r="29" spans="1:17" x14ac:dyDescent="0.25">
      <c r="A29" s="203">
        <v>12</v>
      </c>
      <c r="B29" s="205" t="s">
        <v>1096</v>
      </c>
      <c r="C29" s="205" t="s">
        <v>40</v>
      </c>
      <c r="D29" s="205" t="s">
        <v>1097</v>
      </c>
      <c r="E29" s="205" t="s">
        <v>50</v>
      </c>
      <c r="F29" s="206"/>
      <c r="G29" s="208" t="s">
        <v>163</v>
      </c>
      <c r="H29" s="207">
        <v>150</v>
      </c>
      <c r="I29" s="204">
        <v>150</v>
      </c>
      <c r="J29" s="205" t="s">
        <v>179</v>
      </c>
      <c r="K29" s="205" t="s">
        <v>43</v>
      </c>
      <c r="M29">
        <f t="shared" si="0"/>
        <v>30</v>
      </c>
    </row>
    <row r="30" spans="1:17" x14ac:dyDescent="0.25">
      <c r="A30" s="203">
        <v>12</v>
      </c>
      <c r="B30" s="205" t="s">
        <v>1098</v>
      </c>
      <c r="C30" s="205" t="s">
        <v>40</v>
      </c>
      <c r="D30" s="205" t="s">
        <v>1099</v>
      </c>
      <c r="E30" s="205" t="s">
        <v>47</v>
      </c>
      <c r="F30" s="206"/>
      <c r="G30" s="208" t="s">
        <v>42</v>
      </c>
      <c r="H30" s="207">
        <v>1000</v>
      </c>
      <c r="I30" s="204">
        <v>200</v>
      </c>
      <c r="J30" s="205" t="s">
        <v>179</v>
      </c>
      <c r="K30" s="205" t="s">
        <v>43</v>
      </c>
      <c r="M30">
        <f t="shared" si="0"/>
        <v>200</v>
      </c>
    </row>
    <row r="31" spans="1:17" x14ac:dyDescent="0.25">
      <c r="A31" s="203">
        <v>15</v>
      </c>
      <c r="B31" s="205" t="s">
        <v>1100</v>
      </c>
      <c r="C31" s="205" t="s">
        <v>40</v>
      </c>
      <c r="D31" s="205" t="s">
        <v>478</v>
      </c>
      <c r="E31" s="205" t="s">
        <v>57</v>
      </c>
      <c r="F31" s="206" t="s">
        <v>1101</v>
      </c>
      <c r="G31" s="208" t="s">
        <v>42</v>
      </c>
      <c r="H31" s="207">
        <v>300</v>
      </c>
      <c r="I31" s="204">
        <v>60</v>
      </c>
      <c r="J31" s="205" t="s">
        <v>179</v>
      </c>
      <c r="K31" s="205" t="s">
        <v>43</v>
      </c>
      <c r="M31">
        <f t="shared" si="0"/>
        <v>60</v>
      </c>
    </row>
    <row r="32" spans="1:17" x14ac:dyDescent="0.25">
      <c r="A32" s="203">
        <v>15</v>
      </c>
      <c r="B32" s="205" t="s">
        <v>1100</v>
      </c>
      <c r="C32" s="205" t="s">
        <v>40</v>
      </c>
      <c r="D32" s="205" t="s">
        <v>478</v>
      </c>
      <c r="E32" s="205" t="s">
        <v>57</v>
      </c>
      <c r="F32" s="206" t="s">
        <v>1101</v>
      </c>
      <c r="G32" s="208" t="s">
        <v>162</v>
      </c>
      <c r="H32" s="207">
        <v>20</v>
      </c>
      <c r="I32" s="204">
        <v>100</v>
      </c>
      <c r="J32" s="205" t="s">
        <v>179</v>
      </c>
      <c r="K32" s="205" t="s">
        <v>43</v>
      </c>
      <c r="M32">
        <f t="shared" si="0"/>
        <v>4</v>
      </c>
    </row>
    <row r="33" spans="1:16" x14ac:dyDescent="0.25">
      <c r="A33" s="203">
        <v>15</v>
      </c>
      <c r="B33" s="205" t="s">
        <v>1102</v>
      </c>
      <c r="C33" s="205" t="s">
        <v>48</v>
      </c>
      <c r="D33" s="205" t="s">
        <v>141</v>
      </c>
      <c r="E33" s="205" t="s">
        <v>45</v>
      </c>
      <c r="F33" s="206"/>
      <c r="G33" s="208" t="s">
        <v>42</v>
      </c>
      <c r="H33" s="207">
        <v>5000</v>
      </c>
      <c r="I33" s="204">
        <v>1000</v>
      </c>
      <c r="J33" s="205" t="s">
        <v>179</v>
      </c>
      <c r="K33" s="205" t="s">
        <v>43</v>
      </c>
      <c r="M33">
        <f t="shared" si="0"/>
        <v>1000</v>
      </c>
    </row>
    <row r="34" spans="1:16" x14ac:dyDescent="0.25">
      <c r="A34" s="203">
        <v>15</v>
      </c>
      <c r="B34" s="205" t="s">
        <v>1103</v>
      </c>
      <c r="C34" s="205" t="s">
        <v>40</v>
      </c>
      <c r="D34" s="205" t="s">
        <v>144</v>
      </c>
      <c r="E34" s="205" t="s">
        <v>47</v>
      </c>
      <c r="F34" s="206" t="s">
        <v>1104</v>
      </c>
      <c r="G34" s="208" t="s">
        <v>42</v>
      </c>
      <c r="H34" s="207">
        <v>500</v>
      </c>
      <c r="I34" s="204">
        <v>100</v>
      </c>
      <c r="J34" s="205" t="s">
        <v>179</v>
      </c>
      <c r="K34" s="205" t="s">
        <v>43</v>
      </c>
      <c r="M34">
        <f t="shared" si="0"/>
        <v>100</v>
      </c>
    </row>
    <row r="35" spans="1:16" x14ac:dyDescent="0.25">
      <c r="A35" s="203">
        <v>15</v>
      </c>
      <c r="B35" s="205" t="s">
        <v>1105</v>
      </c>
      <c r="C35" s="205" t="s">
        <v>40</v>
      </c>
      <c r="D35" s="205" t="s">
        <v>1106</v>
      </c>
      <c r="E35" s="205" t="s">
        <v>59</v>
      </c>
      <c r="F35" s="206" t="s">
        <v>1107</v>
      </c>
      <c r="G35" s="208" t="s">
        <v>42</v>
      </c>
      <c r="H35" s="207">
        <v>500</v>
      </c>
      <c r="I35" s="204">
        <v>100</v>
      </c>
      <c r="J35" s="205" t="s">
        <v>179</v>
      </c>
      <c r="K35" s="205" t="s">
        <v>43</v>
      </c>
      <c r="M35">
        <f t="shared" si="0"/>
        <v>100</v>
      </c>
    </row>
    <row r="36" spans="1:16" x14ac:dyDescent="0.25">
      <c r="A36" s="203">
        <v>15</v>
      </c>
      <c r="B36" s="205" t="s">
        <v>1108</v>
      </c>
      <c r="C36" s="205" t="s">
        <v>40</v>
      </c>
      <c r="D36" s="205" t="s">
        <v>402</v>
      </c>
      <c r="E36" s="205" t="s">
        <v>57</v>
      </c>
      <c r="F36" s="206"/>
      <c r="G36" s="208" t="s">
        <v>162</v>
      </c>
      <c r="H36" s="207">
        <v>6</v>
      </c>
      <c r="I36" s="204">
        <v>30</v>
      </c>
      <c r="J36" s="205" t="s">
        <v>179</v>
      </c>
      <c r="K36" s="205" t="s">
        <v>43</v>
      </c>
      <c r="M36">
        <f t="shared" si="0"/>
        <v>1.2</v>
      </c>
    </row>
    <row r="37" spans="1:16" x14ac:dyDescent="0.25">
      <c r="A37" s="203">
        <v>15</v>
      </c>
      <c r="B37" s="205" t="s">
        <v>1109</v>
      </c>
      <c r="C37" s="205" t="s">
        <v>40</v>
      </c>
      <c r="D37" s="205" t="s">
        <v>1081</v>
      </c>
      <c r="E37" s="205" t="s">
        <v>50</v>
      </c>
      <c r="F37" s="206" t="s">
        <v>1110</v>
      </c>
      <c r="G37" s="208" t="s">
        <v>42</v>
      </c>
      <c r="H37" s="207">
        <v>500</v>
      </c>
      <c r="I37" s="204">
        <v>150</v>
      </c>
      <c r="J37" s="205" t="s">
        <v>179</v>
      </c>
      <c r="K37" s="205" t="s">
        <v>43</v>
      </c>
      <c r="M37">
        <f t="shared" si="0"/>
        <v>100</v>
      </c>
    </row>
    <row r="38" spans="1:16" x14ac:dyDescent="0.25">
      <c r="A38" s="203">
        <v>18</v>
      </c>
      <c r="B38" s="205" t="s">
        <v>1111</v>
      </c>
      <c r="C38" s="205" t="s">
        <v>40</v>
      </c>
      <c r="D38" s="205" t="s">
        <v>1112</v>
      </c>
      <c r="E38" s="205" t="s">
        <v>51</v>
      </c>
      <c r="F38" s="206"/>
      <c r="G38" s="205" t="s">
        <v>162</v>
      </c>
      <c r="H38" s="211">
        <v>25</v>
      </c>
      <c r="I38" s="234">
        <v>125</v>
      </c>
      <c r="J38" s="205" t="s">
        <v>179</v>
      </c>
      <c r="K38" s="205" t="s">
        <v>43</v>
      </c>
      <c r="M38">
        <f t="shared" si="0"/>
        <v>5</v>
      </c>
      <c r="P38" s="57"/>
    </row>
    <row r="39" spans="1:16" x14ac:dyDescent="0.25">
      <c r="A39" s="203">
        <v>18</v>
      </c>
      <c r="B39" s="205" t="s">
        <v>610</v>
      </c>
      <c r="C39" s="205" t="s">
        <v>48</v>
      </c>
      <c r="D39" s="205" t="s">
        <v>380</v>
      </c>
      <c r="E39" s="205" t="s">
        <v>45</v>
      </c>
      <c r="F39" s="206"/>
      <c r="G39" s="205" t="s">
        <v>42</v>
      </c>
      <c r="H39" s="211">
        <v>5000</v>
      </c>
      <c r="I39" s="234">
        <v>1000</v>
      </c>
      <c r="J39" s="205" t="s">
        <v>179</v>
      </c>
      <c r="K39" s="205" t="s">
        <v>43</v>
      </c>
      <c r="M39">
        <f t="shared" si="0"/>
        <v>1000</v>
      </c>
      <c r="P39" s="57"/>
    </row>
    <row r="40" spans="1:16" x14ac:dyDescent="0.25">
      <c r="A40" s="203">
        <v>18</v>
      </c>
      <c r="B40" s="205" t="s">
        <v>1113</v>
      </c>
      <c r="C40" s="205" t="s">
        <v>40</v>
      </c>
      <c r="D40" s="205" t="s">
        <v>966</v>
      </c>
      <c r="E40" s="205" t="s">
        <v>47</v>
      </c>
      <c r="F40" s="206"/>
      <c r="G40" s="205" t="s">
        <v>42</v>
      </c>
      <c r="H40" s="211">
        <v>1000</v>
      </c>
      <c r="I40" s="234">
        <v>300</v>
      </c>
      <c r="J40" s="205" t="s">
        <v>179</v>
      </c>
      <c r="K40" s="205" t="s">
        <v>43</v>
      </c>
      <c r="M40">
        <f t="shared" si="0"/>
        <v>200</v>
      </c>
      <c r="P40" s="57"/>
    </row>
    <row r="41" spans="1:16" x14ac:dyDescent="0.25">
      <c r="A41" s="203">
        <v>18</v>
      </c>
      <c r="B41" s="205" t="s">
        <v>1114</v>
      </c>
      <c r="C41" s="205" t="s">
        <v>40</v>
      </c>
      <c r="D41" s="205" t="s">
        <v>1115</v>
      </c>
      <c r="E41" s="205" t="s">
        <v>51</v>
      </c>
      <c r="F41" s="206"/>
      <c r="G41" s="205" t="s">
        <v>42</v>
      </c>
      <c r="H41" s="211">
        <v>3000</v>
      </c>
      <c r="I41" s="234">
        <v>600</v>
      </c>
      <c r="J41" s="205" t="s">
        <v>179</v>
      </c>
      <c r="K41" s="205" t="s">
        <v>43</v>
      </c>
      <c r="M41">
        <f t="shared" si="0"/>
        <v>600</v>
      </c>
    </row>
    <row r="42" spans="1:16" x14ac:dyDescent="0.25">
      <c r="A42" s="203">
        <v>22</v>
      </c>
      <c r="B42" s="205" t="s">
        <v>1116</v>
      </c>
      <c r="C42" s="205" t="s">
        <v>40</v>
      </c>
      <c r="D42" s="205" t="s">
        <v>67</v>
      </c>
      <c r="E42" s="205" t="s">
        <v>60</v>
      </c>
      <c r="F42" s="206"/>
      <c r="G42" s="205" t="s">
        <v>42</v>
      </c>
      <c r="H42" s="211">
        <v>3000</v>
      </c>
      <c r="I42" s="234">
        <v>900</v>
      </c>
      <c r="J42" s="205" t="s">
        <v>179</v>
      </c>
      <c r="K42" s="205" t="s">
        <v>43</v>
      </c>
      <c r="M42">
        <f t="shared" si="0"/>
        <v>600</v>
      </c>
    </row>
    <row r="43" spans="1:16" x14ac:dyDescent="0.25">
      <c r="A43" s="203">
        <v>22</v>
      </c>
      <c r="B43" s="205" t="s">
        <v>1117</v>
      </c>
      <c r="C43" s="205" t="s">
        <v>40</v>
      </c>
      <c r="D43" s="205" t="s">
        <v>1118</v>
      </c>
      <c r="E43" s="205" t="s">
        <v>77</v>
      </c>
      <c r="F43" s="206" t="s">
        <v>1119</v>
      </c>
      <c r="G43" s="205" t="s">
        <v>187</v>
      </c>
      <c r="H43" s="211">
        <v>500</v>
      </c>
      <c r="I43" s="234">
        <v>100</v>
      </c>
      <c r="J43" s="205" t="s">
        <v>179</v>
      </c>
      <c r="K43" s="205" t="s">
        <v>43</v>
      </c>
      <c r="M43">
        <f t="shared" si="0"/>
        <v>100</v>
      </c>
    </row>
    <row r="44" spans="1:16" x14ac:dyDescent="0.25">
      <c r="A44" s="203">
        <v>22</v>
      </c>
      <c r="B44" s="205" t="s">
        <v>1117</v>
      </c>
      <c r="C44" s="205" t="s">
        <v>40</v>
      </c>
      <c r="D44" s="205" t="s">
        <v>1118</v>
      </c>
      <c r="E44" s="205" t="s">
        <v>77</v>
      </c>
      <c r="F44" s="206" t="s">
        <v>1119</v>
      </c>
      <c r="G44" s="205" t="s">
        <v>162</v>
      </c>
      <c r="H44" s="211">
        <v>25</v>
      </c>
      <c r="I44" s="234">
        <v>125</v>
      </c>
      <c r="J44" s="205" t="s">
        <v>179</v>
      </c>
      <c r="K44" s="205" t="s">
        <v>43</v>
      </c>
      <c r="M44">
        <f t="shared" si="0"/>
        <v>5</v>
      </c>
    </row>
    <row r="45" spans="1:16" x14ac:dyDescent="0.25">
      <c r="A45" s="203">
        <v>22</v>
      </c>
      <c r="B45" s="205" t="s">
        <v>1105</v>
      </c>
      <c r="C45" s="205" t="s">
        <v>40</v>
      </c>
      <c r="D45" s="205" t="s">
        <v>1106</v>
      </c>
      <c r="E45" s="205" t="s">
        <v>59</v>
      </c>
      <c r="F45" s="206" t="s">
        <v>1107</v>
      </c>
      <c r="G45" s="205" t="s">
        <v>42</v>
      </c>
      <c r="H45" s="211">
        <v>1100</v>
      </c>
      <c r="I45" s="234">
        <v>330</v>
      </c>
      <c r="J45" s="205" t="s">
        <v>179</v>
      </c>
      <c r="K45" s="205" t="s">
        <v>43</v>
      </c>
      <c r="M45">
        <f t="shared" si="0"/>
        <v>220</v>
      </c>
    </row>
    <row r="46" spans="1:16" x14ac:dyDescent="0.25">
      <c r="A46" s="203">
        <v>22</v>
      </c>
      <c r="B46" s="205" t="s">
        <v>1105</v>
      </c>
      <c r="C46" s="205" t="s">
        <v>40</v>
      </c>
      <c r="D46" s="205" t="s">
        <v>1106</v>
      </c>
      <c r="E46" s="205" t="s">
        <v>59</v>
      </c>
      <c r="F46" s="206" t="s">
        <v>1107</v>
      </c>
      <c r="G46" s="205" t="s">
        <v>162</v>
      </c>
      <c r="H46" s="211">
        <v>50</v>
      </c>
      <c r="I46" s="234">
        <v>250</v>
      </c>
      <c r="J46" s="205" t="s">
        <v>179</v>
      </c>
      <c r="K46" s="205" t="s">
        <v>43</v>
      </c>
      <c r="M46">
        <f t="shared" si="0"/>
        <v>10</v>
      </c>
    </row>
    <row r="47" spans="1:16" x14ac:dyDescent="0.25">
      <c r="A47" s="203">
        <v>22</v>
      </c>
      <c r="B47" s="205" t="s">
        <v>1120</v>
      </c>
      <c r="C47" s="205" t="s">
        <v>40</v>
      </c>
      <c r="D47" s="205" t="s">
        <v>1121</v>
      </c>
      <c r="E47" s="205" t="s">
        <v>52</v>
      </c>
      <c r="F47" s="206" t="s">
        <v>1122</v>
      </c>
      <c r="G47" s="205" t="s">
        <v>42</v>
      </c>
      <c r="H47" s="211">
        <v>1100</v>
      </c>
      <c r="I47" s="234">
        <v>330</v>
      </c>
      <c r="J47" s="205" t="s">
        <v>179</v>
      </c>
      <c r="K47" s="205" t="s">
        <v>43</v>
      </c>
      <c r="M47">
        <f t="shared" si="0"/>
        <v>220</v>
      </c>
    </row>
    <row r="48" spans="1:16" x14ac:dyDescent="0.25">
      <c r="A48" s="203">
        <v>22</v>
      </c>
      <c r="B48" s="205" t="s">
        <v>1123</v>
      </c>
      <c r="C48" s="205" t="s">
        <v>48</v>
      </c>
      <c r="D48" s="205" t="s">
        <v>1124</v>
      </c>
      <c r="E48" s="205" t="s">
        <v>90</v>
      </c>
      <c r="F48" s="206" t="s">
        <v>1125</v>
      </c>
      <c r="G48" s="205" t="s">
        <v>187</v>
      </c>
      <c r="H48" s="211">
        <v>20</v>
      </c>
      <c r="I48" s="234">
        <v>4</v>
      </c>
      <c r="J48" s="205" t="s">
        <v>179</v>
      </c>
      <c r="K48" s="205" t="s">
        <v>43</v>
      </c>
      <c r="M48">
        <f t="shared" si="0"/>
        <v>4</v>
      </c>
    </row>
    <row r="49" spans="1:16" x14ac:dyDescent="0.25">
      <c r="A49" s="203">
        <v>22</v>
      </c>
      <c r="B49" s="205" t="s">
        <v>1123</v>
      </c>
      <c r="C49" s="205" t="s">
        <v>48</v>
      </c>
      <c r="D49" s="205" t="s">
        <v>1124</v>
      </c>
      <c r="E49" s="205" t="s">
        <v>90</v>
      </c>
      <c r="F49" s="206" t="s">
        <v>1125</v>
      </c>
      <c r="G49" s="205" t="s">
        <v>163</v>
      </c>
      <c r="H49" s="211">
        <v>20</v>
      </c>
      <c r="I49" s="234">
        <v>20</v>
      </c>
      <c r="J49" s="205" t="s">
        <v>179</v>
      </c>
      <c r="K49" s="205" t="s">
        <v>43</v>
      </c>
      <c r="M49">
        <f t="shared" si="0"/>
        <v>4</v>
      </c>
    </row>
    <row r="50" spans="1:16" x14ac:dyDescent="0.25">
      <c r="A50" s="203">
        <v>22</v>
      </c>
      <c r="B50" s="205" t="s">
        <v>1126</v>
      </c>
      <c r="C50" s="205" t="s">
        <v>40</v>
      </c>
      <c r="D50" s="205" t="s">
        <v>699</v>
      </c>
      <c r="E50" s="205" t="s">
        <v>57</v>
      </c>
      <c r="F50" s="206"/>
      <c r="G50" s="205" t="s">
        <v>42</v>
      </c>
      <c r="H50" s="211">
        <v>1000</v>
      </c>
      <c r="I50" s="234">
        <v>200</v>
      </c>
      <c r="J50" s="205" t="s">
        <v>179</v>
      </c>
      <c r="K50" s="205" t="s">
        <v>43</v>
      </c>
      <c r="M50">
        <f t="shared" si="0"/>
        <v>200</v>
      </c>
    </row>
    <row r="51" spans="1:16" x14ac:dyDescent="0.25">
      <c r="A51" s="321">
        <v>23</v>
      </c>
      <c r="B51" s="205" t="s">
        <v>1127</v>
      </c>
      <c r="C51" s="205" t="s">
        <v>40</v>
      </c>
      <c r="D51" s="205" t="s">
        <v>380</v>
      </c>
      <c r="E51" s="205" t="s">
        <v>45</v>
      </c>
      <c r="F51" s="206" t="s">
        <v>1128</v>
      </c>
      <c r="G51" s="205" t="s">
        <v>163</v>
      </c>
      <c r="H51" s="211">
        <v>500</v>
      </c>
      <c r="I51" s="234">
        <v>500</v>
      </c>
      <c r="J51" s="205" t="s">
        <v>179</v>
      </c>
      <c r="K51" s="205" t="s">
        <v>43</v>
      </c>
      <c r="M51">
        <f t="shared" si="0"/>
        <v>100</v>
      </c>
    </row>
    <row r="52" spans="1:16" x14ac:dyDescent="0.25">
      <c r="A52" s="203">
        <v>23</v>
      </c>
      <c r="B52" s="205" t="s">
        <v>1074</v>
      </c>
      <c r="C52" s="205" t="s">
        <v>48</v>
      </c>
      <c r="D52" s="205" t="s">
        <v>1132</v>
      </c>
      <c r="E52" s="205" t="s">
        <v>86</v>
      </c>
      <c r="F52" s="206"/>
      <c r="G52" s="205" t="s">
        <v>162</v>
      </c>
      <c r="H52" s="211">
        <v>60</v>
      </c>
      <c r="I52" s="234">
        <v>300</v>
      </c>
      <c r="J52" s="205" t="s">
        <v>179</v>
      </c>
      <c r="K52" s="205" t="s">
        <v>43</v>
      </c>
      <c r="M52">
        <f t="shared" si="0"/>
        <v>12</v>
      </c>
    </row>
    <row r="53" spans="1:16" x14ac:dyDescent="0.25">
      <c r="A53" s="203">
        <v>29</v>
      </c>
      <c r="B53" s="205" t="s">
        <v>1136</v>
      </c>
      <c r="C53" s="205" t="s">
        <v>40</v>
      </c>
      <c r="D53" s="205" t="s">
        <v>1137</v>
      </c>
      <c r="E53" s="205" t="s">
        <v>71</v>
      </c>
      <c r="F53" s="206" t="s">
        <v>1138</v>
      </c>
      <c r="G53" s="205" t="s">
        <v>162</v>
      </c>
      <c r="H53" s="211">
        <v>25</v>
      </c>
      <c r="I53" s="234" t="s">
        <v>255</v>
      </c>
      <c r="J53" s="205" t="s">
        <v>179</v>
      </c>
      <c r="K53" s="205" t="s">
        <v>43</v>
      </c>
      <c r="M53">
        <f t="shared" si="0"/>
        <v>5</v>
      </c>
    </row>
    <row r="54" spans="1:16" x14ac:dyDescent="0.25">
      <c r="A54" s="203">
        <v>29</v>
      </c>
      <c r="B54" s="205" t="s">
        <v>1139</v>
      </c>
      <c r="C54" s="205" t="s">
        <v>40</v>
      </c>
      <c r="D54" s="205" t="s">
        <v>1140</v>
      </c>
      <c r="E54" s="205" t="s">
        <v>79</v>
      </c>
      <c r="F54" s="206" t="s">
        <v>1141</v>
      </c>
      <c r="G54" s="205" t="s">
        <v>163</v>
      </c>
      <c r="H54" s="211">
        <v>30</v>
      </c>
      <c r="I54" s="234" t="s">
        <v>255</v>
      </c>
      <c r="J54" s="205" t="s">
        <v>179</v>
      </c>
      <c r="K54" s="205" t="s">
        <v>43</v>
      </c>
      <c r="M54">
        <f t="shared" si="0"/>
        <v>6</v>
      </c>
    </row>
    <row r="55" spans="1:16" x14ac:dyDescent="0.25">
      <c r="A55" s="203">
        <v>29</v>
      </c>
      <c r="B55" s="205" t="s">
        <v>1139</v>
      </c>
      <c r="C55" s="205" t="s">
        <v>40</v>
      </c>
      <c r="D55" s="205" t="s">
        <v>1140</v>
      </c>
      <c r="E55" s="205" t="s">
        <v>79</v>
      </c>
      <c r="F55" s="206" t="s">
        <v>1141</v>
      </c>
      <c r="G55" s="205" t="s">
        <v>162</v>
      </c>
      <c r="H55" s="211">
        <v>30</v>
      </c>
      <c r="I55" s="234" t="s">
        <v>255</v>
      </c>
      <c r="J55" s="205" t="s">
        <v>179</v>
      </c>
      <c r="K55" s="205" t="s">
        <v>43</v>
      </c>
      <c r="M55">
        <f t="shared" si="0"/>
        <v>6</v>
      </c>
    </row>
    <row r="56" spans="1:16" x14ac:dyDescent="0.25">
      <c r="A56" s="203">
        <v>29</v>
      </c>
      <c r="B56" s="205" t="s">
        <v>1142</v>
      </c>
      <c r="C56" s="205" t="s">
        <v>40</v>
      </c>
      <c r="D56" s="205"/>
      <c r="E56" s="205" t="s">
        <v>1143</v>
      </c>
      <c r="F56" s="206" t="s">
        <v>1144</v>
      </c>
      <c r="G56" s="205" t="s">
        <v>162</v>
      </c>
      <c r="H56" s="211">
        <v>10</v>
      </c>
      <c r="I56" s="234" t="s">
        <v>255</v>
      </c>
      <c r="J56" s="205" t="s">
        <v>179</v>
      </c>
      <c r="K56" s="205" t="s">
        <v>43</v>
      </c>
      <c r="M56">
        <f t="shared" si="0"/>
        <v>2</v>
      </c>
    </row>
    <row r="57" spans="1:16" x14ac:dyDescent="0.25">
      <c r="A57" s="203">
        <v>30</v>
      </c>
      <c r="B57" s="205" t="s">
        <v>1145</v>
      </c>
      <c r="C57" s="205" t="s">
        <v>40</v>
      </c>
      <c r="D57" s="205" t="s">
        <v>63</v>
      </c>
      <c r="E57" s="205" t="s">
        <v>72</v>
      </c>
      <c r="F57" s="206"/>
      <c r="G57" s="396" t="s">
        <v>1146</v>
      </c>
      <c r="H57" s="211">
        <v>550</v>
      </c>
      <c r="I57" s="234" t="s">
        <v>255</v>
      </c>
      <c r="J57" s="205" t="s">
        <v>179</v>
      </c>
      <c r="K57" s="205" t="s">
        <v>43</v>
      </c>
      <c r="M57">
        <f t="shared" si="0"/>
        <v>110</v>
      </c>
    </row>
    <row r="58" spans="1:16" x14ac:dyDescent="0.25">
      <c r="A58" s="203"/>
      <c r="B58" s="205"/>
      <c r="C58" s="205"/>
      <c r="D58" s="205"/>
      <c r="E58" s="205"/>
      <c r="F58" s="206"/>
      <c r="G58" s="205"/>
      <c r="H58" s="211"/>
      <c r="I58" s="234"/>
      <c r="J58" s="205"/>
      <c r="K58" s="205"/>
      <c r="M58">
        <f t="shared" si="0"/>
        <v>0</v>
      </c>
    </row>
    <row r="59" spans="1:16" x14ac:dyDescent="0.25">
      <c r="A59" s="230"/>
      <c r="B59" s="208"/>
      <c r="C59" s="205"/>
      <c r="D59" s="205"/>
      <c r="E59" s="205"/>
      <c r="F59" s="206"/>
      <c r="G59" s="205"/>
      <c r="H59" s="211"/>
      <c r="I59" s="234"/>
      <c r="J59" s="205"/>
      <c r="K59" s="205"/>
    </row>
    <row r="60" spans="1:16" x14ac:dyDescent="0.25">
      <c r="A60" s="197"/>
      <c r="B60" s="79"/>
      <c r="C60" s="199"/>
      <c r="D60" s="199"/>
      <c r="E60" s="199"/>
      <c r="F60" s="200"/>
      <c r="G60" s="199"/>
      <c r="H60" s="209"/>
      <c r="I60" s="210"/>
      <c r="J60" s="199"/>
      <c r="K60" s="199"/>
      <c r="M60">
        <f>SUM(M12:M58)</f>
        <v>7578.2</v>
      </c>
    </row>
    <row r="61" spans="1:16" x14ac:dyDescent="0.25">
      <c r="H61" s="25"/>
      <c r="I61" s="90"/>
    </row>
    <row r="63" spans="1:16" x14ac:dyDescent="0.25">
      <c r="I63" s="92" t="s">
        <v>19</v>
      </c>
      <c r="J63" s="26"/>
    </row>
    <row r="64" spans="1:16" ht="16.5" customHeight="1" x14ac:dyDescent="0.25">
      <c r="B64" t="s">
        <v>20</v>
      </c>
      <c r="E64" t="s">
        <v>21</v>
      </c>
      <c r="I64" s="81" t="s">
        <v>114</v>
      </c>
      <c r="J64" s="97">
        <v>37</v>
      </c>
      <c r="P64" s="25"/>
    </row>
    <row r="65" spans="2:11" x14ac:dyDescent="0.25">
      <c r="I65" s="81" t="s">
        <v>115</v>
      </c>
      <c r="J65" s="97">
        <v>3</v>
      </c>
      <c r="K65" s="57"/>
    </row>
    <row r="66" spans="2:11" x14ac:dyDescent="0.25">
      <c r="I66" s="81" t="s">
        <v>165</v>
      </c>
      <c r="J66" s="99">
        <v>34210</v>
      </c>
      <c r="K66" s="57"/>
    </row>
    <row r="67" spans="2:11" x14ac:dyDescent="0.25">
      <c r="I67" s="81" t="s">
        <v>567</v>
      </c>
      <c r="J67" s="99">
        <v>550</v>
      </c>
    </row>
    <row r="68" spans="2:11" x14ac:dyDescent="0.25">
      <c r="B68" s="93" t="s">
        <v>538</v>
      </c>
      <c r="E68" s="533" t="s">
        <v>941</v>
      </c>
      <c r="F68" s="533"/>
      <c r="G68" s="533"/>
      <c r="H68" s="533"/>
      <c r="I68" s="81" t="s">
        <v>116</v>
      </c>
      <c r="J68" s="99"/>
    </row>
    <row r="69" spans="2:11" x14ac:dyDescent="0.25">
      <c r="B69" t="s">
        <v>183</v>
      </c>
      <c r="E69" s="522" t="s">
        <v>942</v>
      </c>
      <c r="F69" s="522"/>
      <c r="G69" s="522"/>
      <c r="H69" s="522"/>
      <c r="I69" s="81" t="s">
        <v>117</v>
      </c>
      <c r="J69" s="99">
        <v>931</v>
      </c>
    </row>
    <row r="70" spans="2:11" x14ac:dyDescent="0.25">
      <c r="I70" s="81" t="s">
        <v>119</v>
      </c>
      <c r="J70" s="99">
        <v>2200</v>
      </c>
    </row>
    <row r="71" spans="2:11" x14ac:dyDescent="0.25">
      <c r="I71" s="94" t="s">
        <v>113</v>
      </c>
      <c r="J71" s="97"/>
    </row>
    <row r="72" spans="2:11" x14ac:dyDescent="0.25">
      <c r="I72" s="81" t="s">
        <v>23</v>
      </c>
      <c r="J72" s="323">
        <v>7578.2</v>
      </c>
    </row>
    <row r="73" spans="2:11" x14ac:dyDescent="0.25">
      <c r="I73" s="95" t="s">
        <v>111</v>
      </c>
      <c r="J73" s="99"/>
    </row>
    <row r="74" spans="2:11" x14ac:dyDescent="0.25">
      <c r="B74" s="27"/>
      <c r="E74" s="27"/>
      <c r="F74" s="27"/>
      <c r="G74" s="27"/>
      <c r="I74" s="95" t="s">
        <v>112</v>
      </c>
      <c r="J74" s="58"/>
    </row>
    <row r="75" spans="2:11" x14ac:dyDescent="0.25">
      <c r="I75" s="81"/>
      <c r="J75" s="26"/>
    </row>
    <row r="76" spans="2:11" x14ac:dyDescent="0.25">
      <c r="I76" s="81"/>
      <c r="J76" s="26"/>
    </row>
    <row r="77" spans="2:11" x14ac:dyDescent="0.25">
      <c r="I77" s="81"/>
      <c r="J77" s="58"/>
    </row>
    <row r="78" spans="2:11" x14ac:dyDescent="0.25">
      <c r="I78" s="81"/>
      <c r="J78" s="58"/>
    </row>
    <row r="98" spans="12:12" x14ac:dyDescent="0.25">
      <c r="L98" s="25"/>
    </row>
    <row r="121" spans="12:12" x14ac:dyDescent="0.25">
      <c r="L121" s="25"/>
    </row>
    <row r="248" spans="12:12" x14ac:dyDescent="0.25">
      <c r="L248" s="25"/>
    </row>
  </sheetData>
  <mergeCells count="8">
    <mergeCell ref="E68:H68"/>
    <mergeCell ref="E69:H69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6916-A1AB-41D2-A07D-9B891FB6D155}">
  <sheetPr>
    <tabColor theme="5"/>
  </sheetPr>
  <dimension ref="A1:O31"/>
  <sheetViews>
    <sheetView view="pageBreakPreview" zoomScale="96" zoomScaleNormal="100" zoomScaleSheetLayoutView="96" workbookViewId="0">
      <selection activeCell="L13" sqref="L13:L16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6.7109375" customWidth="1"/>
    <col min="9" max="9" width="19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</row>
    <row r="2" spans="1:15" ht="18" x14ac:dyDescent="0.25">
      <c r="A2" s="524" t="s">
        <v>940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</row>
    <row r="3" spans="1:15" x14ac:dyDescent="0.25">
      <c r="A3" s="183"/>
      <c r="B3" s="1"/>
      <c r="C3" s="28"/>
      <c r="D3" s="1"/>
      <c r="E3" s="1"/>
      <c r="G3" s="1"/>
      <c r="H3" s="28"/>
      <c r="I3" s="25"/>
      <c r="J3" s="29"/>
      <c r="K3" s="526" t="s">
        <v>1015</v>
      </c>
      <c r="L3" s="536"/>
    </row>
    <row r="4" spans="1:15" x14ac:dyDescent="0.25">
      <c r="A4" s="183"/>
      <c r="B4" s="1"/>
      <c r="C4" s="28"/>
      <c r="D4" s="1"/>
      <c r="E4" s="1"/>
      <c r="G4" s="1"/>
      <c r="H4" s="28"/>
      <c r="I4" s="25"/>
      <c r="J4" s="29"/>
      <c r="K4" s="31" t="s">
        <v>37</v>
      </c>
      <c r="L4" s="100">
        <v>1</v>
      </c>
    </row>
    <row r="5" spans="1:15" x14ac:dyDescent="0.25">
      <c r="A5" s="183"/>
      <c r="B5" s="1"/>
      <c r="C5" s="28"/>
      <c r="D5" s="1"/>
      <c r="E5" s="1"/>
      <c r="G5" s="1"/>
      <c r="H5" s="28"/>
      <c r="I5" s="25"/>
      <c r="J5" s="29"/>
      <c r="K5" s="31" t="s">
        <v>38</v>
      </c>
      <c r="L5" s="100"/>
    </row>
    <row r="6" spans="1:15" ht="18" x14ac:dyDescent="0.25">
      <c r="A6" s="528" t="s">
        <v>122</v>
      </c>
      <c r="B6" s="528"/>
      <c r="C6" s="32"/>
      <c r="D6" s="1"/>
      <c r="E6" s="4"/>
      <c r="F6" s="2"/>
      <c r="G6" s="1"/>
      <c r="H6" s="28"/>
      <c r="I6" s="25"/>
      <c r="J6" s="29"/>
      <c r="K6" s="5" t="s">
        <v>39</v>
      </c>
      <c r="L6" s="33"/>
    </row>
    <row r="7" spans="1:15" x14ac:dyDescent="0.25">
      <c r="A7" s="6"/>
      <c r="B7" s="7"/>
      <c r="C7" s="34" t="s">
        <v>24</v>
      </c>
      <c r="D7" s="8"/>
      <c r="E7" s="8"/>
      <c r="F7" s="35" t="s">
        <v>25</v>
      </c>
      <c r="G7" s="34" t="s">
        <v>26</v>
      </c>
      <c r="H7" s="529" t="s">
        <v>27</v>
      </c>
      <c r="I7" s="530"/>
      <c r="J7" s="36"/>
      <c r="K7" s="531" t="s">
        <v>2</v>
      </c>
      <c r="L7" s="532"/>
    </row>
    <row r="8" spans="1:15" x14ac:dyDescent="0.25">
      <c r="A8" s="519" t="s">
        <v>28</v>
      </c>
      <c r="B8" s="520"/>
      <c r="C8" s="35" t="s">
        <v>29</v>
      </c>
      <c r="D8" s="184" t="s">
        <v>5</v>
      </c>
      <c r="E8" s="9" t="s">
        <v>6</v>
      </c>
      <c r="F8" s="35" t="s">
        <v>30</v>
      </c>
      <c r="G8" s="37" t="s">
        <v>31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7"/>
      <c r="B9" s="14"/>
      <c r="C9" s="35" t="s">
        <v>32</v>
      </c>
      <c r="D9" s="15"/>
      <c r="E9" s="14"/>
      <c r="F9" s="35" t="s">
        <v>33</v>
      </c>
      <c r="G9" s="37" t="s">
        <v>34</v>
      </c>
      <c r="H9" s="40" t="s">
        <v>11</v>
      </c>
      <c r="I9" s="39" t="s">
        <v>12</v>
      </c>
      <c r="J9" s="41"/>
      <c r="K9" s="184" t="s">
        <v>13</v>
      </c>
      <c r="L9" s="184" t="s">
        <v>14</v>
      </c>
    </row>
    <row r="10" spans="1:15" x14ac:dyDescent="0.25">
      <c r="A10" s="18"/>
      <c r="B10" s="19"/>
      <c r="C10" s="42"/>
      <c r="D10" s="20"/>
      <c r="E10" s="20"/>
      <c r="F10" s="43" t="s">
        <v>35</v>
      </c>
      <c r="G10" s="22"/>
      <c r="H10" s="44"/>
      <c r="I10" s="45" t="s">
        <v>36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x14ac:dyDescent="0.25">
      <c r="A12" s="219">
        <v>4</v>
      </c>
      <c r="B12" s="220" t="s">
        <v>776</v>
      </c>
      <c r="C12" s="49"/>
      <c r="D12" s="48"/>
      <c r="E12" s="48" t="s">
        <v>577</v>
      </c>
      <c r="F12" s="231"/>
      <c r="G12" s="220" t="s">
        <v>972</v>
      </c>
      <c r="H12" s="220" t="s">
        <v>163</v>
      </c>
      <c r="I12" s="221">
        <v>3000</v>
      </c>
      <c r="J12" s="194"/>
      <c r="K12" s="79" t="s">
        <v>255</v>
      </c>
      <c r="L12" s="145" t="s">
        <v>43</v>
      </c>
    </row>
    <row r="13" spans="1:15" x14ac:dyDescent="0.25">
      <c r="A13" s="299"/>
      <c r="B13" s="220"/>
      <c r="C13" s="49"/>
      <c r="D13" s="48"/>
      <c r="E13" s="48"/>
      <c r="F13" s="231"/>
      <c r="G13" s="220"/>
      <c r="H13" s="220"/>
      <c r="I13" s="221"/>
      <c r="J13" s="194"/>
      <c r="K13" s="79"/>
      <c r="L13" s="145"/>
    </row>
    <row r="14" spans="1:15" ht="21" customHeight="1" x14ac:dyDescent="0.25">
      <c r="A14" s="300"/>
      <c r="B14" s="238"/>
      <c r="C14" s="190"/>
      <c r="D14" s="239"/>
      <c r="E14" s="145"/>
      <c r="F14" s="240"/>
      <c r="G14" s="241"/>
      <c r="H14" s="192"/>
      <c r="I14" s="278"/>
      <c r="J14" s="194"/>
      <c r="K14" s="79"/>
      <c r="L14" s="145"/>
      <c r="M14" s="132"/>
    </row>
    <row r="15" spans="1:15" ht="17.25" customHeight="1" x14ac:dyDescent="0.25">
      <c r="A15" s="300"/>
      <c r="B15" s="238"/>
      <c r="C15" s="190"/>
      <c r="D15" s="239"/>
      <c r="E15" s="145"/>
      <c r="F15" s="191"/>
      <c r="G15" s="145"/>
      <c r="H15" s="192"/>
      <c r="I15" s="242"/>
      <c r="J15" s="194"/>
      <c r="K15" s="79"/>
      <c r="L15" s="145"/>
      <c r="M15" s="132"/>
      <c r="O15" s="57"/>
    </row>
    <row r="16" spans="1:15" ht="18" customHeight="1" x14ac:dyDescent="0.25">
      <c r="A16" s="301"/>
      <c r="B16" s="280"/>
      <c r="C16" s="279"/>
      <c r="D16" s="281"/>
      <c r="E16" s="282"/>
      <c r="F16" s="283"/>
      <c r="G16" s="282"/>
      <c r="H16" s="284"/>
      <c r="I16" s="242"/>
      <c r="J16" s="285"/>
      <c r="K16" s="80"/>
      <c r="L16" s="145"/>
      <c r="O16" s="57"/>
    </row>
    <row r="17" spans="1:15" ht="16.5" customHeight="1" x14ac:dyDescent="0.25">
      <c r="A17" s="222"/>
      <c r="B17" s="179"/>
      <c r="C17" s="79"/>
      <c r="D17" s="79"/>
      <c r="E17" s="79"/>
      <c r="F17" s="223"/>
      <c r="G17" s="79"/>
      <c r="H17" s="224"/>
      <c r="I17" s="195"/>
      <c r="J17" s="225"/>
      <c r="K17" s="79"/>
      <c r="L17" s="79"/>
      <c r="O17" s="57"/>
    </row>
    <row r="18" spans="1:15" x14ac:dyDescent="0.25">
      <c r="A18" s="222"/>
      <c r="B18" s="79"/>
      <c r="C18" s="190"/>
      <c r="D18" s="79"/>
      <c r="E18" s="79"/>
      <c r="F18" s="223"/>
      <c r="G18" s="79"/>
      <c r="H18" s="107"/>
      <c r="I18" s="195"/>
      <c r="J18" s="190"/>
      <c r="K18" s="79"/>
      <c r="L18" s="79"/>
      <c r="O18" s="57"/>
    </row>
    <row r="19" spans="1:15" x14ac:dyDescent="0.25">
      <c r="I19" s="26"/>
      <c r="J19" s="26"/>
    </row>
    <row r="20" spans="1:15" x14ac:dyDescent="0.25">
      <c r="I20" s="51" t="s">
        <v>19</v>
      </c>
      <c r="J20" s="26"/>
    </row>
    <row r="21" spans="1:15" x14ac:dyDescent="0.25">
      <c r="I21" s="26" t="s">
        <v>114</v>
      </c>
      <c r="J21" s="26"/>
    </row>
    <row r="22" spans="1:15" x14ac:dyDescent="0.25">
      <c r="B22" t="s">
        <v>20</v>
      </c>
      <c r="E22" t="s">
        <v>21</v>
      </c>
      <c r="I22" s="26" t="s">
        <v>115</v>
      </c>
      <c r="J22" s="99">
        <v>1</v>
      </c>
    </row>
    <row r="23" spans="1:15" x14ac:dyDescent="0.25">
      <c r="I23" s="26" t="s">
        <v>184</v>
      </c>
      <c r="J23" s="99"/>
    </row>
    <row r="24" spans="1:15" x14ac:dyDescent="0.25">
      <c r="I24" s="26" t="s">
        <v>589</v>
      </c>
      <c r="J24" s="99"/>
    </row>
    <row r="25" spans="1:15" x14ac:dyDescent="0.25">
      <c r="I25" s="26" t="s">
        <v>116</v>
      </c>
      <c r="J25" s="99"/>
    </row>
    <row r="26" spans="1:15" x14ac:dyDescent="0.25">
      <c r="I26" s="26" t="s">
        <v>118</v>
      </c>
      <c r="J26" s="97"/>
    </row>
    <row r="27" spans="1:15" x14ac:dyDescent="0.25">
      <c r="B27" s="27" t="s">
        <v>538</v>
      </c>
      <c r="E27" s="521" t="s">
        <v>941</v>
      </c>
      <c r="F27" s="521"/>
      <c r="G27" s="521"/>
      <c r="H27" s="521"/>
      <c r="I27" s="26" t="s">
        <v>119</v>
      </c>
      <c r="J27" s="99">
        <v>3000</v>
      </c>
      <c r="L27" s="57"/>
    </row>
    <row r="28" spans="1:15" x14ac:dyDescent="0.25">
      <c r="B28" t="s">
        <v>183</v>
      </c>
      <c r="E28" s="522" t="s">
        <v>942</v>
      </c>
      <c r="F28" s="522"/>
      <c r="G28" s="522"/>
      <c r="H28" s="522"/>
      <c r="I28" s="26" t="s">
        <v>120</v>
      </c>
      <c r="J28" s="97"/>
      <c r="L28" s="57"/>
    </row>
    <row r="29" spans="1:15" x14ac:dyDescent="0.25">
      <c r="I29" s="26" t="s">
        <v>23</v>
      </c>
      <c r="J29" s="98"/>
    </row>
    <row r="30" spans="1:15" x14ac:dyDescent="0.25">
      <c r="I30" s="3" t="s">
        <v>121</v>
      </c>
      <c r="J30" s="99"/>
    </row>
    <row r="31" spans="1:15" x14ac:dyDescent="0.25">
      <c r="I31" s="3" t="s">
        <v>91</v>
      </c>
      <c r="J31" s="99"/>
    </row>
  </sheetData>
  <mergeCells count="9">
    <mergeCell ref="A8:B8"/>
    <mergeCell ref="E27:H27"/>
    <mergeCell ref="E28:H2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DFA9-290F-4D9C-AD1E-6CDF47866EA3}">
  <sheetPr>
    <tabColor theme="5"/>
  </sheetPr>
  <dimension ref="A1:Q390"/>
  <sheetViews>
    <sheetView view="pageBreakPreview" topLeftCell="A87" zoomScale="106" zoomScaleNormal="100" zoomScaleSheetLayoutView="106" workbookViewId="0">
      <selection activeCell="J97" sqref="J97:K200"/>
    </sheetView>
  </sheetViews>
  <sheetFormatPr defaultRowHeight="15" x14ac:dyDescent="0.25"/>
  <cols>
    <col min="1" max="1" width="4.7109375" style="183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91" customWidth="1"/>
    <col min="10" max="10" width="9.5703125" customWidth="1"/>
    <col min="11" max="11" width="17.85546875" customWidth="1"/>
    <col min="16" max="16" width="20" customWidth="1"/>
  </cols>
  <sheetData>
    <row r="1" spans="1:17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</row>
    <row r="2" spans="1:17" ht="18" x14ac:dyDescent="0.25">
      <c r="A2" s="524" t="s">
        <v>940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</row>
    <row r="3" spans="1:17" x14ac:dyDescent="0.25">
      <c r="B3" s="1"/>
      <c r="C3" s="3"/>
      <c r="D3" s="1"/>
      <c r="E3" s="1"/>
      <c r="G3" s="3"/>
      <c r="H3" s="67"/>
      <c r="I3" s="81"/>
      <c r="J3" s="82" t="s">
        <v>1060</v>
      </c>
      <c r="K3" s="83"/>
    </row>
    <row r="4" spans="1:17" x14ac:dyDescent="0.25">
      <c r="B4" s="1"/>
      <c r="C4" s="3"/>
      <c r="D4" s="1"/>
      <c r="E4" s="1"/>
      <c r="G4" s="3"/>
      <c r="H4" s="67"/>
      <c r="I4" s="84"/>
      <c r="J4" s="76" t="s">
        <v>93</v>
      </c>
      <c r="K4" s="96">
        <v>54</v>
      </c>
      <c r="P4" s="448">
        <f>SUM(I12:I28,I31:I59,I61:I89,I91:I93)</f>
        <v>28850</v>
      </c>
    </row>
    <row r="5" spans="1:17" x14ac:dyDescent="0.25">
      <c r="B5" s="1"/>
      <c r="C5" s="3"/>
      <c r="D5" s="1"/>
      <c r="E5" s="1"/>
      <c r="G5" s="3"/>
      <c r="H5" s="67"/>
      <c r="I5" s="84"/>
      <c r="J5" s="76" t="s">
        <v>95</v>
      </c>
      <c r="K5" s="96">
        <v>17</v>
      </c>
    </row>
    <row r="6" spans="1:17" x14ac:dyDescent="0.25">
      <c r="A6" s="534" t="s">
        <v>123</v>
      </c>
      <c r="B6" s="534"/>
      <c r="C6" s="3"/>
      <c r="D6" s="1"/>
      <c r="E6" s="4"/>
      <c r="G6" s="3"/>
      <c r="H6" s="67"/>
      <c r="I6" s="81"/>
      <c r="J6" s="80" t="s">
        <v>1050</v>
      </c>
      <c r="K6" s="85"/>
    </row>
    <row r="7" spans="1:17" x14ac:dyDescent="0.25">
      <c r="A7" s="6"/>
      <c r="B7" s="7"/>
      <c r="C7" s="64"/>
      <c r="D7" s="8"/>
      <c r="E7" s="8"/>
      <c r="F7" s="529" t="s">
        <v>1</v>
      </c>
      <c r="G7" s="535"/>
      <c r="H7" s="530"/>
      <c r="I7" s="86"/>
      <c r="J7" s="531" t="s">
        <v>2</v>
      </c>
      <c r="K7" s="532"/>
      <c r="P7" s="25"/>
    </row>
    <row r="8" spans="1:17" x14ac:dyDescent="0.25">
      <c r="A8" s="519" t="s">
        <v>3</v>
      </c>
      <c r="B8" s="520"/>
      <c r="C8" s="17" t="s">
        <v>4</v>
      </c>
      <c r="D8" s="184" t="s">
        <v>5</v>
      </c>
      <c r="E8" s="9" t="s">
        <v>6</v>
      </c>
      <c r="F8" s="10" t="s">
        <v>7</v>
      </c>
      <c r="G8" s="65"/>
      <c r="H8" s="11" t="s">
        <v>8</v>
      </c>
      <c r="I8" s="60" t="s">
        <v>9</v>
      </c>
      <c r="J8" s="77"/>
      <c r="K8" s="13"/>
    </row>
    <row r="9" spans="1:17" x14ac:dyDescent="0.25">
      <c r="A9" s="87"/>
      <c r="B9" s="14"/>
      <c r="C9" s="65"/>
      <c r="D9" s="15"/>
      <c r="E9" s="14"/>
      <c r="F9" s="16" t="s">
        <v>10</v>
      </c>
      <c r="G9" s="17" t="s">
        <v>11</v>
      </c>
      <c r="H9" s="11" t="s">
        <v>12</v>
      </c>
      <c r="I9" s="88"/>
      <c r="J9" s="184" t="s">
        <v>13</v>
      </c>
      <c r="K9" s="184" t="s">
        <v>14</v>
      </c>
      <c r="Q9" s="232"/>
    </row>
    <row r="10" spans="1:17" x14ac:dyDescent="0.25">
      <c r="A10" s="18"/>
      <c r="B10" s="19"/>
      <c r="C10" s="66"/>
      <c r="D10" s="20"/>
      <c r="E10" s="20"/>
      <c r="F10" s="21"/>
      <c r="G10" s="68"/>
      <c r="H10" s="69" t="s">
        <v>15</v>
      </c>
      <c r="I10" s="89"/>
      <c r="J10" s="21"/>
      <c r="K10" s="22" t="s">
        <v>16</v>
      </c>
      <c r="P10" s="232"/>
      <c r="Q10" s="232"/>
    </row>
    <row r="11" spans="1:17" x14ac:dyDescent="0.25">
      <c r="A11" s="47" t="s">
        <v>17</v>
      </c>
      <c r="B11" s="23"/>
      <c r="C11" s="23"/>
      <c r="D11" s="23"/>
      <c r="E11" s="23"/>
      <c r="F11" s="23"/>
      <c r="G11" s="23"/>
      <c r="H11" s="23"/>
      <c r="I11" s="61"/>
      <c r="J11" s="23"/>
      <c r="K11" s="23"/>
      <c r="P11" s="232"/>
      <c r="Q11" s="232"/>
    </row>
    <row r="12" spans="1:17" x14ac:dyDescent="0.25">
      <c r="A12" s="203">
        <v>3</v>
      </c>
      <c r="B12" s="205" t="s">
        <v>943</v>
      </c>
      <c r="C12" s="205" t="s">
        <v>40</v>
      </c>
      <c r="D12" s="205" t="s">
        <v>944</v>
      </c>
      <c r="E12" s="205" t="s">
        <v>51</v>
      </c>
      <c r="F12" s="206" t="s">
        <v>945</v>
      </c>
      <c r="G12" s="208" t="s">
        <v>42</v>
      </c>
      <c r="H12" s="207">
        <v>500</v>
      </c>
      <c r="I12" s="204">
        <v>100</v>
      </c>
      <c r="J12" s="205" t="s">
        <v>179</v>
      </c>
      <c r="K12" s="205" t="s">
        <v>43</v>
      </c>
      <c r="M12">
        <f>H12/5</f>
        <v>100</v>
      </c>
      <c r="O12" s="25" t="s">
        <v>1400</v>
      </c>
      <c r="P12" s="232">
        <f>H12+H14+H19+H22+H24+H25+H29+H30+H33+H35+H37+H38+H41+H49+H52+H53+H54+H55+H58+H59+H60+H61+H62+H64+H65+H66+H67+H68+H69+H71+H72+H73+H74+H75+H79+H80+H81+H82+H83+H84+H85+H86+H90+H91+H94</f>
        <v>93350</v>
      </c>
    </row>
    <row r="13" spans="1:17" x14ac:dyDescent="0.25">
      <c r="A13" s="203">
        <v>3</v>
      </c>
      <c r="B13" s="205" t="s">
        <v>943</v>
      </c>
      <c r="C13" s="205" t="s">
        <v>40</v>
      </c>
      <c r="D13" s="205" t="s">
        <v>944</v>
      </c>
      <c r="E13" s="205" t="s">
        <v>51</v>
      </c>
      <c r="F13" s="206" t="s">
        <v>945</v>
      </c>
      <c r="G13" s="208" t="s">
        <v>162</v>
      </c>
      <c r="H13" s="207">
        <v>20</v>
      </c>
      <c r="I13" s="204">
        <v>100</v>
      </c>
      <c r="J13" s="205" t="s">
        <v>179</v>
      </c>
      <c r="K13" s="205" t="s">
        <v>43</v>
      </c>
      <c r="M13">
        <f t="shared" ref="M13:M117" si="0">H13/5</f>
        <v>4</v>
      </c>
      <c r="O13" s="25" t="s">
        <v>1130</v>
      </c>
      <c r="P13" s="232">
        <f>H39+H40+H42+H45+H46+H51+H57+H76+H78+H88+H92+H93+H95</f>
        <v>14850</v>
      </c>
    </row>
    <row r="14" spans="1:17" x14ac:dyDescent="0.25">
      <c r="A14" s="203">
        <v>3</v>
      </c>
      <c r="B14" s="205" t="s">
        <v>946</v>
      </c>
      <c r="C14" s="205" t="s">
        <v>40</v>
      </c>
      <c r="D14" s="205"/>
      <c r="E14" s="205" t="s">
        <v>72</v>
      </c>
      <c r="F14" s="206"/>
      <c r="G14" s="208" t="s">
        <v>42</v>
      </c>
      <c r="H14" s="207">
        <v>500</v>
      </c>
      <c r="I14" s="204">
        <v>100</v>
      </c>
      <c r="J14" s="205" t="s">
        <v>179</v>
      </c>
      <c r="K14" s="205" t="s">
        <v>43</v>
      </c>
      <c r="M14">
        <f t="shared" si="0"/>
        <v>100</v>
      </c>
      <c r="O14" s="25" t="s">
        <v>1129</v>
      </c>
      <c r="P14" s="232">
        <v>618</v>
      </c>
    </row>
    <row r="15" spans="1:17" x14ac:dyDescent="0.25">
      <c r="A15" s="203">
        <v>3</v>
      </c>
      <c r="B15" s="205" t="s">
        <v>947</v>
      </c>
      <c r="C15" s="205" t="s">
        <v>40</v>
      </c>
      <c r="D15" s="205" t="s">
        <v>732</v>
      </c>
      <c r="E15" s="205" t="s">
        <v>45</v>
      </c>
      <c r="F15" s="206"/>
      <c r="G15" s="208" t="s">
        <v>162</v>
      </c>
      <c r="H15" s="207">
        <v>20</v>
      </c>
      <c r="I15" s="204">
        <v>100</v>
      </c>
      <c r="J15" s="205" t="s">
        <v>179</v>
      </c>
      <c r="K15" s="205" t="s">
        <v>43</v>
      </c>
      <c r="M15">
        <f t="shared" si="0"/>
        <v>4</v>
      </c>
      <c r="O15" s="25" t="s">
        <v>163</v>
      </c>
      <c r="P15" s="232">
        <f>H16+H18+H20+H21+H26+H31+H34+H43+H47+H70</f>
        <v>6950</v>
      </c>
      <c r="Q15" s="537">
        <f>P15+P16</f>
        <v>9950</v>
      </c>
    </row>
    <row r="16" spans="1:17" x14ac:dyDescent="0.25">
      <c r="A16" s="203">
        <v>3</v>
      </c>
      <c r="B16" s="205" t="s">
        <v>948</v>
      </c>
      <c r="C16" s="205" t="s">
        <v>40</v>
      </c>
      <c r="D16" s="205" t="s">
        <v>634</v>
      </c>
      <c r="E16" s="205" t="s">
        <v>63</v>
      </c>
      <c r="F16" s="206"/>
      <c r="G16" s="208" t="s">
        <v>163</v>
      </c>
      <c r="H16" s="207">
        <v>600</v>
      </c>
      <c r="I16" s="204">
        <v>600</v>
      </c>
      <c r="J16" s="205" t="s">
        <v>179</v>
      </c>
      <c r="K16" s="205" t="s">
        <v>43</v>
      </c>
      <c r="M16">
        <f t="shared" si="0"/>
        <v>120</v>
      </c>
      <c r="P16" s="232">
        <v>3000</v>
      </c>
      <c r="Q16" s="522"/>
    </row>
    <row r="17" spans="1:17" x14ac:dyDescent="0.25">
      <c r="A17" s="203">
        <v>3</v>
      </c>
      <c r="B17" s="205" t="s">
        <v>949</v>
      </c>
      <c r="C17" s="205" t="s">
        <v>40</v>
      </c>
      <c r="D17" s="205" t="s">
        <v>836</v>
      </c>
      <c r="E17" s="205" t="s">
        <v>51</v>
      </c>
      <c r="F17" s="206" t="s">
        <v>950</v>
      </c>
      <c r="G17" s="208" t="s">
        <v>162</v>
      </c>
      <c r="H17" s="207">
        <v>20</v>
      </c>
      <c r="I17" s="204">
        <v>100</v>
      </c>
      <c r="J17" s="205" t="s">
        <v>179</v>
      </c>
      <c r="K17" s="205" t="s">
        <v>43</v>
      </c>
      <c r="M17">
        <f t="shared" si="0"/>
        <v>4</v>
      </c>
      <c r="O17" s="57"/>
      <c r="P17" s="232"/>
    </row>
    <row r="18" spans="1:17" x14ac:dyDescent="0.25">
      <c r="A18" s="203">
        <v>3</v>
      </c>
      <c r="B18" s="205" t="s">
        <v>949</v>
      </c>
      <c r="C18" s="205" t="s">
        <v>40</v>
      </c>
      <c r="D18" s="205" t="s">
        <v>836</v>
      </c>
      <c r="E18" s="205" t="s">
        <v>51</v>
      </c>
      <c r="F18" s="206" t="s">
        <v>950</v>
      </c>
      <c r="G18" s="208" t="s">
        <v>163</v>
      </c>
      <c r="H18" s="207">
        <v>50</v>
      </c>
      <c r="I18" s="204">
        <v>50</v>
      </c>
      <c r="J18" s="205" t="s">
        <v>179</v>
      </c>
      <c r="K18" s="205" t="s">
        <v>43</v>
      </c>
      <c r="M18">
        <f t="shared" si="0"/>
        <v>10</v>
      </c>
      <c r="P18" s="233"/>
      <c r="Q18" s="25"/>
    </row>
    <row r="19" spans="1:17" x14ac:dyDescent="0.25">
      <c r="A19" s="203">
        <v>3</v>
      </c>
      <c r="B19" s="205" t="s">
        <v>951</v>
      </c>
      <c r="C19" s="205" t="s">
        <v>40</v>
      </c>
      <c r="D19" s="205" t="s">
        <v>952</v>
      </c>
      <c r="E19" s="205" t="s">
        <v>57</v>
      </c>
      <c r="F19" s="206" t="s">
        <v>953</v>
      </c>
      <c r="G19" s="208" t="s">
        <v>42</v>
      </c>
      <c r="H19" s="207">
        <v>4000</v>
      </c>
      <c r="I19" s="204">
        <v>800</v>
      </c>
      <c r="J19" s="205" t="s">
        <v>179</v>
      </c>
      <c r="K19" s="205" t="s">
        <v>43</v>
      </c>
      <c r="M19">
        <f t="shared" si="0"/>
        <v>800</v>
      </c>
      <c r="O19" s="25"/>
      <c r="P19" s="232"/>
    </row>
    <row r="20" spans="1:17" x14ac:dyDescent="0.25">
      <c r="A20" s="203">
        <v>3</v>
      </c>
      <c r="B20" s="205" t="s">
        <v>954</v>
      </c>
      <c r="C20" s="205" t="s">
        <v>40</v>
      </c>
      <c r="D20" s="205" t="s">
        <v>52</v>
      </c>
      <c r="E20" s="205" t="s">
        <v>61</v>
      </c>
      <c r="F20" s="206" t="s">
        <v>955</v>
      </c>
      <c r="G20" s="208" t="s">
        <v>163</v>
      </c>
      <c r="H20" s="207">
        <v>1000</v>
      </c>
      <c r="I20" s="204">
        <v>1000</v>
      </c>
      <c r="J20" s="205" t="s">
        <v>179</v>
      </c>
      <c r="K20" s="205" t="s">
        <v>43</v>
      </c>
      <c r="M20">
        <f t="shared" si="0"/>
        <v>200</v>
      </c>
      <c r="P20" s="232"/>
    </row>
    <row r="21" spans="1:17" x14ac:dyDescent="0.25">
      <c r="A21" s="203">
        <v>3</v>
      </c>
      <c r="B21" s="205" t="s">
        <v>765</v>
      </c>
      <c r="C21" s="205" t="s">
        <v>40</v>
      </c>
      <c r="D21" s="205" t="s">
        <v>342</v>
      </c>
      <c r="E21" s="205" t="s">
        <v>47</v>
      </c>
      <c r="F21" s="206" t="s">
        <v>956</v>
      </c>
      <c r="G21" s="208" t="s">
        <v>163</v>
      </c>
      <c r="H21" s="207">
        <v>1000</v>
      </c>
      <c r="I21" s="204">
        <v>1000</v>
      </c>
      <c r="J21" s="205" t="s">
        <v>179</v>
      </c>
      <c r="K21" s="205" t="s">
        <v>43</v>
      </c>
      <c r="M21">
        <f t="shared" si="0"/>
        <v>200</v>
      </c>
      <c r="P21" s="232"/>
    </row>
    <row r="22" spans="1:17" x14ac:dyDescent="0.25">
      <c r="A22" s="203">
        <v>3</v>
      </c>
      <c r="B22" s="205" t="s">
        <v>957</v>
      </c>
      <c r="C22" s="205" t="s">
        <v>40</v>
      </c>
      <c r="D22" s="205" t="s">
        <v>320</v>
      </c>
      <c r="E22" s="205" t="s">
        <v>59</v>
      </c>
      <c r="F22" s="206" t="s">
        <v>958</v>
      </c>
      <c r="G22" s="208" t="s">
        <v>42</v>
      </c>
      <c r="H22" s="207">
        <v>500</v>
      </c>
      <c r="I22" s="204">
        <v>100</v>
      </c>
      <c r="J22" s="205" t="s">
        <v>179</v>
      </c>
      <c r="K22" s="205" t="s">
        <v>43</v>
      </c>
      <c r="M22">
        <f t="shared" si="0"/>
        <v>100</v>
      </c>
      <c r="P22" s="232"/>
    </row>
    <row r="23" spans="1:17" x14ac:dyDescent="0.25">
      <c r="A23" s="203">
        <v>3</v>
      </c>
      <c r="B23" s="205" t="s">
        <v>959</v>
      </c>
      <c r="C23" s="205" t="s">
        <v>40</v>
      </c>
      <c r="D23" s="205"/>
      <c r="E23" s="205" t="s">
        <v>45</v>
      </c>
      <c r="F23" s="206" t="s">
        <v>960</v>
      </c>
      <c r="G23" s="208" t="s">
        <v>162</v>
      </c>
      <c r="H23" s="207">
        <v>10</v>
      </c>
      <c r="I23" s="204">
        <v>50</v>
      </c>
      <c r="J23" s="205" t="s">
        <v>179</v>
      </c>
      <c r="K23" s="205" t="s">
        <v>43</v>
      </c>
      <c r="M23">
        <f t="shared" si="0"/>
        <v>2</v>
      </c>
      <c r="P23" s="233"/>
    </row>
    <row r="24" spans="1:17" x14ac:dyDescent="0.25">
      <c r="A24" s="203">
        <v>3</v>
      </c>
      <c r="B24" s="205" t="s">
        <v>961</v>
      </c>
      <c r="C24" s="205" t="s">
        <v>48</v>
      </c>
      <c r="D24" s="205" t="s">
        <v>141</v>
      </c>
      <c r="E24" s="205" t="s">
        <v>45</v>
      </c>
      <c r="F24" s="206"/>
      <c r="G24" s="208" t="s">
        <v>42</v>
      </c>
      <c r="H24" s="207">
        <v>4000</v>
      </c>
      <c r="I24" s="204">
        <v>800</v>
      </c>
      <c r="J24" s="205" t="s">
        <v>179</v>
      </c>
      <c r="K24" s="205" t="s">
        <v>43</v>
      </c>
      <c r="M24">
        <f t="shared" si="0"/>
        <v>800</v>
      </c>
      <c r="P24" s="233"/>
    </row>
    <row r="25" spans="1:17" x14ac:dyDescent="0.25">
      <c r="A25" s="203">
        <v>3</v>
      </c>
      <c r="B25" s="205" t="s">
        <v>962</v>
      </c>
      <c r="C25" s="205" t="s">
        <v>40</v>
      </c>
      <c r="D25" s="205" t="s">
        <v>602</v>
      </c>
      <c r="E25" s="205" t="s">
        <v>47</v>
      </c>
      <c r="F25" s="206"/>
      <c r="G25" s="208" t="s">
        <v>42</v>
      </c>
      <c r="H25" s="207">
        <v>5000</v>
      </c>
      <c r="I25" s="204">
        <v>1000</v>
      </c>
      <c r="J25" s="205" t="s">
        <v>179</v>
      </c>
      <c r="K25" s="205" t="s">
        <v>43</v>
      </c>
      <c r="M25">
        <f t="shared" si="0"/>
        <v>1000</v>
      </c>
      <c r="P25" s="25"/>
      <c r="Q25" s="25"/>
    </row>
    <row r="26" spans="1:17" x14ac:dyDescent="0.25">
      <c r="A26" s="203">
        <v>3</v>
      </c>
      <c r="B26" s="205" t="s">
        <v>642</v>
      </c>
      <c r="C26" s="205" t="s">
        <v>40</v>
      </c>
      <c r="D26" s="205" t="s">
        <v>76</v>
      </c>
      <c r="E26" s="205" t="s">
        <v>44</v>
      </c>
      <c r="F26" s="206"/>
      <c r="G26" s="208" t="s">
        <v>163</v>
      </c>
      <c r="H26" s="207">
        <v>1000</v>
      </c>
      <c r="I26" s="204">
        <v>1000</v>
      </c>
      <c r="J26" s="205" t="s">
        <v>179</v>
      </c>
      <c r="K26" s="205" t="s">
        <v>43</v>
      </c>
      <c r="M26">
        <f t="shared" si="0"/>
        <v>200</v>
      </c>
      <c r="P26" s="25"/>
    </row>
    <row r="27" spans="1:17" x14ac:dyDescent="0.25">
      <c r="A27" s="203">
        <v>3</v>
      </c>
      <c r="B27" s="205" t="s">
        <v>642</v>
      </c>
      <c r="C27" s="205" t="s">
        <v>40</v>
      </c>
      <c r="D27" s="205" t="s">
        <v>76</v>
      </c>
      <c r="E27" s="205" t="s">
        <v>44</v>
      </c>
      <c r="F27" s="206"/>
      <c r="G27" s="208" t="s">
        <v>162</v>
      </c>
      <c r="H27" s="207">
        <v>40</v>
      </c>
      <c r="I27" s="204">
        <v>200</v>
      </c>
      <c r="J27" s="205" t="s">
        <v>179</v>
      </c>
      <c r="K27" s="205" t="s">
        <v>43</v>
      </c>
      <c r="M27">
        <f t="shared" si="0"/>
        <v>8</v>
      </c>
      <c r="P27" s="25"/>
    </row>
    <row r="28" spans="1:17" x14ac:dyDescent="0.25">
      <c r="A28" s="203">
        <v>3</v>
      </c>
      <c r="B28" s="205" t="s">
        <v>963</v>
      </c>
      <c r="C28" s="205" t="s">
        <v>48</v>
      </c>
      <c r="D28" s="205"/>
      <c r="E28" s="205" t="s">
        <v>70</v>
      </c>
      <c r="F28" s="206" t="s">
        <v>964</v>
      </c>
      <c r="G28" s="208" t="s">
        <v>162</v>
      </c>
      <c r="H28" s="207">
        <v>20</v>
      </c>
      <c r="I28" s="204">
        <v>100</v>
      </c>
      <c r="J28" s="205" t="s">
        <v>179</v>
      </c>
      <c r="K28" s="205" t="s">
        <v>43</v>
      </c>
      <c r="M28">
        <f t="shared" si="0"/>
        <v>4</v>
      </c>
      <c r="P28" s="25"/>
    </row>
    <row r="29" spans="1:17" x14ac:dyDescent="0.25">
      <c r="A29" s="203">
        <v>3</v>
      </c>
      <c r="B29" s="205" t="s">
        <v>965</v>
      </c>
      <c r="C29" s="205" t="s">
        <v>48</v>
      </c>
      <c r="D29" s="205" t="s">
        <v>966</v>
      </c>
      <c r="E29" s="205" t="s">
        <v>47</v>
      </c>
      <c r="F29" s="206"/>
      <c r="G29" s="208" t="s">
        <v>42</v>
      </c>
      <c r="H29" s="207">
        <v>4000</v>
      </c>
      <c r="I29" s="204" t="s">
        <v>255</v>
      </c>
      <c r="J29" s="205" t="s">
        <v>179</v>
      </c>
      <c r="K29" s="205" t="s">
        <v>43</v>
      </c>
      <c r="M29">
        <f t="shared" si="0"/>
        <v>800</v>
      </c>
      <c r="P29" s="57"/>
    </row>
    <row r="30" spans="1:17" x14ac:dyDescent="0.25">
      <c r="A30" s="203">
        <v>3</v>
      </c>
      <c r="B30" s="205" t="s">
        <v>967</v>
      </c>
      <c r="C30" s="205" t="s">
        <v>48</v>
      </c>
      <c r="D30" s="205" t="s">
        <v>143</v>
      </c>
      <c r="E30" s="205" t="s">
        <v>45</v>
      </c>
      <c r="F30" s="206"/>
      <c r="G30" s="208" t="s">
        <v>42</v>
      </c>
      <c r="H30" s="207">
        <v>2000</v>
      </c>
      <c r="I30" s="204" t="s">
        <v>255</v>
      </c>
      <c r="J30" s="205" t="s">
        <v>179</v>
      </c>
      <c r="K30" s="205" t="s">
        <v>43</v>
      </c>
      <c r="M30">
        <f t="shared" si="0"/>
        <v>400</v>
      </c>
      <c r="P30" s="25"/>
    </row>
    <row r="31" spans="1:17" x14ac:dyDescent="0.25">
      <c r="A31" s="203">
        <v>3</v>
      </c>
      <c r="B31" s="205" t="s">
        <v>705</v>
      </c>
      <c r="C31" s="205" t="s">
        <v>40</v>
      </c>
      <c r="D31" s="205" t="s">
        <v>968</v>
      </c>
      <c r="E31" s="205" t="s">
        <v>71</v>
      </c>
      <c r="F31" s="206" t="s">
        <v>707</v>
      </c>
      <c r="G31" s="208" t="s">
        <v>163</v>
      </c>
      <c r="H31" s="207">
        <v>1000</v>
      </c>
      <c r="I31" s="204">
        <v>1000</v>
      </c>
      <c r="J31" s="205" t="s">
        <v>179</v>
      </c>
      <c r="K31" s="205" t="s">
        <v>43</v>
      </c>
      <c r="M31">
        <f t="shared" si="0"/>
        <v>200</v>
      </c>
    </row>
    <row r="32" spans="1:17" x14ac:dyDescent="0.25">
      <c r="A32" s="203">
        <v>3</v>
      </c>
      <c r="B32" s="205" t="s">
        <v>527</v>
      </c>
      <c r="C32" s="205" t="s">
        <v>40</v>
      </c>
      <c r="D32" s="205" t="s">
        <v>142</v>
      </c>
      <c r="E32" s="205" t="s">
        <v>57</v>
      </c>
      <c r="F32" s="206"/>
      <c r="G32" s="208" t="s">
        <v>162</v>
      </c>
      <c r="H32" s="207">
        <v>100</v>
      </c>
      <c r="I32" s="204">
        <v>500</v>
      </c>
      <c r="J32" s="205" t="s">
        <v>179</v>
      </c>
      <c r="K32" s="205" t="s">
        <v>43</v>
      </c>
      <c r="M32">
        <f t="shared" si="0"/>
        <v>20</v>
      </c>
    </row>
    <row r="33" spans="1:13" x14ac:dyDescent="0.25">
      <c r="A33" s="203">
        <v>3</v>
      </c>
      <c r="B33" s="205" t="s">
        <v>969</v>
      </c>
      <c r="C33" s="205" t="s">
        <v>40</v>
      </c>
      <c r="D33" s="205" t="s">
        <v>970</v>
      </c>
      <c r="E33" s="205" t="s">
        <v>67</v>
      </c>
      <c r="F33" s="206" t="s">
        <v>971</v>
      </c>
      <c r="G33" s="208" t="s">
        <v>42</v>
      </c>
      <c r="H33" s="207">
        <v>5000</v>
      </c>
      <c r="I33" s="204">
        <v>1000</v>
      </c>
      <c r="J33" s="205" t="s">
        <v>179</v>
      </c>
      <c r="K33" s="205" t="s">
        <v>43</v>
      </c>
      <c r="M33">
        <f t="shared" si="0"/>
        <v>1000</v>
      </c>
    </row>
    <row r="34" spans="1:13" x14ac:dyDescent="0.25">
      <c r="A34" s="203">
        <v>3</v>
      </c>
      <c r="B34" s="205" t="s">
        <v>969</v>
      </c>
      <c r="C34" s="205" t="s">
        <v>40</v>
      </c>
      <c r="D34" s="205" t="s">
        <v>970</v>
      </c>
      <c r="E34" s="205" t="s">
        <v>67</v>
      </c>
      <c r="F34" s="206" t="s">
        <v>971</v>
      </c>
      <c r="G34" s="208" t="s">
        <v>163</v>
      </c>
      <c r="H34" s="207">
        <v>500</v>
      </c>
      <c r="I34" s="204">
        <v>500</v>
      </c>
      <c r="J34" s="205" t="s">
        <v>179</v>
      </c>
      <c r="K34" s="205" t="s">
        <v>43</v>
      </c>
      <c r="M34">
        <f t="shared" si="0"/>
        <v>100</v>
      </c>
    </row>
    <row r="35" spans="1:13" x14ac:dyDescent="0.25">
      <c r="A35" s="203">
        <v>11</v>
      </c>
      <c r="B35" s="205" t="s">
        <v>973</v>
      </c>
      <c r="C35" s="205" t="s">
        <v>40</v>
      </c>
      <c r="D35" s="205" t="s">
        <v>658</v>
      </c>
      <c r="E35" s="205" t="s">
        <v>50</v>
      </c>
      <c r="F35" s="206"/>
      <c r="G35" s="208" t="s">
        <v>42</v>
      </c>
      <c r="H35" s="207">
        <v>500</v>
      </c>
      <c r="I35" s="204">
        <v>100</v>
      </c>
      <c r="J35" s="205" t="s">
        <v>179</v>
      </c>
      <c r="K35" s="205" t="s">
        <v>43</v>
      </c>
      <c r="M35">
        <f t="shared" si="0"/>
        <v>100</v>
      </c>
    </row>
    <row r="36" spans="1:13" x14ac:dyDescent="0.25">
      <c r="A36" s="203">
        <v>11</v>
      </c>
      <c r="B36" s="205" t="s">
        <v>974</v>
      </c>
      <c r="C36" s="205" t="s">
        <v>40</v>
      </c>
      <c r="D36" s="205" t="s">
        <v>430</v>
      </c>
      <c r="E36" s="205" t="s">
        <v>45</v>
      </c>
      <c r="F36" s="206" t="s">
        <v>975</v>
      </c>
      <c r="G36" s="208" t="s">
        <v>162</v>
      </c>
      <c r="H36" s="207">
        <v>20</v>
      </c>
      <c r="I36" s="204">
        <v>100</v>
      </c>
      <c r="J36" s="205" t="s">
        <v>179</v>
      </c>
      <c r="K36" s="205" t="s">
        <v>43</v>
      </c>
      <c r="M36">
        <f t="shared" si="0"/>
        <v>4</v>
      </c>
    </row>
    <row r="37" spans="1:13" x14ac:dyDescent="0.25">
      <c r="A37" s="203">
        <v>11</v>
      </c>
      <c r="B37" s="205" t="s">
        <v>976</v>
      </c>
      <c r="C37" s="205" t="s">
        <v>40</v>
      </c>
      <c r="D37" s="205" t="s">
        <v>699</v>
      </c>
      <c r="E37" s="205" t="s">
        <v>57</v>
      </c>
      <c r="F37" s="206" t="s">
        <v>977</v>
      </c>
      <c r="G37" s="208" t="s">
        <v>42</v>
      </c>
      <c r="H37" s="207">
        <v>500</v>
      </c>
      <c r="I37" s="204">
        <v>100</v>
      </c>
      <c r="J37" s="205" t="s">
        <v>179</v>
      </c>
      <c r="K37" s="205" t="s">
        <v>43</v>
      </c>
      <c r="M37">
        <f t="shared" si="0"/>
        <v>100</v>
      </c>
    </row>
    <row r="38" spans="1:13" x14ac:dyDescent="0.25">
      <c r="A38" s="203">
        <v>11</v>
      </c>
      <c r="B38" s="205" t="s">
        <v>978</v>
      </c>
      <c r="C38" s="205" t="s">
        <v>40</v>
      </c>
      <c r="D38" s="205" t="s">
        <v>873</v>
      </c>
      <c r="E38" s="205" t="s">
        <v>57</v>
      </c>
      <c r="F38" s="206" t="s">
        <v>979</v>
      </c>
      <c r="G38" s="205" t="s">
        <v>42</v>
      </c>
      <c r="H38" s="211">
        <v>1500</v>
      </c>
      <c r="I38" s="234">
        <v>300</v>
      </c>
      <c r="J38" s="205" t="s">
        <v>179</v>
      </c>
      <c r="K38" s="205" t="s">
        <v>43</v>
      </c>
      <c r="M38">
        <f t="shared" si="0"/>
        <v>300</v>
      </c>
    </row>
    <row r="39" spans="1:13" x14ac:dyDescent="0.25">
      <c r="A39" s="203">
        <v>11</v>
      </c>
      <c r="B39" s="205" t="s">
        <v>978</v>
      </c>
      <c r="C39" s="205" t="s">
        <v>40</v>
      </c>
      <c r="D39" s="205" t="s">
        <v>873</v>
      </c>
      <c r="E39" s="205" t="s">
        <v>57</v>
      </c>
      <c r="F39" s="206" t="s">
        <v>979</v>
      </c>
      <c r="G39" s="205" t="s">
        <v>187</v>
      </c>
      <c r="H39" s="211">
        <v>500</v>
      </c>
      <c r="I39" s="234">
        <v>100</v>
      </c>
      <c r="J39" s="205" t="s">
        <v>179</v>
      </c>
      <c r="K39" s="205" t="s">
        <v>43</v>
      </c>
      <c r="M39">
        <f t="shared" si="0"/>
        <v>100</v>
      </c>
    </row>
    <row r="40" spans="1:13" x14ac:dyDescent="0.25">
      <c r="A40" s="203">
        <v>11</v>
      </c>
      <c r="B40" s="205" t="s">
        <v>980</v>
      </c>
      <c r="C40" s="205" t="s">
        <v>40</v>
      </c>
      <c r="D40" s="205" t="s">
        <v>981</v>
      </c>
      <c r="E40" s="205" t="s">
        <v>45</v>
      </c>
      <c r="F40" s="206" t="s">
        <v>982</v>
      </c>
      <c r="G40" s="205" t="s">
        <v>187</v>
      </c>
      <c r="H40" s="211">
        <v>5000</v>
      </c>
      <c r="I40" s="234">
        <v>1000</v>
      </c>
      <c r="J40" s="205" t="s">
        <v>179</v>
      </c>
      <c r="K40" s="205" t="s">
        <v>43</v>
      </c>
      <c r="M40">
        <f t="shared" si="0"/>
        <v>1000</v>
      </c>
    </row>
    <row r="41" spans="1:13" x14ac:dyDescent="0.25">
      <c r="A41" s="203">
        <v>11</v>
      </c>
      <c r="B41" s="205" t="s">
        <v>983</v>
      </c>
      <c r="C41" s="205" t="s">
        <v>40</v>
      </c>
      <c r="D41" s="205" t="s">
        <v>144</v>
      </c>
      <c r="E41" s="205" t="s">
        <v>63</v>
      </c>
      <c r="F41" s="206"/>
      <c r="G41" s="205" t="s">
        <v>42</v>
      </c>
      <c r="H41" s="211">
        <v>500</v>
      </c>
      <c r="I41" s="234">
        <v>100</v>
      </c>
      <c r="J41" s="205" t="s">
        <v>179</v>
      </c>
      <c r="K41" s="205" t="s">
        <v>43</v>
      </c>
      <c r="M41">
        <f t="shared" si="0"/>
        <v>100</v>
      </c>
    </row>
    <row r="42" spans="1:13" x14ac:dyDescent="0.25">
      <c r="A42" s="203">
        <v>11</v>
      </c>
      <c r="B42" s="205" t="s">
        <v>464</v>
      </c>
      <c r="C42" s="205" t="s">
        <v>40</v>
      </c>
      <c r="D42" s="205" t="s">
        <v>465</v>
      </c>
      <c r="E42" s="205" t="s">
        <v>45</v>
      </c>
      <c r="F42" s="206"/>
      <c r="G42" s="205" t="s">
        <v>187</v>
      </c>
      <c r="H42" s="211">
        <v>100</v>
      </c>
      <c r="I42" s="234">
        <v>20</v>
      </c>
      <c r="J42" s="205" t="s">
        <v>179</v>
      </c>
      <c r="K42" s="205" t="s">
        <v>43</v>
      </c>
      <c r="M42">
        <f t="shared" si="0"/>
        <v>20</v>
      </c>
    </row>
    <row r="43" spans="1:13" x14ac:dyDescent="0.25">
      <c r="A43" s="203">
        <v>11</v>
      </c>
      <c r="B43" s="205" t="s">
        <v>464</v>
      </c>
      <c r="C43" s="205" t="s">
        <v>40</v>
      </c>
      <c r="D43" s="205" t="s">
        <v>465</v>
      </c>
      <c r="E43" s="205" t="s">
        <v>45</v>
      </c>
      <c r="F43" s="206"/>
      <c r="G43" s="205" t="s">
        <v>163</v>
      </c>
      <c r="H43" s="211">
        <v>200</v>
      </c>
      <c r="I43" s="234">
        <v>200</v>
      </c>
      <c r="J43" s="205" t="s">
        <v>179</v>
      </c>
      <c r="K43" s="205" t="s">
        <v>43</v>
      </c>
      <c r="M43">
        <f t="shared" si="0"/>
        <v>40</v>
      </c>
    </row>
    <row r="44" spans="1:13" x14ac:dyDescent="0.25">
      <c r="A44" s="203">
        <v>11</v>
      </c>
      <c r="B44" s="205" t="s">
        <v>464</v>
      </c>
      <c r="C44" s="205" t="s">
        <v>40</v>
      </c>
      <c r="D44" s="205" t="s">
        <v>465</v>
      </c>
      <c r="E44" s="205" t="s">
        <v>45</v>
      </c>
      <c r="F44" s="206"/>
      <c r="G44" s="205" t="s">
        <v>162</v>
      </c>
      <c r="H44" s="211">
        <v>25</v>
      </c>
      <c r="I44" s="234">
        <v>125</v>
      </c>
      <c r="J44" s="205" t="s">
        <v>179</v>
      </c>
      <c r="K44" s="205" t="s">
        <v>43</v>
      </c>
      <c r="M44">
        <f t="shared" si="0"/>
        <v>5</v>
      </c>
    </row>
    <row r="45" spans="1:13" x14ac:dyDescent="0.25">
      <c r="A45" s="203">
        <v>11</v>
      </c>
      <c r="B45" s="205" t="s">
        <v>984</v>
      </c>
      <c r="C45" s="205" t="s">
        <v>40</v>
      </c>
      <c r="D45" s="205" t="s">
        <v>985</v>
      </c>
      <c r="E45" s="205" t="s">
        <v>59</v>
      </c>
      <c r="F45" s="206" t="s">
        <v>986</v>
      </c>
      <c r="G45" s="205" t="s">
        <v>187</v>
      </c>
      <c r="H45" s="211">
        <v>1000</v>
      </c>
      <c r="I45" s="234">
        <v>200</v>
      </c>
      <c r="J45" s="205" t="s">
        <v>179</v>
      </c>
      <c r="K45" s="205" t="s">
        <v>43</v>
      </c>
      <c r="M45">
        <f t="shared" si="0"/>
        <v>200</v>
      </c>
    </row>
    <row r="46" spans="1:13" x14ac:dyDescent="0.25">
      <c r="A46" s="203">
        <v>11</v>
      </c>
      <c r="B46" s="205" t="s">
        <v>987</v>
      </c>
      <c r="C46" s="205" t="s">
        <v>48</v>
      </c>
      <c r="D46" s="205" t="s">
        <v>699</v>
      </c>
      <c r="E46" s="205" t="s">
        <v>57</v>
      </c>
      <c r="F46" s="206"/>
      <c r="G46" s="205" t="s">
        <v>187</v>
      </c>
      <c r="H46" s="211">
        <v>1000</v>
      </c>
      <c r="I46" s="234">
        <v>200</v>
      </c>
      <c r="J46" s="205" t="s">
        <v>179</v>
      </c>
      <c r="K46" s="205" t="s">
        <v>43</v>
      </c>
      <c r="M46">
        <f t="shared" si="0"/>
        <v>200</v>
      </c>
    </row>
    <row r="47" spans="1:13" x14ac:dyDescent="0.25">
      <c r="A47" s="203">
        <v>11</v>
      </c>
      <c r="B47" s="205" t="s">
        <v>987</v>
      </c>
      <c r="C47" s="205" t="s">
        <v>48</v>
      </c>
      <c r="D47" s="205" t="s">
        <v>699</v>
      </c>
      <c r="E47" s="205" t="s">
        <v>57</v>
      </c>
      <c r="F47" s="206"/>
      <c r="G47" s="205" t="s">
        <v>163</v>
      </c>
      <c r="H47" s="211">
        <v>1500</v>
      </c>
      <c r="I47" s="234">
        <v>1500</v>
      </c>
      <c r="J47" s="205" t="s">
        <v>179</v>
      </c>
      <c r="K47" s="205" t="s">
        <v>43</v>
      </c>
      <c r="M47">
        <f t="shared" si="0"/>
        <v>300</v>
      </c>
    </row>
    <row r="48" spans="1:13" x14ac:dyDescent="0.25">
      <c r="A48" s="203">
        <v>11</v>
      </c>
      <c r="B48" s="205" t="s">
        <v>987</v>
      </c>
      <c r="C48" s="205" t="s">
        <v>48</v>
      </c>
      <c r="D48" s="205" t="s">
        <v>699</v>
      </c>
      <c r="E48" s="205" t="s">
        <v>57</v>
      </c>
      <c r="F48" s="206"/>
      <c r="G48" s="205" t="s">
        <v>162</v>
      </c>
      <c r="H48" s="211">
        <v>100</v>
      </c>
      <c r="I48" s="234">
        <v>500</v>
      </c>
      <c r="J48" s="205" t="s">
        <v>179</v>
      </c>
      <c r="K48" s="205" t="s">
        <v>43</v>
      </c>
      <c r="M48">
        <f t="shared" si="0"/>
        <v>20</v>
      </c>
    </row>
    <row r="49" spans="1:17" x14ac:dyDescent="0.25">
      <c r="A49" s="203">
        <v>11</v>
      </c>
      <c r="B49" s="205" t="s">
        <v>988</v>
      </c>
      <c r="C49" s="205" t="s">
        <v>40</v>
      </c>
      <c r="D49" s="205"/>
      <c r="E49" s="205" t="s">
        <v>86</v>
      </c>
      <c r="F49" s="206"/>
      <c r="G49" s="205" t="s">
        <v>42</v>
      </c>
      <c r="H49" s="211">
        <v>100</v>
      </c>
      <c r="I49" s="234">
        <v>20</v>
      </c>
      <c r="J49" s="205" t="s">
        <v>179</v>
      </c>
      <c r="K49" s="205" t="s">
        <v>43</v>
      </c>
      <c r="M49">
        <f t="shared" si="0"/>
        <v>20</v>
      </c>
    </row>
    <row r="50" spans="1:17" x14ac:dyDescent="0.25">
      <c r="A50" s="203">
        <v>11</v>
      </c>
      <c r="B50" s="205" t="s">
        <v>988</v>
      </c>
      <c r="C50" s="205" t="s">
        <v>40</v>
      </c>
      <c r="D50" s="205"/>
      <c r="E50" s="205" t="s">
        <v>86</v>
      </c>
      <c r="F50" s="206"/>
      <c r="G50" s="205" t="s">
        <v>162</v>
      </c>
      <c r="H50" s="211">
        <v>15</v>
      </c>
      <c r="I50" s="234">
        <v>75</v>
      </c>
      <c r="J50" s="205" t="s">
        <v>179</v>
      </c>
      <c r="K50" s="205" t="s">
        <v>43</v>
      </c>
      <c r="M50">
        <f t="shared" si="0"/>
        <v>3</v>
      </c>
    </row>
    <row r="51" spans="1:17" x14ac:dyDescent="0.25">
      <c r="A51" s="203">
        <v>11</v>
      </c>
      <c r="B51" s="205" t="s">
        <v>989</v>
      </c>
      <c r="C51" s="205" t="s">
        <v>40</v>
      </c>
      <c r="D51" s="205" t="s">
        <v>758</v>
      </c>
      <c r="E51" s="205" t="s">
        <v>44</v>
      </c>
      <c r="F51" s="206"/>
      <c r="G51" s="205" t="s">
        <v>187</v>
      </c>
      <c r="H51" s="211">
        <v>500</v>
      </c>
      <c r="I51" s="234">
        <v>100</v>
      </c>
      <c r="J51" s="205" t="s">
        <v>179</v>
      </c>
      <c r="K51" s="205" t="s">
        <v>43</v>
      </c>
      <c r="M51">
        <f t="shared" si="0"/>
        <v>100</v>
      </c>
    </row>
    <row r="52" spans="1:17" x14ac:dyDescent="0.25">
      <c r="A52" s="203">
        <v>11</v>
      </c>
      <c r="B52" s="205" t="s">
        <v>990</v>
      </c>
      <c r="C52" s="205" t="s">
        <v>40</v>
      </c>
      <c r="D52" s="205" t="s">
        <v>886</v>
      </c>
      <c r="E52" s="205" t="s">
        <v>68</v>
      </c>
      <c r="F52" s="206"/>
      <c r="G52" s="205" t="s">
        <v>42</v>
      </c>
      <c r="H52" s="211">
        <v>300</v>
      </c>
      <c r="I52" s="234">
        <v>60</v>
      </c>
      <c r="J52" s="205" t="s">
        <v>179</v>
      </c>
      <c r="K52" s="205" t="s">
        <v>43</v>
      </c>
      <c r="M52">
        <f t="shared" si="0"/>
        <v>60</v>
      </c>
    </row>
    <row r="53" spans="1:17" x14ac:dyDescent="0.25">
      <c r="A53" s="203">
        <v>11</v>
      </c>
      <c r="B53" s="205" t="s">
        <v>991</v>
      </c>
      <c r="C53" s="205" t="s">
        <v>48</v>
      </c>
      <c r="D53" s="205" t="s">
        <v>815</v>
      </c>
      <c r="E53" s="205" t="s">
        <v>45</v>
      </c>
      <c r="F53" s="206"/>
      <c r="G53" s="205" t="s">
        <v>42</v>
      </c>
      <c r="H53" s="211">
        <v>1500</v>
      </c>
      <c r="I53" s="234">
        <v>300</v>
      </c>
      <c r="J53" s="205" t="s">
        <v>179</v>
      </c>
      <c r="K53" s="205" t="s">
        <v>43</v>
      </c>
      <c r="M53">
        <f t="shared" si="0"/>
        <v>300</v>
      </c>
    </row>
    <row r="54" spans="1:17" x14ac:dyDescent="0.25">
      <c r="A54" s="203">
        <v>11</v>
      </c>
      <c r="B54" s="205" t="s">
        <v>992</v>
      </c>
      <c r="C54" s="205" t="s">
        <v>40</v>
      </c>
      <c r="D54" s="205" t="s">
        <v>993</v>
      </c>
      <c r="E54" s="205" t="s">
        <v>61</v>
      </c>
      <c r="F54" s="206"/>
      <c r="G54" s="205" t="s">
        <v>42</v>
      </c>
      <c r="H54" s="211">
        <v>500</v>
      </c>
      <c r="I54" s="234">
        <v>100</v>
      </c>
      <c r="J54" s="205" t="s">
        <v>179</v>
      </c>
      <c r="K54" s="205" t="s">
        <v>43</v>
      </c>
      <c r="M54">
        <f t="shared" si="0"/>
        <v>100</v>
      </c>
    </row>
    <row r="55" spans="1:17" x14ac:dyDescent="0.25">
      <c r="A55" s="203">
        <v>11</v>
      </c>
      <c r="B55" s="205" t="s">
        <v>994</v>
      </c>
      <c r="C55" s="205" t="s">
        <v>40</v>
      </c>
      <c r="D55" s="205"/>
      <c r="E55" s="205" t="s">
        <v>59</v>
      </c>
      <c r="F55" s="206"/>
      <c r="G55" s="205" t="s">
        <v>42</v>
      </c>
      <c r="H55" s="211">
        <v>1600</v>
      </c>
      <c r="I55" s="234">
        <v>320</v>
      </c>
      <c r="J55" s="205" t="s">
        <v>179</v>
      </c>
      <c r="K55" s="205" t="s">
        <v>43</v>
      </c>
      <c r="M55">
        <f t="shared" si="0"/>
        <v>320</v>
      </c>
    </row>
    <row r="56" spans="1:17" x14ac:dyDescent="0.25">
      <c r="A56" s="203">
        <v>11</v>
      </c>
      <c r="B56" s="205" t="s">
        <v>995</v>
      </c>
      <c r="C56" s="205" t="s">
        <v>40</v>
      </c>
      <c r="D56" s="205" t="s">
        <v>158</v>
      </c>
      <c r="E56" s="205" t="s">
        <v>57</v>
      </c>
      <c r="F56" s="206"/>
      <c r="G56" s="205" t="s">
        <v>162</v>
      </c>
      <c r="H56" s="211">
        <v>40</v>
      </c>
      <c r="I56" s="234">
        <v>200</v>
      </c>
      <c r="J56" s="205" t="s">
        <v>179</v>
      </c>
      <c r="K56" s="205" t="s">
        <v>43</v>
      </c>
      <c r="M56">
        <f t="shared" si="0"/>
        <v>8</v>
      </c>
    </row>
    <row r="57" spans="1:17" x14ac:dyDescent="0.25">
      <c r="A57" s="203">
        <v>11</v>
      </c>
      <c r="B57" s="205" t="s">
        <v>996</v>
      </c>
      <c r="C57" s="205" t="s">
        <v>40</v>
      </c>
      <c r="D57" s="205" t="s">
        <v>478</v>
      </c>
      <c r="E57" s="205" t="s">
        <v>57</v>
      </c>
      <c r="F57" s="206"/>
      <c r="G57" s="205" t="s">
        <v>187</v>
      </c>
      <c r="H57" s="211">
        <v>250</v>
      </c>
      <c r="I57" s="234">
        <v>50</v>
      </c>
      <c r="J57" s="205" t="s">
        <v>179</v>
      </c>
      <c r="K57" s="205" t="s">
        <v>43</v>
      </c>
      <c r="M57">
        <f t="shared" si="0"/>
        <v>50</v>
      </c>
    </row>
    <row r="58" spans="1:17" x14ac:dyDescent="0.25">
      <c r="A58" s="203">
        <v>11</v>
      </c>
      <c r="B58" s="205" t="s">
        <v>997</v>
      </c>
      <c r="C58" s="205" t="s">
        <v>40</v>
      </c>
      <c r="D58" s="205" t="s">
        <v>998</v>
      </c>
      <c r="E58" s="205" t="s">
        <v>45</v>
      </c>
      <c r="F58" s="206" t="s">
        <v>999</v>
      </c>
      <c r="G58" s="205" t="s">
        <v>42</v>
      </c>
      <c r="H58" s="211">
        <v>1000</v>
      </c>
      <c r="I58" s="234">
        <v>200</v>
      </c>
      <c r="J58" s="205" t="s">
        <v>179</v>
      </c>
      <c r="K58" s="205" t="s">
        <v>43</v>
      </c>
      <c r="M58">
        <f t="shared" si="0"/>
        <v>200</v>
      </c>
    </row>
    <row r="59" spans="1:17" x14ac:dyDescent="0.25">
      <c r="A59" s="203">
        <v>11</v>
      </c>
      <c r="B59" s="205" t="s">
        <v>1000</v>
      </c>
      <c r="C59" s="205" t="s">
        <v>40</v>
      </c>
      <c r="D59" s="205" t="s">
        <v>144</v>
      </c>
      <c r="E59" s="205" t="s">
        <v>57</v>
      </c>
      <c r="F59" s="206" t="s">
        <v>1001</v>
      </c>
      <c r="G59" s="205" t="s">
        <v>42</v>
      </c>
      <c r="H59" s="211">
        <v>1500</v>
      </c>
      <c r="I59" s="234">
        <v>300</v>
      </c>
      <c r="J59" s="205" t="s">
        <v>179</v>
      </c>
      <c r="K59" s="205" t="s">
        <v>43</v>
      </c>
      <c r="M59">
        <f t="shared" si="0"/>
        <v>300</v>
      </c>
    </row>
    <row r="60" spans="1:17" x14ac:dyDescent="0.25">
      <c r="A60" s="203">
        <v>11</v>
      </c>
      <c r="B60" s="205" t="s">
        <v>1002</v>
      </c>
      <c r="C60" s="205" t="s">
        <v>48</v>
      </c>
      <c r="D60" s="205" t="s">
        <v>1003</v>
      </c>
      <c r="E60" s="205" t="s">
        <v>47</v>
      </c>
      <c r="F60" s="206" t="s">
        <v>1004</v>
      </c>
      <c r="G60" s="205" t="s">
        <v>42</v>
      </c>
      <c r="H60" s="211">
        <v>2400</v>
      </c>
      <c r="I60" s="234" t="s">
        <v>255</v>
      </c>
      <c r="J60" s="205" t="s">
        <v>179</v>
      </c>
      <c r="K60" s="205" t="s">
        <v>43</v>
      </c>
      <c r="M60">
        <f t="shared" si="0"/>
        <v>480</v>
      </c>
    </row>
    <row r="61" spans="1:17" x14ac:dyDescent="0.25">
      <c r="A61" s="203">
        <v>11</v>
      </c>
      <c r="B61" s="205" t="s">
        <v>724</v>
      </c>
      <c r="C61" s="205" t="s">
        <v>40</v>
      </c>
      <c r="D61" s="205" t="s">
        <v>725</v>
      </c>
      <c r="E61" s="205" t="s">
        <v>45</v>
      </c>
      <c r="F61" s="206"/>
      <c r="G61" s="205" t="s">
        <v>42</v>
      </c>
      <c r="H61" s="211">
        <v>1000</v>
      </c>
      <c r="I61" s="234">
        <v>200</v>
      </c>
      <c r="J61" s="205" t="s">
        <v>179</v>
      </c>
      <c r="K61" s="205" t="s">
        <v>43</v>
      </c>
      <c r="M61">
        <f t="shared" si="0"/>
        <v>200</v>
      </c>
    </row>
    <row r="62" spans="1:17" x14ac:dyDescent="0.25">
      <c r="A62" s="203">
        <v>11</v>
      </c>
      <c r="B62" s="205" t="s">
        <v>1005</v>
      </c>
      <c r="C62" s="205" t="s">
        <v>48</v>
      </c>
      <c r="D62" s="205" t="s">
        <v>1006</v>
      </c>
      <c r="E62" s="205" t="s">
        <v>56</v>
      </c>
      <c r="F62" s="206" t="s">
        <v>1007</v>
      </c>
      <c r="G62" s="205" t="s">
        <v>42</v>
      </c>
      <c r="H62" s="211">
        <v>7000</v>
      </c>
      <c r="I62" s="234">
        <v>1400</v>
      </c>
      <c r="J62" s="205" t="s">
        <v>179</v>
      </c>
      <c r="K62" s="205" t="s">
        <v>43</v>
      </c>
      <c r="M62">
        <f t="shared" si="0"/>
        <v>1400</v>
      </c>
      <c r="Q62">
        <v>100</v>
      </c>
    </row>
    <row r="63" spans="1:17" x14ac:dyDescent="0.25">
      <c r="A63" s="203">
        <v>11</v>
      </c>
      <c r="B63" s="205" t="s">
        <v>1005</v>
      </c>
      <c r="C63" s="205" t="s">
        <v>48</v>
      </c>
      <c r="D63" s="205" t="s">
        <v>1006</v>
      </c>
      <c r="E63" s="205" t="s">
        <v>56</v>
      </c>
      <c r="F63" s="206" t="s">
        <v>1007</v>
      </c>
      <c r="G63" s="205" t="s">
        <v>162</v>
      </c>
      <c r="H63" s="211">
        <v>4</v>
      </c>
      <c r="I63" s="234">
        <v>20</v>
      </c>
      <c r="J63" s="205" t="s">
        <v>179</v>
      </c>
      <c r="K63" s="205" t="s">
        <v>43</v>
      </c>
      <c r="M63">
        <f t="shared" si="0"/>
        <v>0.8</v>
      </c>
    </row>
    <row r="64" spans="1:17" x14ac:dyDescent="0.25">
      <c r="A64" s="203">
        <v>11</v>
      </c>
      <c r="B64" s="208" t="s">
        <v>1008</v>
      </c>
      <c r="C64" s="205" t="s">
        <v>48</v>
      </c>
      <c r="D64" s="205" t="s">
        <v>144</v>
      </c>
      <c r="E64" s="205" t="s">
        <v>44</v>
      </c>
      <c r="F64" s="206" t="s">
        <v>1009</v>
      </c>
      <c r="G64" s="205" t="s">
        <v>42</v>
      </c>
      <c r="H64" s="211">
        <v>1000</v>
      </c>
      <c r="I64" s="234">
        <v>200</v>
      </c>
      <c r="J64" s="205" t="s">
        <v>179</v>
      </c>
      <c r="K64" s="205" t="s">
        <v>43</v>
      </c>
      <c r="M64">
        <f t="shared" si="0"/>
        <v>200</v>
      </c>
    </row>
    <row r="65" spans="1:13" x14ac:dyDescent="0.25">
      <c r="A65" s="203">
        <v>11</v>
      </c>
      <c r="B65" s="208" t="s">
        <v>1010</v>
      </c>
      <c r="C65" s="205" t="s">
        <v>40</v>
      </c>
      <c r="D65" s="205" t="s">
        <v>144</v>
      </c>
      <c r="E65" s="205" t="s">
        <v>44</v>
      </c>
      <c r="F65" s="206" t="s">
        <v>1011</v>
      </c>
      <c r="G65" s="205" t="s">
        <v>42</v>
      </c>
      <c r="H65" s="211">
        <v>2000</v>
      </c>
      <c r="I65" s="234">
        <v>400</v>
      </c>
      <c r="J65" s="205" t="s">
        <v>179</v>
      </c>
      <c r="K65" s="205" t="s">
        <v>43</v>
      </c>
      <c r="M65">
        <f t="shared" si="0"/>
        <v>400</v>
      </c>
    </row>
    <row r="66" spans="1:13" x14ac:dyDescent="0.25">
      <c r="A66" s="203">
        <v>11</v>
      </c>
      <c r="B66" s="208" t="s">
        <v>1012</v>
      </c>
      <c r="C66" s="205" t="s">
        <v>40</v>
      </c>
      <c r="D66" s="205" t="s">
        <v>1013</v>
      </c>
      <c r="E66" s="205" t="s">
        <v>52</v>
      </c>
      <c r="F66" s="206" t="s">
        <v>1014</v>
      </c>
      <c r="G66" s="205" t="s">
        <v>42</v>
      </c>
      <c r="H66" s="211">
        <v>1700</v>
      </c>
      <c r="I66" s="234">
        <v>340</v>
      </c>
      <c r="J66" s="205" t="s">
        <v>179</v>
      </c>
      <c r="K66" s="205" t="s">
        <v>43</v>
      </c>
      <c r="M66">
        <f t="shared" si="0"/>
        <v>340</v>
      </c>
    </row>
    <row r="67" spans="1:13" x14ac:dyDescent="0.25">
      <c r="A67" s="230">
        <v>12</v>
      </c>
      <c r="B67" s="208" t="s">
        <v>1016</v>
      </c>
      <c r="C67" s="205" t="s">
        <v>40</v>
      </c>
      <c r="D67" s="205" t="s">
        <v>141</v>
      </c>
      <c r="E67" s="205" t="s">
        <v>45</v>
      </c>
      <c r="F67" s="206"/>
      <c r="G67" s="205" t="s">
        <v>42</v>
      </c>
      <c r="H67" s="211">
        <v>5000</v>
      </c>
      <c r="I67" s="234">
        <v>1000</v>
      </c>
      <c r="J67" s="205" t="s">
        <v>179</v>
      </c>
      <c r="K67" s="205" t="s">
        <v>43</v>
      </c>
      <c r="M67">
        <f t="shared" si="0"/>
        <v>1000</v>
      </c>
    </row>
    <row r="68" spans="1:13" x14ac:dyDescent="0.25">
      <c r="A68" s="230">
        <v>12</v>
      </c>
      <c r="B68" s="208" t="s">
        <v>838</v>
      </c>
      <c r="C68" s="205" t="s">
        <v>48</v>
      </c>
      <c r="D68" s="205" t="s">
        <v>141</v>
      </c>
      <c r="E68" s="205" t="s">
        <v>45</v>
      </c>
      <c r="F68" s="206"/>
      <c r="G68" s="205" t="s">
        <v>42</v>
      </c>
      <c r="H68" s="211">
        <v>1000</v>
      </c>
      <c r="I68" s="234">
        <v>200</v>
      </c>
      <c r="J68" s="205" t="s">
        <v>179</v>
      </c>
      <c r="K68" s="205" t="s">
        <v>43</v>
      </c>
      <c r="M68">
        <f t="shared" si="0"/>
        <v>200</v>
      </c>
    </row>
    <row r="69" spans="1:13" x14ac:dyDescent="0.25">
      <c r="A69" s="230">
        <v>12</v>
      </c>
      <c r="B69" s="208" t="s">
        <v>244</v>
      </c>
      <c r="C69" s="205" t="s">
        <v>48</v>
      </c>
      <c r="D69" s="205" t="s">
        <v>141</v>
      </c>
      <c r="E69" s="205" t="s">
        <v>45</v>
      </c>
      <c r="F69" s="206"/>
      <c r="G69" s="205" t="s">
        <v>42</v>
      </c>
      <c r="H69" s="211">
        <v>2000</v>
      </c>
      <c r="I69" s="234">
        <v>400</v>
      </c>
      <c r="J69" s="205" t="s">
        <v>179</v>
      </c>
      <c r="K69" s="205" t="s">
        <v>43</v>
      </c>
      <c r="M69">
        <f t="shared" si="0"/>
        <v>400</v>
      </c>
    </row>
    <row r="70" spans="1:13" x14ac:dyDescent="0.25">
      <c r="A70" s="230">
        <v>12</v>
      </c>
      <c r="B70" s="208" t="s">
        <v>1017</v>
      </c>
      <c r="C70" s="205" t="s">
        <v>40</v>
      </c>
      <c r="D70" s="205" t="s">
        <v>144</v>
      </c>
      <c r="E70" s="205" t="s">
        <v>44</v>
      </c>
      <c r="F70" s="206" t="s">
        <v>1018</v>
      </c>
      <c r="G70" s="205" t="s">
        <v>163</v>
      </c>
      <c r="H70" s="211">
        <v>100</v>
      </c>
      <c r="I70" s="234">
        <v>100</v>
      </c>
      <c r="J70" s="205" t="s">
        <v>179</v>
      </c>
      <c r="K70" s="205" t="s">
        <v>43</v>
      </c>
      <c r="M70">
        <f t="shared" si="0"/>
        <v>20</v>
      </c>
    </row>
    <row r="71" spans="1:13" x14ac:dyDescent="0.25">
      <c r="A71" s="230">
        <v>12</v>
      </c>
      <c r="B71" s="208" t="s">
        <v>1019</v>
      </c>
      <c r="C71" s="205" t="s">
        <v>40</v>
      </c>
      <c r="D71" s="205" t="s">
        <v>144</v>
      </c>
      <c r="E71" s="205" t="s">
        <v>64</v>
      </c>
      <c r="F71" s="206"/>
      <c r="G71" s="205" t="s">
        <v>42</v>
      </c>
      <c r="H71" s="211">
        <v>1500</v>
      </c>
      <c r="I71" s="234">
        <v>300</v>
      </c>
      <c r="J71" s="205" t="s">
        <v>179</v>
      </c>
      <c r="K71" s="205" t="s">
        <v>43</v>
      </c>
      <c r="M71">
        <f t="shared" si="0"/>
        <v>300</v>
      </c>
    </row>
    <row r="72" spans="1:13" x14ac:dyDescent="0.25">
      <c r="A72" s="293">
        <v>12</v>
      </c>
      <c r="B72" s="294" t="s">
        <v>1020</v>
      </c>
      <c r="C72" s="295" t="s">
        <v>40</v>
      </c>
      <c r="D72" s="295" t="s">
        <v>1021</v>
      </c>
      <c r="E72" s="295" t="s">
        <v>58</v>
      </c>
      <c r="F72" s="296" t="s">
        <v>1022</v>
      </c>
      <c r="G72" s="295" t="s">
        <v>42</v>
      </c>
      <c r="H72" s="297">
        <v>500</v>
      </c>
      <c r="I72" s="298">
        <v>100</v>
      </c>
      <c r="J72" s="205" t="s">
        <v>179</v>
      </c>
      <c r="K72" s="205" t="s">
        <v>43</v>
      </c>
      <c r="M72">
        <f t="shared" si="0"/>
        <v>100</v>
      </c>
    </row>
    <row r="73" spans="1:13" x14ac:dyDescent="0.25">
      <c r="A73" s="230">
        <v>13</v>
      </c>
      <c r="B73" s="208" t="s">
        <v>1023</v>
      </c>
      <c r="C73" s="205" t="s">
        <v>40</v>
      </c>
      <c r="D73" s="205" t="s">
        <v>725</v>
      </c>
      <c r="E73" s="205" t="s">
        <v>45</v>
      </c>
      <c r="F73" s="206" t="s">
        <v>1025</v>
      </c>
      <c r="G73" s="205" t="s">
        <v>42</v>
      </c>
      <c r="H73" s="211">
        <v>1600</v>
      </c>
      <c r="I73" s="234">
        <v>320</v>
      </c>
      <c r="J73" s="205" t="s">
        <v>179</v>
      </c>
      <c r="K73" s="205" t="s">
        <v>43</v>
      </c>
      <c r="M73">
        <f t="shared" si="0"/>
        <v>320</v>
      </c>
    </row>
    <row r="74" spans="1:13" x14ac:dyDescent="0.25">
      <c r="A74" s="230">
        <v>17</v>
      </c>
      <c r="B74" s="208" t="s">
        <v>1026</v>
      </c>
      <c r="C74" s="205" t="s">
        <v>48</v>
      </c>
      <c r="D74" s="205" t="s">
        <v>143</v>
      </c>
      <c r="E74" s="205" t="s">
        <v>45</v>
      </c>
      <c r="F74" s="206"/>
      <c r="G74" s="205" t="s">
        <v>42</v>
      </c>
      <c r="H74" s="211">
        <v>5000</v>
      </c>
      <c r="I74" s="234">
        <v>1000</v>
      </c>
      <c r="J74" s="205" t="s">
        <v>179</v>
      </c>
      <c r="K74" s="205" t="s">
        <v>43</v>
      </c>
      <c r="M74">
        <f t="shared" si="0"/>
        <v>1000</v>
      </c>
    </row>
    <row r="75" spans="1:13" x14ac:dyDescent="0.25">
      <c r="A75" s="230">
        <v>17</v>
      </c>
      <c r="B75" s="208" t="s">
        <v>1027</v>
      </c>
      <c r="C75" s="205" t="s">
        <v>40</v>
      </c>
      <c r="D75" s="205" t="s">
        <v>595</v>
      </c>
      <c r="E75" s="205" t="s">
        <v>47</v>
      </c>
      <c r="F75" s="206"/>
      <c r="G75" s="205" t="s">
        <v>42</v>
      </c>
      <c r="H75" s="211">
        <v>200</v>
      </c>
      <c r="I75" s="234">
        <v>40</v>
      </c>
      <c r="J75" s="205" t="s">
        <v>179</v>
      </c>
      <c r="K75" s="205" t="s">
        <v>43</v>
      </c>
      <c r="M75">
        <f t="shared" si="0"/>
        <v>40</v>
      </c>
    </row>
    <row r="76" spans="1:13" x14ac:dyDescent="0.25">
      <c r="A76" s="230">
        <v>17</v>
      </c>
      <c r="B76" s="208" t="s">
        <v>1028</v>
      </c>
      <c r="C76" s="205" t="s">
        <v>48</v>
      </c>
      <c r="D76" s="205" t="s">
        <v>815</v>
      </c>
      <c r="E76" s="205" t="s">
        <v>45</v>
      </c>
      <c r="F76" s="206" t="s">
        <v>1029</v>
      </c>
      <c r="G76" s="205" t="s">
        <v>187</v>
      </c>
      <c r="H76" s="211">
        <v>200</v>
      </c>
      <c r="I76" s="234">
        <v>40</v>
      </c>
      <c r="J76" s="205" t="s">
        <v>179</v>
      </c>
      <c r="K76" s="205" t="s">
        <v>43</v>
      </c>
      <c r="M76">
        <f t="shared" si="0"/>
        <v>40</v>
      </c>
    </row>
    <row r="77" spans="1:13" x14ac:dyDescent="0.25">
      <c r="A77" s="230">
        <v>17</v>
      </c>
      <c r="B77" s="208" t="s">
        <v>1028</v>
      </c>
      <c r="C77" s="205" t="s">
        <v>48</v>
      </c>
      <c r="D77" s="205" t="s">
        <v>815</v>
      </c>
      <c r="E77" s="205" t="s">
        <v>45</v>
      </c>
      <c r="F77" s="206" t="s">
        <v>1029</v>
      </c>
      <c r="G77" s="205" t="s">
        <v>162</v>
      </c>
      <c r="H77" s="211">
        <v>9</v>
      </c>
      <c r="I77" s="234">
        <v>45</v>
      </c>
      <c r="J77" s="205" t="s">
        <v>179</v>
      </c>
      <c r="K77" s="205" t="s">
        <v>43</v>
      </c>
      <c r="M77">
        <f t="shared" si="0"/>
        <v>1.8</v>
      </c>
    </row>
    <row r="78" spans="1:13" x14ac:dyDescent="0.25">
      <c r="A78" s="230">
        <v>17</v>
      </c>
      <c r="B78" s="208" t="s">
        <v>1030</v>
      </c>
      <c r="C78" s="205" t="s">
        <v>40</v>
      </c>
      <c r="D78" s="205" t="s">
        <v>372</v>
      </c>
      <c r="E78" s="205" t="s">
        <v>44</v>
      </c>
      <c r="F78" s="206"/>
      <c r="G78" s="205" t="s">
        <v>187</v>
      </c>
      <c r="H78" s="211">
        <v>2000</v>
      </c>
      <c r="I78" s="234">
        <v>400</v>
      </c>
      <c r="J78" s="205" t="s">
        <v>179</v>
      </c>
      <c r="K78" s="205" t="s">
        <v>43</v>
      </c>
      <c r="M78">
        <f t="shared" si="0"/>
        <v>400</v>
      </c>
    </row>
    <row r="79" spans="1:13" x14ac:dyDescent="0.25">
      <c r="A79" s="230">
        <v>17</v>
      </c>
      <c r="B79" s="208" t="s">
        <v>1031</v>
      </c>
      <c r="C79" s="205" t="s">
        <v>40</v>
      </c>
      <c r="D79" s="205" t="s">
        <v>852</v>
      </c>
      <c r="E79" s="205" t="s">
        <v>45</v>
      </c>
      <c r="F79" s="206"/>
      <c r="G79" s="205" t="s">
        <v>42</v>
      </c>
      <c r="H79" s="211">
        <v>500</v>
      </c>
      <c r="I79" s="234">
        <v>100</v>
      </c>
      <c r="J79" s="205" t="s">
        <v>179</v>
      </c>
      <c r="K79" s="205" t="s">
        <v>43</v>
      </c>
      <c r="M79">
        <f t="shared" si="0"/>
        <v>100</v>
      </c>
    </row>
    <row r="80" spans="1:13" x14ac:dyDescent="0.25">
      <c r="A80" s="230">
        <v>17</v>
      </c>
      <c r="B80" s="208" t="s">
        <v>1032</v>
      </c>
      <c r="C80" s="205" t="s">
        <v>40</v>
      </c>
      <c r="D80" s="205" t="s">
        <v>658</v>
      </c>
      <c r="E80" s="205" t="s">
        <v>50</v>
      </c>
      <c r="F80" s="206" t="s">
        <v>1033</v>
      </c>
      <c r="G80" s="205" t="s">
        <v>42</v>
      </c>
      <c r="H80" s="211">
        <v>2000</v>
      </c>
      <c r="I80" s="234">
        <v>400</v>
      </c>
      <c r="J80" s="205" t="s">
        <v>179</v>
      </c>
      <c r="K80" s="205" t="s">
        <v>43</v>
      </c>
      <c r="M80">
        <f t="shared" si="0"/>
        <v>400</v>
      </c>
    </row>
    <row r="81" spans="1:13" x14ac:dyDescent="0.25">
      <c r="A81" s="230">
        <v>17</v>
      </c>
      <c r="B81" s="208" t="s">
        <v>1034</v>
      </c>
      <c r="C81" s="205" t="s">
        <v>48</v>
      </c>
      <c r="D81" s="205" t="s">
        <v>380</v>
      </c>
      <c r="E81" s="205" t="s">
        <v>45</v>
      </c>
      <c r="F81" s="206"/>
      <c r="G81" s="205" t="s">
        <v>42</v>
      </c>
      <c r="H81" s="211">
        <v>10000</v>
      </c>
      <c r="I81" s="234">
        <v>2000</v>
      </c>
      <c r="J81" s="205" t="s">
        <v>179</v>
      </c>
      <c r="K81" s="205" t="s">
        <v>43</v>
      </c>
      <c r="M81">
        <f t="shared" si="0"/>
        <v>2000</v>
      </c>
    </row>
    <row r="82" spans="1:13" x14ac:dyDescent="0.25">
      <c r="A82" s="230">
        <v>24</v>
      </c>
      <c r="B82" s="208" t="s">
        <v>1035</v>
      </c>
      <c r="C82" s="205" t="s">
        <v>40</v>
      </c>
      <c r="D82" s="205" t="s">
        <v>1036</v>
      </c>
      <c r="E82" s="205" t="s">
        <v>60</v>
      </c>
      <c r="F82" s="206" t="s">
        <v>1037</v>
      </c>
      <c r="G82" s="205" t="s">
        <v>42</v>
      </c>
      <c r="H82" s="211">
        <v>550</v>
      </c>
      <c r="I82" s="234">
        <v>165</v>
      </c>
      <c r="J82" s="205" t="s">
        <v>179</v>
      </c>
      <c r="K82" s="205" t="s">
        <v>43</v>
      </c>
      <c r="M82">
        <f t="shared" si="0"/>
        <v>110</v>
      </c>
    </row>
    <row r="83" spans="1:13" x14ac:dyDescent="0.25">
      <c r="A83" s="230">
        <v>24</v>
      </c>
      <c r="B83" s="208" t="s">
        <v>1038</v>
      </c>
      <c r="C83" s="205" t="s">
        <v>40</v>
      </c>
      <c r="D83" s="205" t="s">
        <v>158</v>
      </c>
      <c r="E83" s="205" t="s">
        <v>57</v>
      </c>
      <c r="F83" s="206" t="s">
        <v>1039</v>
      </c>
      <c r="G83" s="205" t="s">
        <v>42</v>
      </c>
      <c r="H83" s="211">
        <v>900</v>
      </c>
      <c r="I83" s="234">
        <v>270</v>
      </c>
      <c r="J83" s="205" t="s">
        <v>179</v>
      </c>
      <c r="K83" s="205" t="s">
        <v>43</v>
      </c>
      <c r="M83">
        <f t="shared" si="0"/>
        <v>180</v>
      </c>
    </row>
    <row r="84" spans="1:13" x14ac:dyDescent="0.25">
      <c r="A84" s="230">
        <v>24</v>
      </c>
      <c r="B84" s="208" t="s">
        <v>511</v>
      </c>
      <c r="C84" s="205" t="s">
        <v>40</v>
      </c>
      <c r="D84" s="205" t="s">
        <v>512</v>
      </c>
      <c r="E84" s="205" t="s">
        <v>49</v>
      </c>
      <c r="F84" s="206" t="s">
        <v>513</v>
      </c>
      <c r="G84" s="205" t="s">
        <v>42</v>
      </c>
      <c r="H84" s="211">
        <v>1000</v>
      </c>
      <c r="I84" s="234">
        <v>200</v>
      </c>
      <c r="J84" s="205" t="s">
        <v>179</v>
      </c>
      <c r="K84" s="205" t="s">
        <v>43</v>
      </c>
      <c r="M84">
        <f t="shared" si="0"/>
        <v>200</v>
      </c>
    </row>
    <row r="85" spans="1:13" x14ac:dyDescent="0.25">
      <c r="A85" s="230">
        <v>24</v>
      </c>
      <c r="B85" s="208" t="s">
        <v>923</v>
      </c>
      <c r="C85" s="205" t="s">
        <v>40</v>
      </c>
      <c r="D85" s="205" t="s">
        <v>144</v>
      </c>
      <c r="E85" s="205" t="s">
        <v>47</v>
      </c>
      <c r="F85" s="206" t="s">
        <v>924</v>
      </c>
      <c r="G85" s="205" t="s">
        <v>42</v>
      </c>
      <c r="H85" s="211">
        <v>2000</v>
      </c>
      <c r="I85" s="234">
        <v>400</v>
      </c>
      <c r="J85" s="205" t="s">
        <v>179</v>
      </c>
      <c r="K85" s="205" t="s">
        <v>43</v>
      </c>
      <c r="M85">
        <f t="shared" si="0"/>
        <v>400</v>
      </c>
    </row>
    <row r="86" spans="1:13" x14ac:dyDescent="0.25">
      <c r="A86" s="230">
        <v>24</v>
      </c>
      <c r="B86" s="208" t="s">
        <v>1040</v>
      </c>
      <c r="C86" s="205" t="s">
        <v>40</v>
      </c>
      <c r="D86" s="205" t="s">
        <v>1041</v>
      </c>
      <c r="E86" s="205" t="s">
        <v>60</v>
      </c>
      <c r="F86" s="206" t="s">
        <v>1042</v>
      </c>
      <c r="G86" s="205" t="s">
        <v>42</v>
      </c>
      <c r="H86" s="211">
        <v>4000</v>
      </c>
      <c r="I86" s="234">
        <v>800</v>
      </c>
      <c r="J86" s="205" t="s">
        <v>179</v>
      </c>
      <c r="K86" s="205" t="s">
        <v>43</v>
      </c>
      <c r="M86">
        <f t="shared" si="0"/>
        <v>800</v>
      </c>
    </row>
    <row r="87" spans="1:13" x14ac:dyDescent="0.25">
      <c r="A87" s="230">
        <v>24</v>
      </c>
      <c r="B87" s="208" t="s">
        <v>1043</v>
      </c>
      <c r="C87" s="205" t="s">
        <v>40</v>
      </c>
      <c r="D87" s="205" t="s">
        <v>1044</v>
      </c>
      <c r="E87" s="205" t="s">
        <v>50</v>
      </c>
      <c r="F87" s="206" t="s">
        <v>1045</v>
      </c>
      <c r="G87" s="205" t="s">
        <v>162</v>
      </c>
      <c r="H87" s="211">
        <v>40</v>
      </c>
      <c r="I87" s="234">
        <v>200</v>
      </c>
      <c r="J87" s="205" t="s">
        <v>179</v>
      </c>
      <c r="K87" s="205" t="s">
        <v>43</v>
      </c>
      <c r="M87">
        <f t="shared" si="0"/>
        <v>8</v>
      </c>
    </row>
    <row r="88" spans="1:13" x14ac:dyDescent="0.25">
      <c r="A88" s="230">
        <v>24</v>
      </c>
      <c r="B88" s="208" t="s">
        <v>1046</v>
      </c>
      <c r="C88" s="205" t="s">
        <v>48</v>
      </c>
      <c r="D88" s="205" t="s">
        <v>372</v>
      </c>
      <c r="E88" s="205" t="s">
        <v>44</v>
      </c>
      <c r="F88" s="206" t="s">
        <v>1047</v>
      </c>
      <c r="G88" s="205" t="s">
        <v>187</v>
      </c>
      <c r="H88" s="211">
        <v>2000</v>
      </c>
      <c r="I88" s="234">
        <v>400</v>
      </c>
      <c r="J88" s="205" t="s">
        <v>179</v>
      </c>
      <c r="K88" s="205" t="s">
        <v>43</v>
      </c>
      <c r="M88">
        <f t="shared" si="0"/>
        <v>400</v>
      </c>
    </row>
    <row r="89" spans="1:13" x14ac:dyDescent="0.25">
      <c r="A89" s="230">
        <v>24</v>
      </c>
      <c r="B89" s="208" t="s">
        <v>1048</v>
      </c>
      <c r="C89" s="205" t="s">
        <v>48</v>
      </c>
      <c r="D89" s="205" t="s">
        <v>430</v>
      </c>
      <c r="E89" s="205" t="s">
        <v>45</v>
      </c>
      <c r="F89" s="206"/>
      <c r="G89" s="205" t="s">
        <v>162</v>
      </c>
      <c r="H89" s="211">
        <v>20</v>
      </c>
      <c r="I89" s="234">
        <v>100</v>
      </c>
      <c r="J89" s="205" t="s">
        <v>179</v>
      </c>
      <c r="K89" s="205" t="s">
        <v>43</v>
      </c>
      <c r="M89">
        <f t="shared" si="0"/>
        <v>4</v>
      </c>
    </row>
    <row r="90" spans="1:13" x14ac:dyDescent="0.25">
      <c r="A90" s="293">
        <v>24</v>
      </c>
      <c r="B90" s="208" t="s">
        <v>1049</v>
      </c>
      <c r="C90" s="205" t="s">
        <v>40</v>
      </c>
      <c r="D90" s="205" t="s">
        <v>63</v>
      </c>
      <c r="E90" s="205" t="s">
        <v>64</v>
      </c>
      <c r="F90" s="206"/>
      <c r="G90" s="205" t="s">
        <v>42</v>
      </c>
      <c r="H90" s="211">
        <v>2500</v>
      </c>
      <c r="I90" s="234" t="s">
        <v>255</v>
      </c>
      <c r="J90" s="205" t="s">
        <v>179</v>
      </c>
      <c r="K90" s="205" t="s">
        <v>43</v>
      </c>
      <c r="M90">
        <f t="shared" si="0"/>
        <v>500</v>
      </c>
    </row>
    <row r="91" spans="1:13" x14ac:dyDescent="0.25">
      <c r="A91" s="230">
        <v>26</v>
      </c>
      <c r="B91" s="208" t="s">
        <v>1052</v>
      </c>
      <c r="C91" s="205" t="s">
        <v>48</v>
      </c>
      <c r="D91" s="205" t="s">
        <v>852</v>
      </c>
      <c r="E91" s="205" t="s">
        <v>45</v>
      </c>
      <c r="F91" s="206"/>
      <c r="G91" s="205" t="s">
        <v>42</v>
      </c>
      <c r="H91" s="211">
        <v>2500</v>
      </c>
      <c r="I91" s="234">
        <v>500</v>
      </c>
      <c r="J91" s="205" t="s">
        <v>179</v>
      </c>
      <c r="K91" s="205" t="s">
        <v>43</v>
      </c>
      <c r="M91">
        <f t="shared" si="0"/>
        <v>500</v>
      </c>
    </row>
    <row r="92" spans="1:13" x14ac:dyDescent="0.25">
      <c r="A92" s="230">
        <v>26</v>
      </c>
      <c r="B92" s="208" t="s">
        <v>1053</v>
      </c>
      <c r="C92" s="205" t="s">
        <v>40</v>
      </c>
      <c r="D92" s="205" t="s">
        <v>1054</v>
      </c>
      <c r="E92" s="205" t="s">
        <v>52</v>
      </c>
      <c r="F92" s="206" t="s">
        <v>1055</v>
      </c>
      <c r="G92" s="205" t="s">
        <v>187</v>
      </c>
      <c r="H92" s="211">
        <v>500</v>
      </c>
      <c r="I92" s="234">
        <v>100</v>
      </c>
      <c r="J92" s="205" t="s">
        <v>179</v>
      </c>
      <c r="K92" s="205" t="s">
        <v>43</v>
      </c>
      <c r="M92">
        <f t="shared" si="0"/>
        <v>100</v>
      </c>
    </row>
    <row r="93" spans="1:13" x14ac:dyDescent="0.25">
      <c r="A93" s="230">
        <v>27</v>
      </c>
      <c r="B93" s="208" t="s">
        <v>997</v>
      </c>
      <c r="C93" s="205" t="s">
        <v>40</v>
      </c>
      <c r="D93" s="205" t="s">
        <v>998</v>
      </c>
      <c r="E93" s="205" t="s">
        <v>45</v>
      </c>
      <c r="F93" s="206" t="s">
        <v>999</v>
      </c>
      <c r="G93" s="205" t="s">
        <v>187</v>
      </c>
      <c r="H93" s="211">
        <v>800</v>
      </c>
      <c r="I93" s="234">
        <v>240</v>
      </c>
      <c r="J93" s="205" t="s">
        <v>179</v>
      </c>
      <c r="K93" s="205" t="s">
        <v>43</v>
      </c>
      <c r="M93">
        <f t="shared" si="0"/>
        <v>160</v>
      </c>
    </row>
    <row r="94" spans="1:13" x14ac:dyDescent="0.25">
      <c r="A94" s="230">
        <v>27</v>
      </c>
      <c r="B94" s="208" t="s">
        <v>1056</v>
      </c>
      <c r="C94" s="205" t="s">
        <v>48</v>
      </c>
      <c r="D94" s="205" t="s">
        <v>1057</v>
      </c>
      <c r="E94" s="205" t="s">
        <v>88</v>
      </c>
      <c r="F94" s="206" t="s">
        <v>1058</v>
      </c>
      <c r="G94" s="205" t="s">
        <v>42</v>
      </c>
      <c r="H94" s="211">
        <v>500</v>
      </c>
      <c r="I94" s="234" t="s">
        <v>255</v>
      </c>
      <c r="J94" s="205" t="s">
        <v>179</v>
      </c>
      <c r="K94" s="205" t="s">
        <v>43</v>
      </c>
      <c r="M94">
        <f t="shared" si="0"/>
        <v>100</v>
      </c>
    </row>
    <row r="95" spans="1:13" x14ac:dyDescent="0.25">
      <c r="A95" s="230">
        <v>27</v>
      </c>
      <c r="B95" s="208" t="s">
        <v>1056</v>
      </c>
      <c r="C95" s="205" t="s">
        <v>48</v>
      </c>
      <c r="D95" s="205" t="s">
        <v>1057</v>
      </c>
      <c r="E95" s="205" t="s">
        <v>88</v>
      </c>
      <c r="F95" s="206" t="s">
        <v>1058</v>
      </c>
      <c r="G95" s="205" t="s">
        <v>187</v>
      </c>
      <c r="H95" s="211">
        <v>1000</v>
      </c>
      <c r="I95" s="234" t="s">
        <v>255</v>
      </c>
      <c r="J95" s="205" t="s">
        <v>179</v>
      </c>
      <c r="K95" s="205" t="s">
        <v>43</v>
      </c>
      <c r="M95">
        <f t="shared" si="0"/>
        <v>200</v>
      </c>
    </row>
    <row r="96" spans="1:13" x14ac:dyDescent="0.25">
      <c r="A96" s="230">
        <v>27</v>
      </c>
      <c r="B96" s="208" t="s">
        <v>1056</v>
      </c>
      <c r="C96" s="205" t="s">
        <v>48</v>
      </c>
      <c r="D96" s="205" t="s">
        <v>1057</v>
      </c>
      <c r="E96" s="205" t="s">
        <v>88</v>
      </c>
      <c r="F96" s="206" t="s">
        <v>1058</v>
      </c>
      <c r="G96" s="205" t="s">
        <v>162</v>
      </c>
      <c r="H96" s="211">
        <v>115</v>
      </c>
      <c r="I96" s="234" t="s">
        <v>255</v>
      </c>
      <c r="J96" s="205" t="s">
        <v>179</v>
      </c>
      <c r="K96" s="205" t="s">
        <v>43</v>
      </c>
      <c r="M96">
        <f t="shared" si="0"/>
        <v>23</v>
      </c>
    </row>
    <row r="97" spans="1:13" x14ac:dyDescent="0.25">
      <c r="A97" s="230"/>
      <c r="B97" s="208"/>
      <c r="C97" s="205"/>
      <c r="D97" s="205"/>
      <c r="E97" s="205"/>
      <c r="F97" s="206"/>
      <c r="G97" s="205"/>
      <c r="H97" s="211"/>
      <c r="I97" s="234"/>
      <c r="J97" s="205"/>
      <c r="K97" s="205"/>
      <c r="M97">
        <f t="shared" si="0"/>
        <v>0</v>
      </c>
    </row>
    <row r="98" spans="1:13" x14ac:dyDescent="0.25">
      <c r="A98" s="230"/>
      <c r="B98" s="208"/>
      <c r="C98" s="205"/>
      <c r="D98" s="205"/>
      <c r="E98" s="205"/>
      <c r="F98" s="206"/>
      <c r="G98" s="205"/>
      <c r="H98" s="211"/>
      <c r="I98" s="234"/>
      <c r="J98" s="205"/>
      <c r="K98" s="205"/>
      <c r="M98">
        <f t="shared" si="0"/>
        <v>0</v>
      </c>
    </row>
    <row r="99" spans="1:13" x14ac:dyDescent="0.25">
      <c r="A99" s="230"/>
      <c r="B99" s="208"/>
      <c r="C99" s="205"/>
      <c r="D99" s="205"/>
      <c r="E99" s="205"/>
      <c r="F99" s="206"/>
      <c r="G99" s="205"/>
      <c r="H99" s="211"/>
      <c r="I99" s="234"/>
      <c r="J99" s="205"/>
      <c r="K99" s="205"/>
      <c r="M99">
        <f t="shared" si="0"/>
        <v>0</v>
      </c>
    </row>
    <row r="100" spans="1:13" x14ac:dyDescent="0.25">
      <c r="A100" s="230"/>
      <c r="B100" s="208"/>
      <c r="C100" s="205"/>
      <c r="D100" s="205"/>
      <c r="E100" s="205"/>
      <c r="F100" s="206"/>
      <c r="G100" s="205"/>
      <c r="H100" s="211"/>
      <c r="I100" s="234"/>
      <c r="J100" s="205"/>
      <c r="K100" s="205"/>
      <c r="M100">
        <f t="shared" si="0"/>
        <v>0</v>
      </c>
    </row>
    <row r="101" spans="1:13" x14ac:dyDescent="0.25">
      <c r="A101" s="230"/>
      <c r="B101" s="208"/>
      <c r="C101" s="205"/>
      <c r="D101" s="205"/>
      <c r="E101" s="205"/>
      <c r="F101" s="206"/>
      <c r="G101" s="205"/>
      <c r="H101" s="211"/>
      <c r="I101" s="234"/>
      <c r="J101" s="205"/>
      <c r="K101" s="205"/>
      <c r="M101">
        <f t="shared" si="0"/>
        <v>0</v>
      </c>
    </row>
    <row r="102" spans="1:13" x14ac:dyDescent="0.25">
      <c r="A102" s="230"/>
      <c r="B102" s="208"/>
      <c r="C102" s="205"/>
      <c r="D102" s="205"/>
      <c r="E102" s="205"/>
      <c r="F102" s="206"/>
      <c r="G102" s="205"/>
      <c r="H102" s="211"/>
      <c r="I102" s="234"/>
      <c r="J102" s="205"/>
      <c r="K102" s="205"/>
      <c r="M102">
        <f t="shared" si="0"/>
        <v>0</v>
      </c>
    </row>
    <row r="103" spans="1:13" x14ac:dyDescent="0.25">
      <c r="A103" s="230"/>
      <c r="B103" s="208"/>
      <c r="C103" s="205"/>
      <c r="D103" s="205"/>
      <c r="E103" s="205"/>
      <c r="F103" s="206"/>
      <c r="G103" s="205"/>
      <c r="H103" s="211"/>
      <c r="I103" s="234"/>
      <c r="J103" s="205"/>
      <c r="K103" s="205"/>
      <c r="M103">
        <f t="shared" si="0"/>
        <v>0</v>
      </c>
    </row>
    <row r="104" spans="1:13" x14ac:dyDescent="0.25">
      <c r="A104" s="230"/>
      <c r="B104" s="208"/>
      <c r="C104" s="205"/>
      <c r="D104" s="205"/>
      <c r="E104" s="205"/>
      <c r="F104" s="206"/>
      <c r="G104" s="205"/>
      <c r="H104" s="211"/>
      <c r="I104" s="234"/>
      <c r="J104" s="205"/>
      <c r="K104" s="205"/>
      <c r="M104">
        <f t="shared" si="0"/>
        <v>0</v>
      </c>
    </row>
    <row r="105" spans="1:13" x14ac:dyDescent="0.25">
      <c r="A105" s="230"/>
      <c r="B105" s="208"/>
      <c r="C105" s="205"/>
      <c r="D105" s="205"/>
      <c r="E105" s="205"/>
      <c r="F105" s="206"/>
      <c r="G105" s="205"/>
      <c r="H105" s="211"/>
      <c r="I105" s="234"/>
      <c r="J105" s="205"/>
      <c r="K105" s="205"/>
      <c r="M105">
        <f t="shared" si="0"/>
        <v>0</v>
      </c>
    </row>
    <row r="106" spans="1:13" x14ac:dyDescent="0.25">
      <c r="A106" s="230"/>
      <c r="B106" s="208"/>
      <c r="C106" s="205"/>
      <c r="D106" s="205"/>
      <c r="E106" s="205"/>
      <c r="F106" s="206"/>
      <c r="G106" s="205"/>
      <c r="H106" s="211"/>
      <c r="I106" s="234"/>
      <c r="J106" s="205"/>
      <c r="K106" s="205"/>
      <c r="M106">
        <f t="shared" si="0"/>
        <v>0</v>
      </c>
    </row>
    <row r="107" spans="1:13" x14ac:dyDescent="0.25">
      <c r="A107" s="230"/>
      <c r="B107" s="208"/>
      <c r="C107" s="205"/>
      <c r="D107" s="205"/>
      <c r="E107" s="205"/>
      <c r="F107" s="206"/>
      <c r="G107" s="205"/>
      <c r="H107" s="211"/>
      <c r="I107" s="234"/>
      <c r="J107" s="205"/>
      <c r="K107" s="205"/>
      <c r="M107">
        <f t="shared" si="0"/>
        <v>0</v>
      </c>
    </row>
    <row r="108" spans="1:13" x14ac:dyDescent="0.25">
      <c r="A108" s="230"/>
      <c r="B108" s="208"/>
      <c r="C108" s="205"/>
      <c r="D108" s="205"/>
      <c r="E108" s="205"/>
      <c r="F108" s="206"/>
      <c r="G108" s="205"/>
      <c r="H108" s="211"/>
      <c r="I108" s="234"/>
      <c r="J108" s="205"/>
      <c r="K108" s="205"/>
      <c r="M108">
        <f t="shared" si="0"/>
        <v>0</v>
      </c>
    </row>
    <row r="109" spans="1:13" x14ac:dyDescent="0.25">
      <c r="A109" s="230"/>
      <c r="B109" s="208"/>
      <c r="C109" s="205"/>
      <c r="D109" s="205"/>
      <c r="E109" s="205"/>
      <c r="F109" s="206"/>
      <c r="G109" s="205"/>
      <c r="H109" s="211"/>
      <c r="I109" s="234"/>
      <c r="J109" s="205"/>
      <c r="K109" s="205"/>
      <c r="M109">
        <f t="shared" si="0"/>
        <v>0</v>
      </c>
    </row>
    <row r="110" spans="1:13" x14ac:dyDescent="0.25">
      <c r="A110" s="230"/>
      <c r="B110" s="208"/>
      <c r="C110" s="205"/>
      <c r="D110" s="205"/>
      <c r="E110" s="205"/>
      <c r="F110" s="206"/>
      <c r="G110" s="205"/>
      <c r="H110" s="211"/>
      <c r="I110" s="234"/>
      <c r="J110" s="205"/>
      <c r="K110" s="205"/>
      <c r="M110">
        <f t="shared" si="0"/>
        <v>0</v>
      </c>
    </row>
    <row r="111" spans="1:13" x14ac:dyDescent="0.25">
      <c r="A111" s="230"/>
      <c r="B111" s="208"/>
      <c r="C111" s="205"/>
      <c r="D111" s="205"/>
      <c r="E111" s="205"/>
      <c r="F111" s="206"/>
      <c r="G111" s="205"/>
      <c r="H111" s="211"/>
      <c r="I111" s="234"/>
      <c r="J111" s="205"/>
      <c r="K111" s="205"/>
      <c r="M111">
        <f t="shared" si="0"/>
        <v>0</v>
      </c>
    </row>
    <row r="112" spans="1:13" x14ac:dyDescent="0.25">
      <c r="A112" s="230"/>
      <c r="B112" s="208"/>
      <c r="C112" s="205"/>
      <c r="D112" s="205"/>
      <c r="E112" s="205"/>
      <c r="F112" s="206"/>
      <c r="G112" s="205"/>
      <c r="H112" s="211"/>
      <c r="I112" s="234"/>
      <c r="J112" s="205"/>
      <c r="K112" s="205"/>
      <c r="M112">
        <f t="shared" si="0"/>
        <v>0</v>
      </c>
    </row>
    <row r="113" spans="1:13" x14ac:dyDescent="0.25">
      <c r="A113" s="230"/>
      <c r="B113" s="208"/>
      <c r="C113" s="205"/>
      <c r="D113" s="205"/>
      <c r="E113" s="205"/>
      <c r="F113" s="206"/>
      <c r="G113" s="205"/>
      <c r="H113" s="211"/>
      <c r="I113" s="234"/>
      <c r="J113" s="205"/>
      <c r="K113" s="205"/>
      <c r="M113">
        <f t="shared" si="0"/>
        <v>0</v>
      </c>
    </row>
    <row r="114" spans="1:13" x14ac:dyDescent="0.25">
      <c r="A114" s="230"/>
      <c r="B114" s="208"/>
      <c r="C114" s="205"/>
      <c r="D114" s="205"/>
      <c r="E114" s="205"/>
      <c r="F114" s="206"/>
      <c r="G114" s="205"/>
      <c r="H114" s="211"/>
      <c r="I114" s="234"/>
      <c r="J114" s="205"/>
      <c r="K114" s="205"/>
      <c r="M114">
        <f t="shared" si="0"/>
        <v>0</v>
      </c>
    </row>
    <row r="115" spans="1:13" x14ac:dyDescent="0.25">
      <c r="A115" s="230"/>
      <c r="B115" s="208"/>
      <c r="C115" s="205"/>
      <c r="D115" s="205"/>
      <c r="E115" s="205"/>
      <c r="F115" s="206"/>
      <c r="G115" s="205"/>
      <c r="H115" s="211"/>
      <c r="I115" s="234"/>
      <c r="J115" s="205"/>
      <c r="K115" s="205"/>
      <c r="M115">
        <f t="shared" si="0"/>
        <v>0</v>
      </c>
    </row>
    <row r="116" spans="1:13" x14ac:dyDescent="0.25">
      <c r="A116" s="230"/>
      <c r="B116" s="208"/>
      <c r="C116" s="205"/>
      <c r="D116" s="205"/>
      <c r="E116" s="205"/>
      <c r="F116" s="206"/>
      <c r="G116" s="205"/>
      <c r="H116" s="211"/>
      <c r="I116" s="234"/>
      <c r="J116" s="205"/>
      <c r="K116" s="205"/>
      <c r="M116">
        <f t="shared" si="0"/>
        <v>0</v>
      </c>
    </row>
    <row r="117" spans="1:13" x14ac:dyDescent="0.25">
      <c r="A117" s="230"/>
      <c r="B117" s="208"/>
      <c r="C117" s="205"/>
      <c r="D117" s="205"/>
      <c r="E117" s="205"/>
      <c r="F117" s="206"/>
      <c r="G117" s="205"/>
      <c r="H117" s="211"/>
      <c r="I117" s="234"/>
      <c r="J117" s="205"/>
      <c r="K117" s="205"/>
      <c r="M117">
        <f t="shared" si="0"/>
        <v>0</v>
      </c>
    </row>
    <row r="118" spans="1:13" x14ac:dyDescent="0.25">
      <c r="A118" s="230"/>
      <c r="B118" s="208"/>
      <c r="C118" s="205"/>
      <c r="D118" s="205"/>
      <c r="E118" s="205"/>
      <c r="F118" s="206"/>
      <c r="G118" s="205"/>
      <c r="H118" s="211"/>
      <c r="I118" s="234"/>
      <c r="J118" s="205"/>
      <c r="K118" s="205"/>
      <c r="M118">
        <f t="shared" ref="M118:M200" si="1">H118/5</f>
        <v>0</v>
      </c>
    </row>
    <row r="119" spans="1:13" x14ac:dyDescent="0.25">
      <c r="A119" s="230"/>
      <c r="B119" s="208"/>
      <c r="C119" s="205"/>
      <c r="D119" s="205"/>
      <c r="E119" s="205"/>
      <c r="F119" s="206"/>
      <c r="G119" s="205"/>
      <c r="H119" s="211"/>
      <c r="I119" s="234"/>
      <c r="J119" s="205"/>
      <c r="K119" s="205"/>
      <c r="M119">
        <f t="shared" si="1"/>
        <v>0</v>
      </c>
    </row>
    <row r="120" spans="1:13" x14ac:dyDescent="0.25">
      <c r="A120" s="230"/>
      <c r="B120" s="208"/>
      <c r="C120" s="205"/>
      <c r="D120" s="205"/>
      <c r="E120" s="205"/>
      <c r="F120" s="206"/>
      <c r="G120" s="205"/>
      <c r="H120" s="211"/>
      <c r="I120" s="234"/>
      <c r="J120" s="205"/>
      <c r="K120" s="205"/>
      <c r="M120">
        <f t="shared" si="1"/>
        <v>0</v>
      </c>
    </row>
    <row r="121" spans="1:13" x14ac:dyDescent="0.25">
      <c r="A121" s="230"/>
      <c r="B121" s="208"/>
      <c r="C121" s="205"/>
      <c r="D121" s="205"/>
      <c r="E121" s="205"/>
      <c r="F121" s="206"/>
      <c r="G121" s="205"/>
      <c r="H121" s="211"/>
      <c r="I121" s="234"/>
      <c r="J121" s="205"/>
      <c r="K121" s="205"/>
      <c r="M121">
        <f t="shared" si="1"/>
        <v>0</v>
      </c>
    </row>
    <row r="122" spans="1:13" x14ac:dyDescent="0.25">
      <c r="A122" s="230"/>
      <c r="B122" s="208"/>
      <c r="C122" s="205"/>
      <c r="D122" s="205"/>
      <c r="E122" s="205"/>
      <c r="F122" s="206"/>
      <c r="G122" s="205"/>
      <c r="H122" s="211"/>
      <c r="I122" s="234"/>
      <c r="J122" s="205"/>
      <c r="K122" s="205"/>
      <c r="M122">
        <f t="shared" si="1"/>
        <v>0</v>
      </c>
    </row>
    <row r="123" spans="1:13" x14ac:dyDescent="0.25">
      <c r="A123" s="230"/>
      <c r="B123" s="208"/>
      <c r="C123" s="205"/>
      <c r="D123" s="205"/>
      <c r="E123" s="205"/>
      <c r="F123" s="206"/>
      <c r="G123" s="205"/>
      <c r="H123" s="211"/>
      <c r="I123" s="234"/>
      <c r="J123" s="205"/>
      <c r="K123" s="205"/>
      <c r="M123">
        <f t="shared" si="1"/>
        <v>0</v>
      </c>
    </row>
    <row r="124" spans="1:13" x14ac:dyDescent="0.25">
      <c r="A124" s="230"/>
      <c r="B124" s="208"/>
      <c r="C124" s="205"/>
      <c r="D124" s="205"/>
      <c r="E124" s="205"/>
      <c r="F124" s="206"/>
      <c r="G124" s="205"/>
      <c r="H124" s="211"/>
      <c r="I124" s="234"/>
      <c r="J124" s="205"/>
      <c r="K124" s="205"/>
      <c r="M124">
        <f t="shared" si="1"/>
        <v>0</v>
      </c>
    </row>
    <row r="125" spans="1:13" x14ac:dyDescent="0.25">
      <c r="A125" s="230"/>
      <c r="B125" s="208"/>
      <c r="C125" s="205"/>
      <c r="D125" s="205"/>
      <c r="E125" s="205"/>
      <c r="F125" s="206"/>
      <c r="G125" s="205"/>
      <c r="H125" s="211"/>
      <c r="I125" s="234"/>
      <c r="J125" s="205"/>
      <c r="K125" s="205"/>
      <c r="M125">
        <f t="shared" si="1"/>
        <v>0</v>
      </c>
    </row>
    <row r="126" spans="1:13" x14ac:dyDescent="0.25">
      <c r="A126" s="230"/>
      <c r="B126" s="208"/>
      <c r="C126" s="205"/>
      <c r="D126" s="205"/>
      <c r="E126" s="205"/>
      <c r="F126" s="206"/>
      <c r="G126" s="205"/>
      <c r="H126" s="211"/>
      <c r="I126" s="234"/>
      <c r="J126" s="205"/>
      <c r="K126" s="205"/>
      <c r="M126">
        <f t="shared" si="1"/>
        <v>0</v>
      </c>
    </row>
    <row r="127" spans="1:13" x14ac:dyDescent="0.25">
      <c r="A127" s="230"/>
      <c r="B127" s="208"/>
      <c r="C127" s="205"/>
      <c r="D127" s="205"/>
      <c r="E127" s="205"/>
      <c r="F127" s="206"/>
      <c r="G127" s="205"/>
      <c r="H127" s="211"/>
      <c r="I127" s="234"/>
      <c r="J127" s="205"/>
      <c r="K127" s="205"/>
      <c r="M127">
        <f t="shared" si="1"/>
        <v>0</v>
      </c>
    </row>
    <row r="128" spans="1:13" x14ac:dyDescent="0.25">
      <c r="A128" s="230"/>
      <c r="B128" s="208"/>
      <c r="C128" s="205"/>
      <c r="D128" s="205"/>
      <c r="E128" s="205"/>
      <c r="F128" s="206"/>
      <c r="G128" s="205"/>
      <c r="H128" s="211"/>
      <c r="I128" s="234"/>
      <c r="J128" s="205"/>
      <c r="K128" s="205"/>
      <c r="M128">
        <f t="shared" si="1"/>
        <v>0</v>
      </c>
    </row>
    <row r="129" spans="1:13" x14ac:dyDescent="0.25">
      <c r="A129" s="230"/>
      <c r="B129" s="208"/>
      <c r="C129" s="205"/>
      <c r="D129" s="205"/>
      <c r="E129" s="205"/>
      <c r="F129" s="206"/>
      <c r="G129" s="205"/>
      <c r="H129" s="211"/>
      <c r="I129" s="234"/>
      <c r="J129" s="205"/>
      <c r="K129" s="205"/>
      <c r="M129">
        <f t="shared" si="1"/>
        <v>0</v>
      </c>
    </row>
    <row r="130" spans="1:13" x14ac:dyDescent="0.25">
      <c r="A130" s="230"/>
      <c r="B130" s="208"/>
      <c r="C130" s="205"/>
      <c r="D130" s="205"/>
      <c r="E130" s="205"/>
      <c r="F130" s="206"/>
      <c r="G130" s="205"/>
      <c r="H130" s="211"/>
      <c r="I130" s="234"/>
      <c r="J130" s="205"/>
      <c r="K130" s="205"/>
      <c r="M130">
        <f t="shared" si="1"/>
        <v>0</v>
      </c>
    </row>
    <row r="131" spans="1:13" x14ac:dyDescent="0.25">
      <c r="A131" s="230"/>
      <c r="B131" s="208"/>
      <c r="C131" s="205"/>
      <c r="D131" s="205"/>
      <c r="E131" s="205"/>
      <c r="F131" s="206"/>
      <c r="G131" s="205"/>
      <c r="H131" s="211"/>
      <c r="I131" s="234"/>
      <c r="J131" s="205"/>
      <c r="K131" s="205"/>
      <c r="M131">
        <f t="shared" si="1"/>
        <v>0</v>
      </c>
    </row>
    <row r="132" spans="1:13" x14ac:dyDescent="0.25">
      <c r="A132" s="230"/>
      <c r="B132" s="208"/>
      <c r="C132" s="205"/>
      <c r="D132" s="205"/>
      <c r="E132" s="205"/>
      <c r="F132" s="206"/>
      <c r="G132" s="205"/>
      <c r="H132" s="211"/>
      <c r="I132" s="234"/>
      <c r="J132" s="205"/>
      <c r="K132" s="205"/>
      <c r="M132">
        <f t="shared" si="1"/>
        <v>0</v>
      </c>
    </row>
    <row r="133" spans="1:13" x14ac:dyDescent="0.25">
      <c r="A133" s="230"/>
      <c r="B133" s="208"/>
      <c r="C133" s="205"/>
      <c r="D133" s="205"/>
      <c r="E133" s="205"/>
      <c r="F133" s="206"/>
      <c r="G133" s="205"/>
      <c r="H133" s="211"/>
      <c r="I133" s="234"/>
      <c r="J133" s="205"/>
      <c r="K133" s="205"/>
      <c r="M133">
        <f t="shared" si="1"/>
        <v>0</v>
      </c>
    </row>
    <row r="134" spans="1:13" x14ac:dyDescent="0.25">
      <c r="A134" s="230"/>
      <c r="B134" s="208"/>
      <c r="C134" s="205"/>
      <c r="D134" s="205"/>
      <c r="E134" s="205"/>
      <c r="F134" s="206"/>
      <c r="G134" s="205"/>
      <c r="H134" s="211"/>
      <c r="I134" s="234"/>
      <c r="J134" s="205"/>
      <c r="K134" s="205"/>
      <c r="M134">
        <f t="shared" si="1"/>
        <v>0</v>
      </c>
    </row>
    <row r="135" spans="1:13" x14ac:dyDescent="0.25">
      <c r="A135" s="230"/>
      <c r="B135" s="208"/>
      <c r="C135" s="205"/>
      <c r="D135" s="205"/>
      <c r="E135" s="205"/>
      <c r="F135" s="206"/>
      <c r="G135" s="205"/>
      <c r="H135" s="211"/>
      <c r="I135" s="234"/>
      <c r="J135" s="205"/>
      <c r="K135" s="205"/>
      <c r="M135">
        <f t="shared" si="1"/>
        <v>0</v>
      </c>
    </row>
    <row r="136" spans="1:13" x14ac:dyDescent="0.25">
      <c r="A136" s="230"/>
      <c r="B136" s="208"/>
      <c r="C136" s="205"/>
      <c r="D136" s="205"/>
      <c r="E136" s="205"/>
      <c r="F136" s="206"/>
      <c r="G136" s="205"/>
      <c r="H136" s="211"/>
      <c r="I136" s="234"/>
      <c r="J136" s="205"/>
      <c r="K136" s="205"/>
      <c r="M136">
        <f t="shared" si="1"/>
        <v>0</v>
      </c>
    </row>
    <row r="137" spans="1:13" x14ac:dyDescent="0.25">
      <c r="A137" s="230"/>
      <c r="B137" s="208"/>
      <c r="C137" s="205"/>
      <c r="D137" s="205"/>
      <c r="E137" s="205"/>
      <c r="F137" s="206"/>
      <c r="G137" s="205"/>
      <c r="H137" s="211"/>
      <c r="I137" s="234"/>
      <c r="J137" s="205"/>
      <c r="K137" s="205"/>
      <c r="M137">
        <f t="shared" si="1"/>
        <v>0</v>
      </c>
    </row>
    <row r="138" spans="1:13" x14ac:dyDescent="0.25">
      <c r="A138" s="230"/>
      <c r="B138" s="208"/>
      <c r="C138" s="205"/>
      <c r="D138" s="205"/>
      <c r="E138" s="205"/>
      <c r="F138" s="206"/>
      <c r="G138" s="205"/>
      <c r="H138" s="211"/>
      <c r="I138" s="234"/>
      <c r="J138" s="205"/>
      <c r="K138" s="205"/>
      <c r="M138">
        <f t="shared" si="1"/>
        <v>0</v>
      </c>
    </row>
    <row r="139" spans="1:13" x14ac:dyDescent="0.25">
      <c r="A139" s="230"/>
      <c r="B139" s="208"/>
      <c r="C139" s="205"/>
      <c r="D139" s="205"/>
      <c r="E139" s="205"/>
      <c r="F139" s="206"/>
      <c r="G139" s="205"/>
      <c r="H139" s="211"/>
      <c r="I139" s="234"/>
      <c r="J139" s="205"/>
      <c r="K139" s="205"/>
      <c r="M139">
        <f t="shared" si="1"/>
        <v>0</v>
      </c>
    </row>
    <row r="140" spans="1:13" x14ac:dyDescent="0.25">
      <c r="A140" s="230"/>
      <c r="B140" s="208"/>
      <c r="C140" s="205"/>
      <c r="D140" s="205"/>
      <c r="E140" s="205"/>
      <c r="F140" s="206"/>
      <c r="G140" s="205"/>
      <c r="H140" s="211"/>
      <c r="I140" s="234"/>
      <c r="J140" s="205"/>
      <c r="K140" s="205"/>
      <c r="M140">
        <f t="shared" si="1"/>
        <v>0</v>
      </c>
    </row>
    <row r="141" spans="1:13" x14ac:dyDescent="0.25">
      <c r="A141" s="230"/>
      <c r="B141" s="208"/>
      <c r="C141" s="205"/>
      <c r="D141" s="205"/>
      <c r="E141" s="205"/>
      <c r="F141" s="206"/>
      <c r="G141" s="205"/>
      <c r="H141" s="211"/>
      <c r="I141" s="234"/>
      <c r="J141" s="205"/>
      <c r="K141" s="205"/>
      <c r="M141">
        <f t="shared" si="1"/>
        <v>0</v>
      </c>
    </row>
    <row r="142" spans="1:13" x14ac:dyDescent="0.25">
      <c r="A142" s="230"/>
      <c r="B142" s="208"/>
      <c r="C142" s="205"/>
      <c r="D142" s="205"/>
      <c r="E142" s="205"/>
      <c r="F142" s="206"/>
      <c r="G142" s="205"/>
      <c r="H142" s="211"/>
      <c r="I142" s="234"/>
      <c r="J142" s="205"/>
      <c r="K142" s="205"/>
      <c r="M142">
        <f t="shared" si="1"/>
        <v>0</v>
      </c>
    </row>
    <row r="143" spans="1:13" x14ac:dyDescent="0.25">
      <c r="A143" s="230"/>
      <c r="B143" s="208"/>
      <c r="C143" s="205"/>
      <c r="D143" s="205"/>
      <c r="E143" s="205"/>
      <c r="F143" s="206"/>
      <c r="G143" s="205"/>
      <c r="H143" s="211"/>
      <c r="I143" s="234"/>
      <c r="J143" s="205"/>
      <c r="K143" s="205"/>
      <c r="M143">
        <f t="shared" si="1"/>
        <v>0</v>
      </c>
    </row>
    <row r="144" spans="1:13" x14ac:dyDescent="0.25">
      <c r="A144" s="230"/>
      <c r="B144" s="208"/>
      <c r="C144" s="205"/>
      <c r="D144" s="205"/>
      <c r="E144" s="205"/>
      <c r="F144" s="206"/>
      <c r="G144" s="205"/>
      <c r="H144" s="211"/>
      <c r="I144" s="234"/>
      <c r="J144" s="205"/>
      <c r="K144" s="205"/>
      <c r="M144">
        <f t="shared" si="1"/>
        <v>0</v>
      </c>
    </row>
    <row r="145" spans="1:13" x14ac:dyDescent="0.25">
      <c r="A145" s="230"/>
      <c r="B145" s="208"/>
      <c r="C145" s="205"/>
      <c r="D145" s="205"/>
      <c r="E145" s="205"/>
      <c r="F145" s="206"/>
      <c r="G145" s="205"/>
      <c r="H145" s="211"/>
      <c r="I145" s="234"/>
      <c r="J145" s="205"/>
      <c r="K145" s="205"/>
      <c r="M145">
        <f t="shared" si="1"/>
        <v>0</v>
      </c>
    </row>
    <row r="146" spans="1:13" x14ac:dyDescent="0.25">
      <c r="A146" s="230"/>
      <c r="B146" s="208"/>
      <c r="C146" s="205"/>
      <c r="D146" s="205"/>
      <c r="E146" s="205"/>
      <c r="F146" s="206"/>
      <c r="G146" s="205"/>
      <c r="H146" s="211"/>
      <c r="I146" s="234"/>
      <c r="J146" s="205"/>
      <c r="K146" s="205"/>
      <c r="M146">
        <f t="shared" si="1"/>
        <v>0</v>
      </c>
    </row>
    <row r="147" spans="1:13" x14ac:dyDescent="0.25">
      <c r="A147" s="230"/>
      <c r="B147" s="208"/>
      <c r="C147" s="205"/>
      <c r="D147" s="205"/>
      <c r="E147" s="205"/>
      <c r="F147" s="206"/>
      <c r="G147" s="205"/>
      <c r="H147" s="211"/>
      <c r="I147" s="234"/>
      <c r="J147" s="205"/>
      <c r="K147" s="205"/>
      <c r="M147">
        <f t="shared" si="1"/>
        <v>0</v>
      </c>
    </row>
    <row r="148" spans="1:13" x14ac:dyDescent="0.25">
      <c r="A148" s="230"/>
      <c r="B148" s="208"/>
      <c r="C148" s="205"/>
      <c r="D148" s="205"/>
      <c r="E148" s="205"/>
      <c r="F148" s="206"/>
      <c r="G148" s="205"/>
      <c r="H148" s="211"/>
      <c r="I148" s="234"/>
      <c r="J148" s="205"/>
      <c r="K148" s="205"/>
      <c r="M148">
        <f t="shared" si="1"/>
        <v>0</v>
      </c>
    </row>
    <row r="149" spans="1:13" x14ac:dyDescent="0.25">
      <c r="A149" s="230"/>
      <c r="B149" s="208"/>
      <c r="C149" s="205"/>
      <c r="D149" s="205"/>
      <c r="E149" s="205"/>
      <c r="F149" s="206"/>
      <c r="G149" s="205"/>
      <c r="H149" s="211"/>
      <c r="I149" s="234"/>
      <c r="J149" s="205"/>
      <c r="K149" s="205"/>
      <c r="M149">
        <f t="shared" si="1"/>
        <v>0</v>
      </c>
    </row>
    <row r="150" spans="1:13" x14ac:dyDescent="0.25">
      <c r="A150" s="230"/>
      <c r="B150" s="208"/>
      <c r="C150" s="205"/>
      <c r="D150" s="205"/>
      <c r="E150" s="205"/>
      <c r="F150" s="206"/>
      <c r="G150" s="205"/>
      <c r="H150" s="211"/>
      <c r="I150" s="234"/>
      <c r="J150" s="205"/>
      <c r="K150" s="205"/>
      <c r="M150">
        <f t="shared" si="1"/>
        <v>0</v>
      </c>
    </row>
    <row r="151" spans="1:13" x14ac:dyDescent="0.25">
      <c r="A151" s="230"/>
      <c r="B151" s="208"/>
      <c r="C151" s="205"/>
      <c r="D151" s="205"/>
      <c r="E151" s="205"/>
      <c r="F151" s="206"/>
      <c r="G151" s="205"/>
      <c r="H151" s="211"/>
      <c r="I151" s="234"/>
      <c r="J151" s="205"/>
      <c r="K151" s="205"/>
      <c r="M151">
        <f t="shared" si="1"/>
        <v>0</v>
      </c>
    </row>
    <row r="152" spans="1:13" x14ac:dyDescent="0.25">
      <c r="A152" s="230"/>
      <c r="B152" s="208"/>
      <c r="C152" s="205"/>
      <c r="D152" s="205"/>
      <c r="E152" s="205"/>
      <c r="F152" s="206"/>
      <c r="G152" s="205"/>
      <c r="H152" s="211"/>
      <c r="I152" s="234"/>
      <c r="J152" s="205"/>
      <c r="K152" s="205"/>
      <c r="M152">
        <f t="shared" si="1"/>
        <v>0</v>
      </c>
    </row>
    <row r="153" spans="1:13" x14ac:dyDescent="0.25">
      <c r="A153" s="230"/>
      <c r="B153" s="208"/>
      <c r="C153" s="205"/>
      <c r="D153" s="205"/>
      <c r="E153" s="205"/>
      <c r="F153" s="206"/>
      <c r="G153" s="205"/>
      <c r="H153" s="211"/>
      <c r="I153" s="234"/>
      <c r="J153" s="205"/>
      <c r="K153" s="205"/>
      <c r="M153">
        <f t="shared" si="1"/>
        <v>0</v>
      </c>
    </row>
    <row r="154" spans="1:13" x14ac:dyDescent="0.25">
      <c r="A154" s="230"/>
      <c r="B154" s="208"/>
      <c r="C154" s="205"/>
      <c r="D154" s="205"/>
      <c r="E154" s="205"/>
      <c r="F154" s="206"/>
      <c r="G154" s="205"/>
      <c r="H154" s="211"/>
      <c r="I154" s="234"/>
      <c r="J154" s="205"/>
      <c r="K154" s="205"/>
      <c r="M154">
        <f t="shared" si="1"/>
        <v>0</v>
      </c>
    </row>
    <row r="155" spans="1:13" x14ac:dyDescent="0.25">
      <c r="A155" s="230"/>
      <c r="B155" s="208"/>
      <c r="C155" s="205"/>
      <c r="D155" s="205"/>
      <c r="E155" s="205"/>
      <c r="F155" s="206"/>
      <c r="G155" s="205"/>
      <c r="H155" s="211"/>
      <c r="I155" s="234"/>
      <c r="J155" s="205"/>
      <c r="K155" s="205"/>
      <c r="M155">
        <f t="shared" si="1"/>
        <v>0</v>
      </c>
    </row>
    <row r="156" spans="1:13" x14ac:dyDescent="0.25">
      <c r="A156" s="230"/>
      <c r="B156" s="208"/>
      <c r="C156" s="205"/>
      <c r="D156" s="205"/>
      <c r="E156" s="205"/>
      <c r="F156" s="206"/>
      <c r="G156" s="205"/>
      <c r="H156" s="211"/>
      <c r="I156" s="234"/>
      <c r="J156" s="205"/>
      <c r="K156" s="205"/>
      <c r="M156">
        <f t="shared" si="1"/>
        <v>0</v>
      </c>
    </row>
    <row r="157" spans="1:13" x14ac:dyDescent="0.25">
      <c r="A157" s="230"/>
      <c r="B157" s="208"/>
      <c r="C157" s="205"/>
      <c r="D157" s="205"/>
      <c r="E157" s="205"/>
      <c r="F157" s="206"/>
      <c r="G157" s="205"/>
      <c r="H157" s="211"/>
      <c r="I157" s="234"/>
      <c r="J157" s="205"/>
      <c r="K157" s="205"/>
      <c r="M157">
        <f t="shared" si="1"/>
        <v>0</v>
      </c>
    </row>
    <row r="158" spans="1:13" x14ac:dyDescent="0.25">
      <c r="A158" s="230"/>
      <c r="B158" s="208"/>
      <c r="C158" s="205"/>
      <c r="D158" s="205"/>
      <c r="E158" s="205"/>
      <c r="F158" s="206"/>
      <c r="G158" s="205"/>
      <c r="H158" s="211"/>
      <c r="I158" s="234"/>
      <c r="J158" s="205"/>
      <c r="K158" s="205"/>
      <c r="M158">
        <f t="shared" si="1"/>
        <v>0</v>
      </c>
    </row>
    <row r="159" spans="1:13" x14ac:dyDescent="0.25">
      <c r="A159" s="230"/>
      <c r="B159" s="208"/>
      <c r="C159" s="205"/>
      <c r="D159" s="205"/>
      <c r="E159" s="205"/>
      <c r="F159" s="206"/>
      <c r="G159" s="205"/>
      <c r="H159" s="211"/>
      <c r="I159" s="234"/>
      <c r="J159" s="205"/>
      <c r="K159" s="205"/>
      <c r="M159">
        <f t="shared" si="1"/>
        <v>0</v>
      </c>
    </row>
    <row r="160" spans="1:13" x14ac:dyDescent="0.25">
      <c r="A160" s="230"/>
      <c r="B160" s="208"/>
      <c r="C160" s="205"/>
      <c r="D160" s="205"/>
      <c r="E160" s="205"/>
      <c r="F160" s="206"/>
      <c r="G160" s="205"/>
      <c r="H160" s="211"/>
      <c r="I160" s="234"/>
      <c r="J160" s="205"/>
      <c r="K160" s="205"/>
      <c r="M160">
        <f t="shared" si="1"/>
        <v>0</v>
      </c>
    </row>
    <row r="161" spans="1:13" x14ac:dyDescent="0.25">
      <c r="A161" s="230"/>
      <c r="B161" s="208"/>
      <c r="C161" s="205"/>
      <c r="D161" s="205"/>
      <c r="E161" s="205"/>
      <c r="F161" s="206"/>
      <c r="G161" s="205"/>
      <c r="H161" s="211"/>
      <c r="I161" s="234"/>
      <c r="J161" s="205"/>
      <c r="K161" s="205"/>
      <c r="M161">
        <f t="shared" si="1"/>
        <v>0</v>
      </c>
    </row>
    <row r="162" spans="1:13" x14ac:dyDescent="0.25">
      <c r="A162" s="230"/>
      <c r="B162" s="208"/>
      <c r="C162" s="205"/>
      <c r="D162" s="205"/>
      <c r="E162" s="205"/>
      <c r="F162" s="206"/>
      <c r="G162" s="205"/>
      <c r="H162" s="211"/>
      <c r="I162" s="234"/>
      <c r="J162" s="205"/>
      <c r="K162" s="205"/>
      <c r="M162">
        <f t="shared" si="1"/>
        <v>0</v>
      </c>
    </row>
    <row r="163" spans="1:13" x14ac:dyDescent="0.25">
      <c r="A163" s="230"/>
      <c r="B163" s="208"/>
      <c r="C163" s="205"/>
      <c r="D163" s="205"/>
      <c r="E163" s="205"/>
      <c r="F163" s="206"/>
      <c r="G163" s="205"/>
      <c r="H163" s="211"/>
      <c r="I163" s="234"/>
      <c r="J163" s="205"/>
      <c r="K163" s="205"/>
      <c r="M163">
        <f t="shared" si="1"/>
        <v>0</v>
      </c>
    </row>
    <row r="164" spans="1:13" x14ac:dyDescent="0.25">
      <c r="A164" s="230"/>
      <c r="B164" s="208"/>
      <c r="C164" s="205"/>
      <c r="D164" s="205"/>
      <c r="E164" s="205"/>
      <c r="F164" s="206"/>
      <c r="G164" s="205"/>
      <c r="H164" s="211"/>
      <c r="I164" s="234"/>
      <c r="J164" s="205"/>
      <c r="K164" s="205"/>
      <c r="M164">
        <f t="shared" si="1"/>
        <v>0</v>
      </c>
    </row>
    <row r="165" spans="1:13" x14ac:dyDescent="0.25">
      <c r="A165" s="230"/>
      <c r="B165" s="208"/>
      <c r="C165" s="205"/>
      <c r="D165" s="205"/>
      <c r="E165" s="205"/>
      <c r="F165" s="206"/>
      <c r="G165" s="205"/>
      <c r="H165" s="211"/>
      <c r="I165" s="234"/>
      <c r="J165" s="205"/>
      <c r="K165" s="205"/>
      <c r="M165">
        <f t="shared" si="1"/>
        <v>0</v>
      </c>
    </row>
    <row r="166" spans="1:13" x14ac:dyDescent="0.25">
      <c r="A166" s="230"/>
      <c r="B166" s="208"/>
      <c r="C166" s="205"/>
      <c r="D166" s="205"/>
      <c r="E166" s="205"/>
      <c r="F166" s="206"/>
      <c r="G166" s="205"/>
      <c r="H166" s="211"/>
      <c r="I166" s="234"/>
      <c r="J166" s="205"/>
      <c r="K166" s="205"/>
      <c r="M166">
        <f t="shared" si="1"/>
        <v>0</v>
      </c>
    </row>
    <row r="167" spans="1:13" x14ac:dyDescent="0.25">
      <c r="A167" s="230"/>
      <c r="B167" s="208"/>
      <c r="C167" s="205"/>
      <c r="D167" s="205"/>
      <c r="E167" s="205"/>
      <c r="F167" s="206"/>
      <c r="G167" s="205"/>
      <c r="H167" s="211"/>
      <c r="I167" s="234"/>
      <c r="J167" s="205"/>
      <c r="K167" s="205"/>
      <c r="M167">
        <f t="shared" si="1"/>
        <v>0</v>
      </c>
    </row>
    <row r="168" spans="1:13" x14ac:dyDescent="0.25">
      <c r="A168" s="230"/>
      <c r="B168" s="208"/>
      <c r="C168" s="205"/>
      <c r="D168" s="205"/>
      <c r="E168" s="205"/>
      <c r="F168" s="206"/>
      <c r="G168" s="205"/>
      <c r="H168" s="211"/>
      <c r="I168" s="234"/>
      <c r="J168" s="205"/>
      <c r="K168" s="205"/>
      <c r="M168">
        <f t="shared" si="1"/>
        <v>0</v>
      </c>
    </row>
    <row r="169" spans="1:13" x14ac:dyDescent="0.25">
      <c r="A169" s="230"/>
      <c r="B169" s="208"/>
      <c r="C169" s="205"/>
      <c r="D169" s="205"/>
      <c r="E169" s="205"/>
      <c r="F169" s="206"/>
      <c r="G169" s="205"/>
      <c r="H169" s="211"/>
      <c r="I169" s="234"/>
      <c r="J169" s="205"/>
      <c r="K169" s="205"/>
      <c r="M169">
        <f t="shared" si="1"/>
        <v>0</v>
      </c>
    </row>
    <row r="170" spans="1:13" x14ac:dyDescent="0.25">
      <c r="A170" s="230"/>
      <c r="B170" s="208"/>
      <c r="C170" s="205"/>
      <c r="D170" s="205"/>
      <c r="E170" s="205"/>
      <c r="F170" s="206"/>
      <c r="G170" s="205"/>
      <c r="H170" s="211"/>
      <c r="I170" s="234"/>
      <c r="J170" s="205"/>
      <c r="K170" s="205"/>
      <c r="M170">
        <f t="shared" si="1"/>
        <v>0</v>
      </c>
    </row>
    <row r="171" spans="1:13" x14ac:dyDescent="0.25">
      <c r="A171" s="230"/>
      <c r="B171" s="208"/>
      <c r="C171" s="205"/>
      <c r="D171" s="205"/>
      <c r="E171" s="205"/>
      <c r="F171" s="206"/>
      <c r="G171" s="205"/>
      <c r="H171" s="211"/>
      <c r="I171" s="234"/>
      <c r="J171" s="205"/>
      <c r="K171" s="205"/>
      <c r="M171">
        <f t="shared" si="1"/>
        <v>0</v>
      </c>
    </row>
    <row r="172" spans="1:13" x14ac:dyDescent="0.25">
      <c r="A172" s="230"/>
      <c r="B172" s="208"/>
      <c r="C172" s="205"/>
      <c r="D172" s="205"/>
      <c r="E172" s="205"/>
      <c r="F172" s="206"/>
      <c r="G172" s="205"/>
      <c r="H172" s="211"/>
      <c r="I172" s="234"/>
      <c r="J172" s="205"/>
      <c r="K172" s="205"/>
      <c r="M172">
        <f t="shared" si="1"/>
        <v>0</v>
      </c>
    </row>
    <row r="173" spans="1:13" x14ac:dyDescent="0.25">
      <c r="A173" s="230"/>
      <c r="B173" s="208"/>
      <c r="C173" s="205"/>
      <c r="D173" s="205"/>
      <c r="E173" s="205"/>
      <c r="F173" s="206"/>
      <c r="G173" s="205"/>
      <c r="H173" s="211"/>
      <c r="I173" s="234"/>
      <c r="J173" s="205"/>
      <c r="K173" s="205"/>
      <c r="M173">
        <f t="shared" si="1"/>
        <v>0</v>
      </c>
    </row>
    <row r="174" spans="1:13" x14ac:dyDescent="0.25">
      <c r="A174" s="230"/>
      <c r="B174" s="208"/>
      <c r="C174" s="205"/>
      <c r="D174" s="205"/>
      <c r="E174" s="205"/>
      <c r="F174" s="206"/>
      <c r="G174" s="205"/>
      <c r="H174" s="211"/>
      <c r="I174" s="234"/>
      <c r="J174" s="205"/>
      <c r="K174" s="205"/>
      <c r="M174">
        <f t="shared" si="1"/>
        <v>0</v>
      </c>
    </row>
    <row r="175" spans="1:13" x14ac:dyDescent="0.25">
      <c r="A175" s="230"/>
      <c r="B175" s="208"/>
      <c r="C175" s="205"/>
      <c r="D175" s="205"/>
      <c r="E175" s="205"/>
      <c r="F175" s="206"/>
      <c r="G175" s="205"/>
      <c r="H175" s="211"/>
      <c r="I175" s="234"/>
      <c r="J175" s="205"/>
      <c r="K175" s="205"/>
      <c r="M175">
        <f t="shared" si="1"/>
        <v>0</v>
      </c>
    </row>
    <row r="176" spans="1:13" x14ac:dyDescent="0.25">
      <c r="A176" s="230"/>
      <c r="B176" s="208"/>
      <c r="C176" s="205"/>
      <c r="D176" s="205"/>
      <c r="E176" s="205"/>
      <c r="F176" s="206"/>
      <c r="G176" s="205"/>
      <c r="H176" s="211"/>
      <c r="I176" s="234"/>
      <c r="J176" s="205"/>
      <c r="K176" s="205"/>
      <c r="M176">
        <f t="shared" si="1"/>
        <v>0</v>
      </c>
    </row>
    <row r="177" spans="1:13" x14ac:dyDescent="0.25">
      <c r="A177" s="230"/>
      <c r="B177" s="208"/>
      <c r="C177" s="205"/>
      <c r="D177" s="205"/>
      <c r="E177" s="205"/>
      <c r="F177" s="206"/>
      <c r="G177" s="205"/>
      <c r="H177" s="211"/>
      <c r="I177" s="234"/>
      <c r="J177" s="205"/>
      <c r="K177" s="205"/>
      <c r="M177">
        <f t="shared" si="1"/>
        <v>0</v>
      </c>
    </row>
    <row r="178" spans="1:13" x14ac:dyDescent="0.25">
      <c r="A178" s="230"/>
      <c r="B178" s="208"/>
      <c r="C178" s="205"/>
      <c r="D178" s="205"/>
      <c r="E178" s="205"/>
      <c r="F178" s="206"/>
      <c r="G178" s="205"/>
      <c r="H178" s="211"/>
      <c r="I178" s="234"/>
      <c r="J178" s="205"/>
      <c r="K178" s="205"/>
      <c r="M178">
        <f t="shared" si="1"/>
        <v>0</v>
      </c>
    </row>
    <row r="179" spans="1:13" x14ac:dyDescent="0.25">
      <c r="A179" s="230"/>
      <c r="B179" s="208"/>
      <c r="C179" s="205"/>
      <c r="D179" s="205"/>
      <c r="E179" s="205"/>
      <c r="F179" s="206"/>
      <c r="G179" s="205"/>
      <c r="H179" s="211"/>
      <c r="I179" s="234"/>
      <c r="J179" s="205"/>
      <c r="K179" s="205"/>
      <c r="M179">
        <f t="shared" si="1"/>
        <v>0</v>
      </c>
    </row>
    <row r="180" spans="1:13" x14ac:dyDescent="0.25">
      <c r="A180" s="230"/>
      <c r="B180" s="208"/>
      <c r="C180" s="205"/>
      <c r="D180" s="205"/>
      <c r="E180" s="205"/>
      <c r="F180" s="206"/>
      <c r="G180" s="205"/>
      <c r="H180" s="211"/>
      <c r="I180" s="234"/>
      <c r="J180" s="205"/>
      <c r="K180" s="205"/>
      <c r="M180">
        <f t="shared" si="1"/>
        <v>0</v>
      </c>
    </row>
    <row r="181" spans="1:13" x14ac:dyDescent="0.25">
      <c r="A181" s="230"/>
      <c r="B181" s="208"/>
      <c r="C181" s="205"/>
      <c r="D181" s="205"/>
      <c r="E181" s="205"/>
      <c r="F181" s="206"/>
      <c r="G181" s="205"/>
      <c r="H181" s="211"/>
      <c r="I181" s="234"/>
      <c r="J181" s="205"/>
      <c r="K181" s="205"/>
      <c r="M181">
        <f t="shared" si="1"/>
        <v>0</v>
      </c>
    </row>
    <row r="182" spans="1:13" x14ac:dyDescent="0.25">
      <c r="A182" s="230"/>
      <c r="B182" s="208"/>
      <c r="C182" s="205"/>
      <c r="D182" s="205"/>
      <c r="E182" s="205"/>
      <c r="F182" s="206"/>
      <c r="G182" s="205"/>
      <c r="H182" s="211"/>
      <c r="I182" s="234"/>
      <c r="J182" s="205"/>
      <c r="K182" s="205"/>
      <c r="M182">
        <f t="shared" si="1"/>
        <v>0</v>
      </c>
    </row>
    <row r="183" spans="1:13" x14ac:dyDescent="0.25">
      <c r="A183" s="230"/>
      <c r="B183" s="208"/>
      <c r="C183" s="205"/>
      <c r="D183" s="205"/>
      <c r="E183" s="205"/>
      <c r="F183" s="206"/>
      <c r="G183" s="205"/>
      <c r="H183" s="211"/>
      <c r="I183" s="234"/>
      <c r="J183" s="205"/>
      <c r="K183" s="205"/>
      <c r="M183">
        <f t="shared" si="1"/>
        <v>0</v>
      </c>
    </row>
    <row r="184" spans="1:13" x14ac:dyDescent="0.25">
      <c r="A184" s="230"/>
      <c r="B184" s="208"/>
      <c r="C184" s="205"/>
      <c r="D184" s="205"/>
      <c r="E184" s="205"/>
      <c r="F184" s="206"/>
      <c r="G184" s="205"/>
      <c r="H184" s="211"/>
      <c r="I184" s="234"/>
      <c r="J184" s="205"/>
      <c r="K184" s="205"/>
      <c r="M184">
        <f t="shared" si="1"/>
        <v>0</v>
      </c>
    </row>
    <row r="185" spans="1:13" x14ac:dyDescent="0.25">
      <c r="A185" s="230"/>
      <c r="B185" s="208"/>
      <c r="C185" s="205"/>
      <c r="D185" s="205"/>
      <c r="E185" s="205"/>
      <c r="F185" s="206"/>
      <c r="G185" s="205"/>
      <c r="H185" s="211"/>
      <c r="I185" s="234"/>
      <c r="J185" s="205"/>
      <c r="K185" s="205"/>
      <c r="M185">
        <f t="shared" si="1"/>
        <v>0</v>
      </c>
    </row>
    <row r="186" spans="1:13" x14ac:dyDescent="0.25">
      <c r="A186" s="230"/>
      <c r="B186" s="208"/>
      <c r="C186" s="205"/>
      <c r="D186" s="205"/>
      <c r="E186" s="205"/>
      <c r="F186" s="206"/>
      <c r="G186" s="205"/>
      <c r="H186" s="211"/>
      <c r="I186" s="234"/>
      <c r="J186" s="205"/>
      <c r="K186" s="205"/>
      <c r="M186">
        <f t="shared" si="1"/>
        <v>0</v>
      </c>
    </row>
    <row r="187" spans="1:13" x14ac:dyDescent="0.25">
      <c r="A187" s="230"/>
      <c r="B187" s="208"/>
      <c r="C187" s="205"/>
      <c r="D187" s="205"/>
      <c r="E187" s="205"/>
      <c r="F187" s="206"/>
      <c r="G187" s="205"/>
      <c r="H187" s="211"/>
      <c r="I187" s="234"/>
      <c r="J187" s="205"/>
      <c r="K187" s="205"/>
      <c r="M187">
        <f t="shared" si="1"/>
        <v>0</v>
      </c>
    </row>
    <row r="188" spans="1:13" x14ac:dyDescent="0.25">
      <c r="A188" s="230"/>
      <c r="B188" s="208"/>
      <c r="C188" s="205"/>
      <c r="D188" s="205"/>
      <c r="E188" s="205"/>
      <c r="F188" s="206"/>
      <c r="G188" s="205"/>
      <c r="H188" s="211"/>
      <c r="I188" s="234"/>
      <c r="J188" s="205"/>
      <c r="K188" s="205"/>
      <c r="M188">
        <f t="shared" si="1"/>
        <v>0</v>
      </c>
    </row>
    <row r="189" spans="1:13" x14ac:dyDescent="0.25">
      <c r="A189" s="230"/>
      <c r="B189" s="208"/>
      <c r="C189" s="205"/>
      <c r="D189" s="205"/>
      <c r="E189" s="205"/>
      <c r="F189" s="206"/>
      <c r="G189" s="205"/>
      <c r="H189" s="211"/>
      <c r="I189" s="234"/>
      <c r="J189" s="205"/>
      <c r="K189" s="205"/>
      <c r="M189">
        <f t="shared" si="1"/>
        <v>0</v>
      </c>
    </row>
    <row r="190" spans="1:13" x14ac:dyDescent="0.25">
      <c r="A190" s="230"/>
      <c r="B190" s="208"/>
      <c r="C190" s="205"/>
      <c r="D190" s="205"/>
      <c r="E190" s="205"/>
      <c r="F190" s="206"/>
      <c r="G190" s="205"/>
      <c r="H190" s="211"/>
      <c r="I190" s="234"/>
      <c r="J190" s="205"/>
      <c r="K190" s="205"/>
      <c r="M190">
        <f t="shared" si="1"/>
        <v>0</v>
      </c>
    </row>
    <row r="191" spans="1:13" x14ac:dyDescent="0.25">
      <c r="A191" s="230"/>
      <c r="B191" s="208"/>
      <c r="C191" s="205"/>
      <c r="D191" s="205"/>
      <c r="E191" s="205"/>
      <c r="F191" s="206"/>
      <c r="G191" s="205"/>
      <c r="H191" s="211"/>
      <c r="I191" s="234"/>
      <c r="J191" s="205"/>
      <c r="K191" s="205"/>
      <c r="M191">
        <f t="shared" si="1"/>
        <v>0</v>
      </c>
    </row>
    <row r="192" spans="1:13" x14ac:dyDescent="0.25">
      <c r="A192" s="230"/>
      <c r="B192" s="208"/>
      <c r="C192" s="205"/>
      <c r="D192" s="205"/>
      <c r="E192" s="205"/>
      <c r="F192" s="206"/>
      <c r="G192" s="205"/>
      <c r="H192" s="211"/>
      <c r="I192" s="234"/>
      <c r="J192" s="205"/>
      <c r="K192" s="205"/>
      <c r="M192">
        <f t="shared" si="1"/>
        <v>0</v>
      </c>
    </row>
    <row r="193" spans="1:16" x14ac:dyDescent="0.25">
      <c r="A193" s="230"/>
      <c r="B193" s="208"/>
      <c r="C193" s="205"/>
      <c r="D193" s="205"/>
      <c r="E193" s="205"/>
      <c r="F193" s="206"/>
      <c r="G193" s="205"/>
      <c r="H193" s="211"/>
      <c r="I193" s="234"/>
      <c r="J193" s="205"/>
      <c r="K193" s="205"/>
      <c r="M193">
        <f t="shared" si="1"/>
        <v>0</v>
      </c>
    </row>
    <row r="194" spans="1:16" x14ac:dyDescent="0.25">
      <c r="A194" s="230"/>
      <c r="B194" s="208"/>
      <c r="C194" s="205"/>
      <c r="D194" s="205"/>
      <c r="E194" s="205"/>
      <c r="F194" s="206"/>
      <c r="G194" s="205"/>
      <c r="H194" s="211"/>
      <c r="I194" s="234"/>
      <c r="J194" s="205"/>
      <c r="K194" s="205"/>
      <c r="M194">
        <f t="shared" si="1"/>
        <v>0</v>
      </c>
    </row>
    <row r="195" spans="1:16" x14ac:dyDescent="0.25">
      <c r="A195" s="230"/>
      <c r="B195" s="208"/>
      <c r="C195" s="205"/>
      <c r="D195" s="205"/>
      <c r="E195" s="205"/>
      <c r="F195" s="206"/>
      <c r="G195" s="205"/>
      <c r="H195" s="211"/>
      <c r="I195" s="234"/>
      <c r="J195" s="205"/>
      <c r="K195" s="205"/>
      <c r="M195">
        <f t="shared" si="1"/>
        <v>0</v>
      </c>
    </row>
    <row r="196" spans="1:16" x14ac:dyDescent="0.25">
      <c r="A196" s="230"/>
      <c r="B196" s="208"/>
      <c r="C196" s="205"/>
      <c r="D196" s="205"/>
      <c r="E196" s="205"/>
      <c r="F196" s="206"/>
      <c r="G196" s="205"/>
      <c r="H196" s="211"/>
      <c r="I196" s="234"/>
      <c r="J196" s="205"/>
      <c r="K196" s="205"/>
      <c r="M196">
        <f t="shared" si="1"/>
        <v>0</v>
      </c>
    </row>
    <row r="197" spans="1:16" x14ac:dyDescent="0.25">
      <c r="A197" s="230"/>
      <c r="B197" s="208"/>
      <c r="C197" s="205"/>
      <c r="D197" s="205"/>
      <c r="E197" s="205"/>
      <c r="F197" s="206"/>
      <c r="G197" s="205"/>
      <c r="H197" s="211"/>
      <c r="I197" s="234"/>
      <c r="J197" s="205"/>
      <c r="K197" s="205"/>
      <c r="M197">
        <f t="shared" si="1"/>
        <v>0</v>
      </c>
    </row>
    <row r="198" spans="1:16" x14ac:dyDescent="0.25">
      <c r="A198" s="230"/>
      <c r="B198" s="208"/>
      <c r="C198" s="205"/>
      <c r="D198" s="205"/>
      <c r="E198" s="205"/>
      <c r="F198" s="206"/>
      <c r="G198" s="205"/>
      <c r="H198" s="211"/>
      <c r="I198" s="234"/>
      <c r="J198" s="205"/>
      <c r="K198" s="205"/>
      <c r="M198">
        <f t="shared" si="1"/>
        <v>0</v>
      </c>
    </row>
    <row r="199" spans="1:16" x14ac:dyDescent="0.25">
      <c r="A199" s="230"/>
      <c r="B199" s="208"/>
      <c r="C199" s="205"/>
      <c r="D199" s="205"/>
      <c r="E199" s="205"/>
      <c r="F199" s="206"/>
      <c r="G199" s="205"/>
      <c r="H199" s="211"/>
      <c r="I199" s="234"/>
      <c r="J199" s="205"/>
      <c r="K199" s="205"/>
      <c r="M199">
        <f t="shared" si="1"/>
        <v>0</v>
      </c>
    </row>
    <row r="200" spans="1:16" x14ac:dyDescent="0.25">
      <c r="A200" s="230"/>
      <c r="B200" s="208"/>
      <c r="C200" s="205"/>
      <c r="D200" s="205"/>
      <c r="E200" s="205"/>
      <c r="F200" s="206"/>
      <c r="G200" s="205"/>
      <c r="H200" s="211"/>
      <c r="I200" s="234"/>
      <c r="J200" s="205"/>
      <c r="K200" s="205"/>
      <c r="M200">
        <f t="shared" si="1"/>
        <v>0</v>
      </c>
    </row>
    <row r="201" spans="1:16" x14ac:dyDescent="0.25">
      <c r="A201" s="230"/>
      <c r="B201" s="208"/>
      <c r="C201" s="205"/>
      <c r="D201" s="205"/>
      <c r="E201" s="205"/>
      <c r="F201" s="206"/>
      <c r="G201" s="205"/>
      <c r="H201" s="211"/>
      <c r="I201" s="234"/>
      <c r="J201" s="205"/>
      <c r="K201" s="205"/>
    </row>
    <row r="202" spans="1:16" x14ac:dyDescent="0.25">
      <c r="A202" s="197"/>
      <c r="B202" s="79"/>
      <c r="C202" s="199"/>
      <c r="D202" s="199"/>
      <c r="E202" s="199"/>
      <c r="F202" s="200"/>
      <c r="G202" s="199"/>
      <c r="H202" s="209"/>
      <c r="I202" s="210"/>
      <c r="J202" s="199"/>
      <c r="K202" s="199"/>
      <c r="M202">
        <f>SUM(M12:M200)</f>
        <v>23153.599999999999</v>
      </c>
    </row>
    <row r="203" spans="1:16" x14ac:dyDescent="0.25">
      <c r="H203" s="25"/>
      <c r="I203" s="90"/>
    </row>
    <row r="205" spans="1:16" x14ac:dyDescent="0.25">
      <c r="I205" s="92" t="s">
        <v>19</v>
      </c>
      <c r="J205" s="26"/>
    </row>
    <row r="206" spans="1:16" ht="16.5" customHeight="1" x14ac:dyDescent="0.25">
      <c r="B206" t="s">
        <v>20</v>
      </c>
      <c r="E206" t="s">
        <v>21</v>
      </c>
      <c r="I206" s="81" t="s">
        <v>114</v>
      </c>
      <c r="J206" s="97">
        <v>71</v>
      </c>
      <c r="P206" s="25"/>
    </row>
    <row r="207" spans="1:16" x14ac:dyDescent="0.25">
      <c r="I207" s="81" t="s">
        <v>115</v>
      </c>
      <c r="J207" s="97"/>
      <c r="K207" s="57"/>
    </row>
    <row r="208" spans="1:16" x14ac:dyDescent="0.25">
      <c r="I208" s="81" t="s">
        <v>165</v>
      </c>
      <c r="J208" s="99">
        <v>108200</v>
      </c>
      <c r="K208" s="57"/>
    </row>
    <row r="209" spans="2:10" x14ac:dyDescent="0.25">
      <c r="I209" s="81" t="s">
        <v>567</v>
      </c>
      <c r="J209" s="99"/>
    </row>
    <row r="210" spans="2:10" x14ac:dyDescent="0.25">
      <c r="B210" s="93" t="s">
        <v>538</v>
      </c>
      <c r="E210" s="533" t="s">
        <v>941</v>
      </c>
      <c r="F210" s="533"/>
      <c r="G210" s="533"/>
      <c r="H210" s="533"/>
      <c r="I210" s="81" t="s">
        <v>116</v>
      </c>
      <c r="J210" s="99"/>
    </row>
    <row r="211" spans="2:10" x14ac:dyDescent="0.25">
      <c r="B211" t="s">
        <v>183</v>
      </c>
      <c r="E211" s="522" t="s">
        <v>942</v>
      </c>
      <c r="F211" s="522"/>
      <c r="G211" s="522"/>
      <c r="H211" s="522"/>
      <c r="I211" s="81" t="s">
        <v>117</v>
      </c>
      <c r="J211" s="99">
        <v>618</v>
      </c>
    </row>
    <row r="212" spans="2:10" x14ac:dyDescent="0.25">
      <c r="I212" s="81" t="s">
        <v>119</v>
      </c>
      <c r="J212" s="99">
        <v>9950</v>
      </c>
    </row>
    <row r="213" spans="2:10" x14ac:dyDescent="0.25">
      <c r="I213" s="94" t="s">
        <v>113</v>
      </c>
      <c r="J213" s="97"/>
    </row>
    <row r="214" spans="2:10" x14ac:dyDescent="0.25">
      <c r="I214" s="81" t="s">
        <v>23</v>
      </c>
      <c r="J214" s="98"/>
    </row>
    <row r="215" spans="2:10" x14ac:dyDescent="0.25">
      <c r="I215" s="95" t="s">
        <v>111</v>
      </c>
      <c r="J215" s="99"/>
    </row>
    <row r="216" spans="2:10" x14ac:dyDescent="0.25">
      <c r="B216" s="27"/>
      <c r="E216" s="27"/>
      <c r="F216" s="27"/>
      <c r="G216" s="27"/>
      <c r="I216" s="95" t="s">
        <v>112</v>
      </c>
      <c r="J216" s="58"/>
    </row>
    <row r="217" spans="2:10" x14ac:dyDescent="0.25">
      <c r="I217" s="81"/>
      <c r="J217" s="26"/>
    </row>
    <row r="218" spans="2:10" x14ac:dyDescent="0.25">
      <c r="I218" s="81"/>
      <c r="J218" s="26"/>
    </row>
    <row r="219" spans="2:10" x14ac:dyDescent="0.25">
      <c r="I219" s="81"/>
      <c r="J219" s="58"/>
    </row>
    <row r="220" spans="2:10" x14ac:dyDescent="0.25">
      <c r="I220" s="81"/>
      <c r="J220" s="58"/>
    </row>
    <row r="240" spans="12:12" x14ac:dyDescent="0.25">
      <c r="L240" s="25"/>
    </row>
    <row r="263" spans="12:12" x14ac:dyDescent="0.25">
      <c r="L263" s="25"/>
    </row>
    <row r="390" spans="12:12" x14ac:dyDescent="0.25">
      <c r="L390" s="25"/>
    </row>
  </sheetData>
  <mergeCells count="9">
    <mergeCell ref="Q15:Q16"/>
    <mergeCell ref="E210:H210"/>
    <mergeCell ref="E211:H211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O31"/>
  <sheetViews>
    <sheetView view="pageBreakPreview" zoomScale="96" zoomScaleNormal="100" zoomScaleSheetLayoutView="96" workbookViewId="0">
      <selection activeCell="H17" sqref="H17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6.7109375" customWidth="1"/>
    <col min="9" max="9" width="19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</row>
    <row r="2" spans="1:15" ht="18" x14ac:dyDescent="0.25">
      <c r="A2" s="524" t="s">
        <v>593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</row>
    <row r="3" spans="1:15" x14ac:dyDescent="0.25">
      <c r="A3" s="183"/>
      <c r="B3" s="1"/>
      <c r="C3" s="28"/>
      <c r="D3" s="1"/>
      <c r="E3" s="1"/>
      <c r="G3" s="1"/>
      <c r="H3" s="28"/>
      <c r="I3" s="25"/>
      <c r="J3" s="29"/>
      <c r="K3" s="526" t="s">
        <v>939</v>
      </c>
      <c r="L3" s="536"/>
    </row>
    <row r="4" spans="1:15" x14ac:dyDescent="0.25">
      <c r="A4" s="183"/>
      <c r="B4" s="1"/>
      <c r="C4" s="28"/>
      <c r="D4" s="1"/>
      <c r="E4" s="1"/>
      <c r="G4" s="1"/>
      <c r="H4" s="28"/>
      <c r="I4" s="25"/>
      <c r="J4" s="29"/>
      <c r="K4" s="31" t="s">
        <v>37</v>
      </c>
      <c r="L4" s="100">
        <v>5</v>
      </c>
    </row>
    <row r="5" spans="1:15" x14ac:dyDescent="0.25">
      <c r="A5" s="183"/>
      <c r="B5" s="1"/>
      <c r="C5" s="28"/>
      <c r="D5" s="1"/>
      <c r="E5" s="1"/>
      <c r="G5" s="1"/>
      <c r="H5" s="28"/>
      <c r="I5" s="25"/>
      <c r="J5" s="29"/>
      <c r="K5" s="31" t="s">
        <v>38</v>
      </c>
      <c r="L5" s="100">
        <v>0</v>
      </c>
    </row>
    <row r="6" spans="1:15" ht="18" x14ac:dyDescent="0.25">
      <c r="A6" s="528" t="s">
        <v>122</v>
      </c>
      <c r="B6" s="528"/>
      <c r="C6" s="32"/>
      <c r="D6" s="1"/>
      <c r="E6" s="4"/>
      <c r="F6" s="2"/>
      <c r="G6" s="1"/>
      <c r="H6" s="28"/>
      <c r="I6" s="25"/>
      <c r="J6" s="29"/>
      <c r="K6" s="5" t="s">
        <v>39</v>
      </c>
      <c r="L6" s="33"/>
    </row>
    <row r="7" spans="1:15" x14ac:dyDescent="0.25">
      <c r="A7" s="6"/>
      <c r="B7" s="7"/>
      <c r="C7" s="34" t="s">
        <v>24</v>
      </c>
      <c r="D7" s="8"/>
      <c r="E7" s="8"/>
      <c r="F7" s="35" t="s">
        <v>25</v>
      </c>
      <c r="G7" s="34" t="s">
        <v>26</v>
      </c>
      <c r="H7" s="529" t="s">
        <v>27</v>
      </c>
      <c r="I7" s="530"/>
      <c r="J7" s="36"/>
      <c r="K7" s="531" t="s">
        <v>2</v>
      </c>
      <c r="L7" s="532"/>
    </row>
    <row r="8" spans="1:15" x14ac:dyDescent="0.25">
      <c r="A8" s="519" t="s">
        <v>28</v>
      </c>
      <c r="B8" s="520"/>
      <c r="C8" s="35" t="s">
        <v>29</v>
      </c>
      <c r="D8" s="184" t="s">
        <v>5</v>
      </c>
      <c r="E8" s="9" t="s">
        <v>6</v>
      </c>
      <c r="F8" s="35" t="s">
        <v>30</v>
      </c>
      <c r="G8" s="37" t="s">
        <v>31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7"/>
      <c r="B9" s="14"/>
      <c r="C9" s="35" t="s">
        <v>32</v>
      </c>
      <c r="D9" s="15"/>
      <c r="E9" s="14"/>
      <c r="F9" s="35" t="s">
        <v>33</v>
      </c>
      <c r="G9" s="37" t="s">
        <v>34</v>
      </c>
      <c r="H9" s="40" t="s">
        <v>11</v>
      </c>
      <c r="I9" s="39" t="s">
        <v>12</v>
      </c>
      <c r="J9" s="41"/>
      <c r="K9" s="184" t="s">
        <v>13</v>
      </c>
      <c r="L9" s="184" t="s">
        <v>14</v>
      </c>
    </row>
    <row r="10" spans="1:15" x14ac:dyDescent="0.25">
      <c r="A10" s="18"/>
      <c r="B10" s="19"/>
      <c r="C10" s="42"/>
      <c r="D10" s="20"/>
      <c r="E10" s="20"/>
      <c r="F10" s="43" t="s">
        <v>35</v>
      </c>
      <c r="G10" s="22"/>
      <c r="H10" s="44"/>
      <c r="I10" s="45" t="s">
        <v>36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x14ac:dyDescent="0.25">
      <c r="A12" s="219">
        <v>14</v>
      </c>
      <c r="B12" s="220" t="s">
        <v>776</v>
      </c>
      <c r="C12" s="49"/>
      <c r="D12" s="48"/>
      <c r="E12" s="48" t="s">
        <v>577</v>
      </c>
      <c r="F12" s="231" t="s">
        <v>777</v>
      </c>
      <c r="G12" s="220" t="s">
        <v>778</v>
      </c>
      <c r="H12" s="220" t="s">
        <v>180</v>
      </c>
      <c r="I12" s="221">
        <v>20000</v>
      </c>
      <c r="J12" s="194"/>
      <c r="K12" s="79" t="s">
        <v>779</v>
      </c>
      <c r="L12" s="145" t="s">
        <v>43</v>
      </c>
    </row>
    <row r="13" spans="1:15" x14ac:dyDescent="0.25">
      <c r="A13" s="277">
        <v>15</v>
      </c>
      <c r="B13" s="220" t="s">
        <v>776</v>
      </c>
      <c r="C13" s="49"/>
      <c r="D13" s="48"/>
      <c r="E13" s="48" t="s">
        <v>577</v>
      </c>
      <c r="F13" s="231" t="s">
        <v>777</v>
      </c>
      <c r="G13" s="220" t="s">
        <v>778</v>
      </c>
      <c r="H13" s="220" t="s">
        <v>180</v>
      </c>
      <c r="I13" s="221">
        <v>30000</v>
      </c>
      <c r="J13" s="194"/>
      <c r="K13" s="79" t="s">
        <v>779</v>
      </c>
      <c r="L13" s="145" t="s">
        <v>43</v>
      </c>
    </row>
    <row r="14" spans="1:15" ht="21" customHeight="1" x14ac:dyDescent="0.25">
      <c r="A14" s="190">
        <v>15</v>
      </c>
      <c r="B14" s="238" t="s">
        <v>800</v>
      </c>
      <c r="C14" s="190"/>
      <c r="D14" s="239"/>
      <c r="E14" s="145" t="s">
        <v>80</v>
      </c>
      <c r="F14" s="240" t="s">
        <v>801</v>
      </c>
      <c r="G14" s="241" t="s">
        <v>802</v>
      </c>
      <c r="H14" s="192" t="s">
        <v>42</v>
      </c>
      <c r="I14" s="278">
        <v>10000</v>
      </c>
      <c r="J14" s="194"/>
      <c r="K14" s="79" t="s">
        <v>255</v>
      </c>
      <c r="L14" s="145" t="s">
        <v>43</v>
      </c>
      <c r="M14" s="132"/>
    </row>
    <row r="15" spans="1:15" ht="17.25" customHeight="1" x14ac:dyDescent="0.25">
      <c r="A15" s="291">
        <v>22</v>
      </c>
      <c r="B15" s="238" t="s">
        <v>859</v>
      </c>
      <c r="C15" s="190"/>
      <c r="D15" s="239"/>
      <c r="E15" s="145" t="s">
        <v>70</v>
      </c>
      <c r="F15" s="191"/>
      <c r="G15" s="145" t="s">
        <v>860</v>
      </c>
      <c r="H15" s="192" t="s">
        <v>42</v>
      </c>
      <c r="I15" s="242">
        <v>3000</v>
      </c>
      <c r="J15" s="194"/>
      <c r="K15" s="79" t="s">
        <v>255</v>
      </c>
      <c r="L15" s="145" t="s">
        <v>43</v>
      </c>
      <c r="M15" s="132"/>
      <c r="O15" s="57"/>
    </row>
    <row r="16" spans="1:15" ht="18" customHeight="1" x14ac:dyDescent="0.25">
      <c r="A16" s="292">
        <v>24</v>
      </c>
      <c r="B16" s="280" t="s">
        <v>877</v>
      </c>
      <c r="C16" s="279"/>
      <c r="D16" s="281"/>
      <c r="E16" s="282" t="s">
        <v>90</v>
      </c>
      <c r="F16" s="283" t="s">
        <v>878</v>
      </c>
      <c r="G16" s="282" t="s">
        <v>879</v>
      </c>
      <c r="H16" s="284" t="s">
        <v>42</v>
      </c>
      <c r="I16" s="242">
        <v>14220</v>
      </c>
      <c r="J16" s="285"/>
      <c r="K16" s="80" t="s">
        <v>255</v>
      </c>
      <c r="L16" s="282" t="s">
        <v>43</v>
      </c>
      <c r="O16" s="57"/>
    </row>
    <row r="17" spans="1:15" ht="16.5" customHeight="1" x14ac:dyDescent="0.25">
      <c r="A17" s="222"/>
      <c r="B17" s="179"/>
      <c r="C17" s="79"/>
      <c r="D17" s="79"/>
      <c r="E17" s="79"/>
      <c r="F17" s="223"/>
      <c r="G17" s="79"/>
      <c r="H17" s="224"/>
      <c r="I17" s="195"/>
      <c r="J17" s="225"/>
      <c r="K17" s="79"/>
      <c r="L17" s="79"/>
      <c r="O17" s="57"/>
    </row>
    <row r="18" spans="1:15" x14ac:dyDescent="0.25">
      <c r="A18" s="222"/>
      <c r="B18" s="79"/>
      <c r="C18" s="190"/>
      <c r="D18" s="79"/>
      <c r="E18" s="79"/>
      <c r="F18" s="223"/>
      <c r="G18" s="79"/>
      <c r="H18" s="107"/>
      <c r="I18" s="195"/>
      <c r="J18" s="190"/>
      <c r="K18" s="79"/>
      <c r="L18" s="79"/>
      <c r="O18" s="57"/>
    </row>
    <row r="19" spans="1:15" x14ac:dyDescent="0.25">
      <c r="I19" s="26"/>
      <c r="J19" s="26"/>
    </row>
    <row r="20" spans="1:15" x14ac:dyDescent="0.25">
      <c r="I20" s="51" t="s">
        <v>19</v>
      </c>
      <c r="J20" s="26"/>
    </row>
    <row r="21" spans="1:15" x14ac:dyDescent="0.25">
      <c r="I21" s="26" t="s">
        <v>114</v>
      </c>
      <c r="J21" s="26"/>
    </row>
    <row r="22" spans="1:15" x14ac:dyDescent="0.25">
      <c r="B22" t="s">
        <v>20</v>
      </c>
      <c r="E22" t="s">
        <v>21</v>
      </c>
      <c r="I22" s="26" t="s">
        <v>115</v>
      </c>
      <c r="J22" s="99">
        <v>5</v>
      </c>
    </row>
    <row r="23" spans="1:15" x14ac:dyDescent="0.25">
      <c r="I23" s="26" t="s">
        <v>184</v>
      </c>
      <c r="J23" s="99">
        <v>27220</v>
      </c>
    </row>
    <row r="24" spans="1:15" x14ac:dyDescent="0.25">
      <c r="I24" s="26" t="s">
        <v>589</v>
      </c>
      <c r="J24" s="99">
        <v>0</v>
      </c>
    </row>
    <row r="25" spans="1:15" x14ac:dyDescent="0.25">
      <c r="I25" s="26" t="s">
        <v>116</v>
      </c>
      <c r="J25" s="99">
        <v>50000</v>
      </c>
    </row>
    <row r="26" spans="1:15" x14ac:dyDescent="0.25">
      <c r="I26" s="26" t="s">
        <v>118</v>
      </c>
      <c r="J26" s="97">
        <v>0</v>
      </c>
    </row>
    <row r="27" spans="1:15" x14ac:dyDescent="0.25">
      <c r="B27" s="27" t="s">
        <v>538</v>
      </c>
      <c r="E27" s="521" t="s">
        <v>22</v>
      </c>
      <c r="F27" s="521"/>
      <c r="G27" s="521"/>
      <c r="H27" s="521"/>
      <c r="I27" s="26" t="s">
        <v>119</v>
      </c>
      <c r="J27" s="99">
        <v>0</v>
      </c>
      <c r="L27" s="57"/>
    </row>
    <row r="28" spans="1:15" x14ac:dyDescent="0.25">
      <c r="B28" t="s">
        <v>183</v>
      </c>
      <c r="E28" s="522" t="s">
        <v>185</v>
      </c>
      <c r="F28" s="522"/>
      <c r="G28" s="522"/>
      <c r="H28" s="522"/>
      <c r="I28" s="26" t="s">
        <v>120</v>
      </c>
      <c r="J28" s="97">
        <v>0</v>
      </c>
      <c r="L28" s="57"/>
    </row>
    <row r="29" spans="1:15" x14ac:dyDescent="0.25">
      <c r="I29" s="26" t="s">
        <v>23</v>
      </c>
      <c r="J29" s="98"/>
    </row>
    <row r="30" spans="1:15" x14ac:dyDescent="0.25">
      <c r="I30" s="3" t="s">
        <v>121</v>
      </c>
      <c r="J30" s="99"/>
    </row>
    <row r="31" spans="1:15" x14ac:dyDescent="0.25">
      <c r="I31" s="3" t="s">
        <v>91</v>
      </c>
      <c r="J31" s="99"/>
    </row>
  </sheetData>
  <mergeCells count="9">
    <mergeCell ref="E27:H27"/>
    <mergeCell ref="E28:H28"/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Q390"/>
  <sheetViews>
    <sheetView view="pageBreakPreview" topLeftCell="A197" zoomScale="106" zoomScaleNormal="100" zoomScaleSheetLayoutView="106" workbookViewId="0">
      <selection activeCell="O5" sqref="O5"/>
    </sheetView>
  </sheetViews>
  <sheetFormatPr defaultRowHeight="15" x14ac:dyDescent="0.25"/>
  <cols>
    <col min="1" max="1" width="4.7109375" style="183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91" customWidth="1"/>
    <col min="10" max="10" width="9.5703125" customWidth="1"/>
    <col min="11" max="11" width="17.85546875" customWidth="1"/>
    <col min="15" max="15" width="12.28515625" customWidth="1"/>
    <col min="16" max="16" width="20" customWidth="1"/>
    <col min="17" max="17" width="13.140625" bestFit="1" customWidth="1"/>
  </cols>
  <sheetData>
    <row r="1" spans="1:17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</row>
    <row r="2" spans="1:17" ht="18" x14ac:dyDescent="0.25">
      <c r="A2" s="524" t="s">
        <v>593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</row>
    <row r="3" spans="1:17" x14ac:dyDescent="0.25">
      <c r="B3" s="1"/>
      <c r="C3" s="3"/>
      <c r="D3" s="1"/>
      <c r="E3" s="1"/>
      <c r="G3" s="3"/>
      <c r="H3" s="67"/>
      <c r="I3" s="81"/>
      <c r="J3" s="82" t="s">
        <v>936</v>
      </c>
      <c r="K3" s="83"/>
    </row>
    <row r="4" spans="1:17" x14ac:dyDescent="0.25">
      <c r="B4" s="1"/>
      <c r="C4" s="3"/>
      <c r="D4" s="1"/>
      <c r="E4" s="1"/>
      <c r="G4" s="3"/>
      <c r="H4" s="67"/>
      <c r="I4" s="84"/>
      <c r="J4" s="76" t="s">
        <v>93</v>
      </c>
      <c r="K4" s="96">
        <v>138</v>
      </c>
    </row>
    <row r="5" spans="1:17" x14ac:dyDescent="0.25">
      <c r="B5" s="1"/>
      <c r="C5" s="3"/>
      <c r="D5" s="1"/>
      <c r="E5" s="1"/>
      <c r="G5" s="3"/>
      <c r="H5" s="67"/>
      <c r="I5" s="84"/>
      <c r="J5" s="76" t="s">
        <v>95</v>
      </c>
      <c r="K5" s="96">
        <v>21</v>
      </c>
      <c r="O5" s="448">
        <f>SUM(I22:I42,I45:I72,I74:I94,I96:I103,I105:I123,I125:I129,I131,I135:I153,I155:I200)</f>
        <v>74170</v>
      </c>
    </row>
    <row r="6" spans="1:17" x14ac:dyDescent="0.25">
      <c r="A6" s="534" t="s">
        <v>123</v>
      </c>
      <c r="B6" s="534"/>
      <c r="C6" s="3"/>
      <c r="D6" s="1"/>
      <c r="E6" s="4"/>
      <c r="G6" s="3"/>
      <c r="H6" s="67"/>
      <c r="I6" s="81"/>
      <c r="J6" s="80" t="s">
        <v>937</v>
      </c>
      <c r="K6" s="85"/>
    </row>
    <row r="7" spans="1:17" x14ac:dyDescent="0.25">
      <c r="A7" s="6"/>
      <c r="B7" s="7"/>
      <c r="C7" s="64"/>
      <c r="D7" s="8"/>
      <c r="E7" s="8"/>
      <c r="F7" s="529" t="s">
        <v>1</v>
      </c>
      <c r="G7" s="535"/>
      <c r="H7" s="530"/>
      <c r="I7" s="86"/>
      <c r="J7" s="531" t="s">
        <v>2</v>
      </c>
      <c r="K7" s="532"/>
      <c r="P7" s="25"/>
    </row>
    <row r="8" spans="1:17" x14ac:dyDescent="0.25">
      <c r="A8" s="519" t="s">
        <v>3</v>
      </c>
      <c r="B8" s="520"/>
      <c r="C8" s="17" t="s">
        <v>4</v>
      </c>
      <c r="D8" s="184" t="s">
        <v>5</v>
      </c>
      <c r="E8" s="9" t="s">
        <v>6</v>
      </c>
      <c r="F8" s="10" t="s">
        <v>7</v>
      </c>
      <c r="G8" s="65"/>
      <c r="H8" s="11" t="s">
        <v>8</v>
      </c>
      <c r="I8" s="60" t="s">
        <v>9</v>
      </c>
      <c r="J8" s="77"/>
      <c r="K8" s="13"/>
    </row>
    <row r="9" spans="1:17" x14ac:dyDescent="0.25">
      <c r="A9" s="87"/>
      <c r="B9" s="14"/>
      <c r="C9" s="65"/>
      <c r="D9" s="15"/>
      <c r="E9" s="14"/>
      <c r="F9" s="16" t="s">
        <v>10</v>
      </c>
      <c r="G9" s="17" t="s">
        <v>11</v>
      </c>
      <c r="H9" s="11" t="s">
        <v>12</v>
      </c>
      <c r="I9" s="88"/>
      <c r="J9" s="184" t="s">
        <v>13</v>
      </c>
      <c r="K9" s="184" t="s">
        <v>14</v>
      </c>
      <c r="Q9" s="232"/>
    </row>
    <row r="10" spans="1:17" x14ac:dyDescent="0.25">
      <c r="A10" s="18"/>
      <c r="B10" s="19"/>
      <c r="C10" s="66"/>
      <c r="D10" s="20"/>
      <c r="E10" s="20"/>
      <c r="F10" s="21"/>
      <c r="G10" s="68"/>
      <c r="H10" s="69" t="s">
        <v>15</v>
      </c>
      <c r="I10" s="89"/>
      <c r="J10" s="21"/>
      <c r="K10" s="22" t="s">
        <v>16</v>
      </c>
      <c r="P10" s="232"/>
      <c r="Q10" s="232"/>
    </row>
    <row r="11" spans="1:17" x14ac:dyDescent="0.25">
      <c r="A11" s="47" t="s">
        <v>17</v>
      </c>
      <c r="B11" s="23"/>
      <c r="C11" s="23"/>
      <c r="D11" s="23"/>
      <c r="E11" s="23"/>
      <c r="F11" s="23"/>
      <c r="G11" s="23"/>
      <c r="H11" s="23"/>
      <c r="I11" s="61"/>
      <c r="J11" s="23"/>
      <c r="K11" s="23"/>
      <c r="P11" s="232"/>
      <c r="Q11" s="232"/>
    </row>
    <row r="12" spans="1:17" x14ac:dyDescent="0.25">
      <c r="A12" s="236">
        <v>1</v>
      </c>
      <c r="B12" s="213" t="s">
        <v>594</v>
      </c>
      <c r="C12" s="213" t="s">
        <v>40</v>
      </c>
      <c r="D12" s="213" t="s">
        <v>595</v>
      </c>
      <c r="E12" s="213" t="s">
        <v>47</v>
      </c>
      <c r="F12" s="214" t="s">
        <v>596</v>
      </c>
      <c r="G12" s="212" t="s">
        <v>42</v>
      </c>
      <c r="H12" s="252">
        <v>900</v>
      </c>
      <c r="I12" s="253" t="s">
        <v>255</v>
      </c>
      <c r="J12" s="213" t="s">
        <v>179</v>
      </c>
      <c r="K12" s="213" t="s">
        <v>43</v>
      </c>
      <c r="M12">
        <f>H12/5</f>
        <v>180</v>
      </c>
      <c r="O12" s="25" t="s">
        <v>42</v>
      </c>
      <c r="P12" s="232">
        <f>H23+H29+H33+H39+H40+H45+H47+H51+H54+H60+H62+H64</f>
        <v>19250</v>
      </c>
    </row>
    <row r="13" spans="1:17" x14ac:dyDescent="0.25">
      <c r="A13" s="236">
        <v>1</v>
      </c>
      <c r="B13" s="213" t="s">
        <v>597</v>
      </c>
      <c r="C13" s="213" t="s">
        <v>48</v>
      </c>
      <c r="D13" s="213" t="s">
        <v>144</v>
      </c>
      <c r="E13" s="213" t="s">
        <v>47</v>
      </c>
      <c r="F13" s="214" t="s">
        <v>598</v>
      </c>
      <c r="G13" s="212" t="s">
        <v>42</v>
      </c>
      <c r="H13" s="252">
        <v>1380</v>
      </c>
      <c r="I13" s="253" t="s">
        <v>255</v>
      </c>
      <c r="J13" s="213" t="s">
        <v>179</v>
      </c>
      <c r="K13" s="213" t="s">
        <v>43</v>
      </c>
      <c r="M13">
        <f t="shared" ref="M13:M117" si="0">H13/5</f>
        <v>276</v>
      </c>
      <c r="O13" s="25"/>
      <c r="P13" s="232">
        <f>H65+H67+H71+H72+H73+H75+H77+H81+H82+H86+H91+H92+H96+H97+H98+H100+H102+H105+H112+H113+H114+H117+H120+H125</f>
        <v>36250</v>
      </c>
    </row>
    <row r="14" spans="1:17" x14ac:dyDescent="0.25">
      <c r="A14" s="236">
        <v>1</v>
      </c>
      <c r="B14" s="213" t="s">
        <v>597</v>
      </c>
      <c r="C14" s="213" t="s">
        <v>48</v>
      </c>
      <c r="D14" s="213" t="s">
        <v>144</v>
      </c>
      <c r="E14" s="213" t="s">
        <v>47</v>
      </c>
      <c r="F14" s="214" t="s">
        <v>598</v>
      </c>
      <c r="G14" s="212" t="s">
        <v>163</v>
      </c>
      <c r="H14" s="252">
        <v>150</v>
      </c>
      <c r="I14" s="253" t="s">
        <v>255</v>
      </c>
      <c r="J14" s="213" t="s">
        <v>179</v>
      </c>
      <c r="K14" s="213" t="s">
        <v>43</v>
      </c>
      <c r="M14">
        <f t="shared" si="0"/>
        <v>30</v>
      </c>
      <c r="O14" s="25"/>
      <c r="P14" s="232">
        <f>H126+H129+H130</f>
        <v>3150</v>
      </c>
    </row>
    <row r="15" spans="1:17" x14ac:dyDescent="0.25">
      <c r="A15" s="236">
        <v>1</v>
      </c>
      <c r="B15" s="213" t="s">
        <v>599</v>
      </c>
      <c r="C15" s="213" t="s">
        <v>48</v>
      </c>
      <c r="D15" s="213" t="s">
        <v>342</v>
      </c>
      <c r="E15" s="213" t="s">
        <v>47</v>
      </c>
      <c r="F15" s="214" t="s">
        <v>600</v>
      </c>
      <c r="G15" s="212" t="s">
        <v>42</v>
      </c>
      <c r="H15" s="252">
        <v>2490</v>
      </c>
      <c r="I15" s="253" t="s">
        <v>255</v>
      </c>
      <c r="J15" s="213" t="s">
        <v>179</v>
      </c>
      <c r="K15" s="213" t="s">
        <v>43</v>
      </c>
      <c r="M15">
        <f t="shared" si="0"/>
        <v>498</v>
      </c>
      <c r="O15" s="232">
        <f>H131+H132+H133+H134+H135+H136+H139+H147+H149+H150+H151+H152+H153+H154+H155+H156+H157+H158+H159+H160</f>
        <v>26570</v>
      </c>
      <c r="P15" s="232">
        <f>O15+Q15</f>
        <v>39570</v>
      </c>
      <c r="Q15" s="345">
        <v>13000</v>
      </c>
    </row>
    <row r="16" spans="1:17" x14ac:dyDescent="0.25">
      <c r="A16" s="236">
        <v>1</v>
      </c>
      <c r="B16" s="213" t="s">
        <v>599</v>
      </c>
      <c r="C16" s="213" t="s">
        <v>48</v>
      </c>
      <c r="D16" s="213" t="s">
        <v>342</v>
      </c>
      <c r="E16" s="213" t="s">
        <v>47</v>
      </c>
      <c r="F16" s="214" t="s">
        <v>600</v>
      </c>
      <c r="G16" s="212" t="s">
        <v>163</v>
      </c>
      <c r="H16" s="252">
        <v>200</v>
      </c>
      <c r="I16" s="253" t="s">
        <v>255</v>
      </c>
      <c r="J16" s="213" t="s">
        <v>179</v>
      </c>
      <c r="K16" s="213" t="s">
        <v>43</v>
      </c>
      <c r="M16">
        <f t="shared" si="0"/>
        <v>40</v>
      </c>
      <c r="O16" s="57">
        <f>H161+H162+H163+H164+H165+H167+H169+H170+H171+H172+H173+H174+H175+H176+H177+H178+H179+H180+H183+H186+H187+H189+H190+H192+H194+H195+H196+H198+H199</f>
        <v>46400</v>
      </c>
      <c r="P16" s="232">
        <f>O16+Q16</f>
        <v>60620</v>
      </c>
      <c r="Q16">
        <v>14220</v>
      </c>
    </row>
    <row r="17" spans="1:17" x14ac:dyDescent="0.25">
      <c r="A17" s="236">
        <v>1</v>
      </c>
      <c r="B17" s="213" t="s">
        <v>601</v>
      </c>
      <c r="C17" s="213" t="s">
        <v>40</v>
      </c>
      <c r="D17" s="213" t="s">
        <v>602</v>
      </c>
      <c r="E17" s="213" t="s">
        <v>47</v>
      </c>
      <c r="F17" s="214" t="s">
        <v>603</v>
      </c>
      <c r="G17" s="212" t="s">
        <v>42</v>
      </c>
      <c r="H17" s="252">
        <v>948</v>
      </c>
      <c r="I17" s="253" t="s">
        <v>255</v>
      </c>
      <c r="J17" s="213" t="s">
        <v>179</v>
      </c>
      <c r="K17" s="213" t="s">
        <v>43</v>
      </c>
      <c r="M17">
        <f t="shared" si="0"/>
        <v>189.6</v>
      </c>
      <c r="O17" s="57"/>
      <c r="P17" s="232"/>
    </row>
    <row r="18" spans="1:17" x14ac:dyDescent="0.25">
      <c r="A18" s="236">
        <v>1</v>
      </c>
      <c r="B18" s="213" t="s">
        <v>604</v>
      </c>
      <c r="C18" s="213" t="s">
        <v>48</v>
      </c>
      <c r="D18" s="213" t="s">
        <v>144</v>
      </c>
      <c r="E18" s="213" t="s">
        <v>47</v>
      </c>
      <c r="F18" s="214" t="s">
        <v>605</v>
      </c>
      <c r="G18" s="212" t="s">
        <v>42</v>
      </c>
      <c r="H18" s="252">
        <v>936</v>
      </c>
      <c r="I18" s="253" t="s">
        <v>255</v>
      </c>
      <c r="J18" s="213" t="s">
        <v>179</v>
      </c>
      <c r="K18" s="213" t="s">
        <v>43</v>
      </c>
      <c r="M18">
        <f t="shared" si="0"/>
        <v>187.2</v>
      </c>
      <c r="O18" s="25" t="s">
        <v>1130</v>
      </c>
      <c r="P18" s="232">
        <v>3000</v>
      </c>
      <c r="Q18" s="25"/>
    </row>
    <row r="19" spans="1:17" x14ac:dyDescent="0.25">
      <c r="A19" s="236">
        <v>1</v>
      </c>
      <c r="B19" s="213" t="s">
        <v>606</v>
      </c>
      <c r="C19" s="213" t="s">
        <v>48</v>
      </c>
      <c r="D19" s="213" t="s">
        <v>342</v>
      </c>
      <c r="E19" s="213" t="s">
        <v>47</v>
      </c>
      <c r="F19" s="214" t="s">
        <v>607</v>
      </c>
      <c r="G19" s="212" t="s">
        <v>42</v>
      </c>
      <c r="H19" s="252">
        <v>2880</v>
      </c>
      <c r="I19" s="253" t="s">
        <v>255</v>
      </c>
      <c r="J19" s="213" t="s">
        <v>179</v>
      </c>
      <c r="K19" s="213" t="s">
        <v>43</v>
      </c>
      <c r="M19">
        <f t="shared" si="0"/>
        <v>576</v>
      </c>
      <c r="O19" s="25" t="s">
        <v>163</v>
      </c>
      <c r="P19" s="232">
        <f>H14+H16+H22+H24+H26+H28+H30+H31+H37+H42+H55+H61+H63+H68+H69+H70+H74+H79+H83+H85+H87+H88+H90+H94+H99+H101+H103+H116+H181+H188+H191+H193</f>
        <v>28525</v>
      </c>
    </row>
    <row r="20" spans="1:17" x14ac:dyDescent="0.25">
      <c r="A20" s="236">
        <v>2</v>
      </c>
      <c r="B20" s="213" t="s">
        <v>341</v>
      </c>
      <c r="C20" s="213" t="s">
        <v>40</v>
      </c>
      <c r="D20" s="213" t="s">
        <v>342</v>
      </c>
      <c r="E20" s="213" t="s">
        <v>47</v>
      </c>
      <c r="F20" s="214"/>
      <c r="G20" s="212" t="s">
        <v>42</v>
      </c>
      <c r="H20" s="252">
        <v>3600</v>
      </c>
      <c r="I20" s="253" t="s">
        <v>255</v>
      </c>
      <c r="J20" s="213" t="s">
        <v>179</v>
      </c>
      <c r="K20" s="213" t="s">
        <v>43</v>
      </c>
      <c r="M20">
        <f t="shared" si="0"/>
        <v>720</v>
      </c>
      <c r="O20" t="s">
        <v>1401</v>
      </c>
      <c r="P20" s="232">
        <f>H25+H46+H48+H56+H59+H66+H84+H118+H119+H121+H123+H124+H128+H137+H138+H140+H141+H142+H143+H144+H145+H146+H148+H166+H168+H182+H185+H197+H200</f>
        <v>1329</v>
      </c>
    </row>
    <row r="21" spans="1:17" x14ac:dyDescent="0.25">
      <c r="A21" s="236">
        <v>3</v>
      </c>
      <c r="B21" s="213" t="s">
        <v>608</v>
      </c>
      <c r="C21" s="213" t="s">
        <v>40</v>
      </c>
      <c r="D21" s="213" t="s">
        <v>609</v>
      </c>
      <c r="E21" s="213" t="s">
        <v>47</v>
      </c>
      <c r="F21" s="214" t="s">
        <v>611</v>
      </c>
      <c r="G21" s="212" t="s">
        <v>42</v>
      </c>
      <c r="H21" s="252">
        <v>6840</v>
      </c>
      <c r="I21" s="253" t="s">
        <v>255</v>
      </c>
      <c r="J21" s="213" t="s">
        <v>179</v>
      </c>
      <c r="K21" s="213" t="s">
        <v>43</v>
      </c>
      <c r="M21">
        <f t="shared" si="0"/>
        <v>1368</v>
      </c>
      <c r="O21" t="s">
        <v>1402</v>
      </c>
      <c r="P21" s="232">
        <f>H27+H32+H34+H35+H36+H38+H41+H49+H50+H52+H58+H76+H78+H80+H89+H93+H106+H107+H108+H109+H110+H111+H115+H122+H127</f>
        <v>17900</v>
      </c>
    </row>
    <row r="22" spans="1:17" x14ac:dyDescent="0.25">
      <c r="A22" s="203">
        <v>6</v>
      </c>
      <c r="B22" s="205" t="s">
        <v>610</v>
      </c>
      <c r="C22" s="205" t="s">
        <v>48</v>
      </c>
      <c r="D22" s="205" t="s">
        <v>380</v>
      </c>
      <c r="E22" s="205" t="s">
        <v>45</v>
      </c>
      <c r="F22" s="206"/>
      <c r="G22" s="208" t="s">
        <v>163</v>
      </c>
      <c r="H22" s="207">
        <v>500</v>
      </c>
      <c r="I22" s="204">
        <v>500</v>
      </c>
      <c r="J22" s="199" t="s">
        <v>179</v>
      </c>
      <c r="K22" s="199" t="s">
        <v>43</v>
      </c>
      <c r="M22">
        <f t="shared" si="0"/>
        <v>100</v>
      </c>
      <c r="P22" s="232"/>
    </row>
    <row r="23" spans="1:17" x14ac:dyDescent="0.25">
      <c r="A23" s="203">
        <v>6</v>
      </c>
      <c r="B23" s="205" t="s">
        <v>612</v>
      </c>
      <c r="C23" s="205" t="s">
        <v>40</v>
      </c>
      <c r="D23" s="205" t="s">
        <v>366</v>
      </c>
      <c r="E23" s="205" t="s">
        <v>57</v>
      </c>
      <c r="F23" s="206" t="s">
        <v>613</v>
      </c>
      <c r="G23" s="208" t="s">
        <v>42</v>
      </c>
      <c r="H23" s="207">
        <v>400</v>
      </c>
      <c r="I23" s="204">
        <v>80</v>
      </c>
      <c r="J23" s="199" t="s">
        <v>179</v>
      </c>
      <c r="K23" s="199" t="s">
        <v>43</v>
      </c>
      <c r="M23">
        <f t="shared" si="0"/>
        <v>80</v>
      </c>
      <c r="P23" s="233"/>
    </row>
    <row r="24" spans="1:17" x14ac:dyDescent="0.25">
      <c r="A24" s="203">
        <v>6</v>
      </c>
      <c r="B24" s="205" t="s">
        <v>614</v>
      </c>
      <c r="C24" s="205" t="s">
        <v>40</v>
      </c>
      <c r="D24" s="205" t="s">
        <v>615</v>
      </c>
      <c r="E24" s="205" t="s">
        <v>50</v>
      </c>
      <c r="F24" s="206" t="s">
        <v>616</v>
      </c>
      <c r="G24" s="208" t="s">
        <v>163</v>
      </c>
      <c r="H24" s="207">
        <v>700</v>
      </c>
      <c r="I24" s="204">
        <v>700</v>
      </c>
      <c r="J24" s="199" t="s">
        <v>179</v>
      </c>
      <c r="K24" s="199" t="s">
        <v>43</v>
      </c>
      <c r="M24">
        <f t="shared" si="0"/>
        <v>140</v>
      </c>
      <c r="P24" s="233"/>
    </row>
    <row r="25" spans="1:17" x14ac:dyDescent="0.25">
      <c r="A25" s="203">
        <v>6</v>
      </c>
      <c r="B25" s="205" t="s">
        <v>614</v>
      </c>
      <c r="C25" s="205" t="s">
        <v>40</v>
      </c>
      <c r="D25" s="205" t="s">
        <v>615</v>
      </c>
      <c r="E25" s="205" t="s">
        <v>50</v>
      </c>
      <c r="F25" s="206" t="s">
        <v>616</v>
      </c>
      <c r="G25" s="208" t="s">
        <v>162</v>
      </c>
      <c r="H25" s="207">
        <v>50</v>
      </c>
      <c r="I25" s="204">
        <v>250</v>
      </c>
      <c r="J25" s="199" t="s">
        <v>179</v>
      </c>
      <c r="K25" s="199" t="s">
        <v>43</v>
      </c>
      <c r="M25">
        <f t="shared" si="0"/>
        <v>10</v>
      </c>
      <c r="P25" s="25"/>
      <c r="Q25" s="25"/>
    </row>
    <row r="26" spans="1:17" x14ac:dyDescent="0.25">
      <c r="A26" s="203">
        <v>6</v>
      </c>
      <c r="B26" s="205" t="s">
        <v>617</v>
      </c>
      <c r="C26" s="205" t="s">
        <v>40</v>
      </c>
      <c r="D26" s="205" t="s">
        <v>618</v>
      </c>
      <c r="E26" s="205" t="s">
        <v>59</v>
      </c>
      <c r="F26" s="206" t="s">
        <v>355</v>
      </c>
      <c r="G26" s="208" t="s">
        <v>163</v>
      </c>
      <c r="H26" s="207">
        <v>200</v>
      </c>
      <c r="I26" s="204">
        <v>200</v>
      </c>
      <c r="J26" s="199" t="s">
        <v>179</v>
      </c>
      <c r="K26" s="199" t="s">
        <v>43</v>
      </c>
      <c r="M26">
        <f t="shared" si="0"/>
        <v>40</v>
      </c>
      <c r="O26" s="135"/>
      <c r="P26" s="25"/>
    </row>
    <row r="27" spans="1:17" x14ac:dyDescent="0.25">
      <c r="A27" s="203">
        <v>6</v>
      </c>
      <c r="B27" s="205" t="s">
        <v>619</v>
      </c>
      <c r="C27" s="205" t="s">
        <v>48</v>
      </c>
      <c r="D27" s="205" t="s">
        <v>620</v>
      </c>
      <c r="E27" s="205" t="s">
        <v>61</v>
      </c>
      <c r="F27" s="206" t="s">
        <v>621</v>
      </c>
      <c r="G27" s="208" t="s">
        <v>180</v>
      </c>
      <c r="H27" s="207">
        <v>200</v>
      </c>
      <c r="I27" s="204">
        <v>100</v>
      </c>
      <c r="J27" s="199" t="s">
        <v>179</v>
      </c>
      <c r="K27" s="199" t="s">
        <v>43</v>
      </c>
      <c r="M27">
        <f t="shared" si="0"/>
        <v>40</v>
      </c>
      <c r="O27" s="135"/>
      <c r="P27" s="25"/>
    </row>
    <row r="28" spans="1:17" x14ac:dyDescent="0.25">
      <c r="A28" s="203">
        <v>6</v>
      </c>
      <c r="B28" s="205" t="s">
        <v>235</v>
      </c>
      <c r="C28" s="205" t="s">
        <v>40</v>
      </c>
      <c r="D28" s="205" t="s">
        <v>160</v>
      </c>
      <c r="E28" s="205" t="s">
        <v>44</v>
      </c>
      <c r="F28" s="206" t="s">
        <v>622</v>
      </c>
      <c r="G28" s="208" t="s">
        <v>163</v>
      </c>
      <c r="H28" s="207">
        <v>200</v>
      </c>
      <c r="I28" s="204">
        <v>200</v>
      </c>
      <c r="J28" s="199" t="s">
        <v>179</v>
      </c>
      <c r="K28" s="199" t="s">
        <v>43</v>
      </c>
      <c r="M28">
        <f t="shared" si="0"/>
        <v>40</v>
      </c>
      <c r="P28" s="25"/>
    </row>
    <row r="29" spans="1:17" x14ac:dyDescent="0.25">
      <c r="A29" s="203">
        <v>6</v>
      </c>
      <c r="B29" s="205" t="s">
        <v>623</v>
      </c>
      <c r="C29" s="205" t="s">
        <v>40</v>
      </c>
      <c r="D29" s="205" t="s">
        <v>141</v>
      </c>
      <c r="E29" s="205" t="s">
        <v>45</v>
      </c>
      <c r="F29" s="206" t="s">
        <v>624</v>
      </c>
      <c r="G29" s="208" t="s">
        <v>42</v>
      </c>
      <c r="H29" s="207">
        <v>3500</v>
      </c>
      <c r="I29" s="204">
        <v>700</v>
      </c>
      <c r="J29" s="199" t="s">
        <v>179</v>
      </c>
      <c r="K29" s="199" t="s">
        <v>43</v>
      </c>
      <c r="M29">
        <f t="shared" si="0"/>
        <v>700</v>
      </c>
    </row>
    <row r="30" spans="1:17" x14ac:dyDescent="0.25">
      <c r="A30" s="203">
        <v>6</v>
      </c>
      <c r="B30" s="205" t="s">
        <v>625</v>
      </c>
      <c r="C30" s="205" t="s">
        <v>48</v>
      </c>
      <c r="D30" s="205" t="s">
        <v>465</v>
      </c>
      <c r="E30" s="205" t="s">
        <v>71</v>
      </c>
      <c r="F30" s="206" t="s">
        <v>626</v>
      </c>
      <c r="G30" s="208" t="s">
        <v>163</v>
      </c>
      <c r="H30" s="207">
        <v>700</v>
      </c>
      <c r="I30" s="204">
        <v>700</v>
      </c>
      <c r="J30" s="199" t="s">
        <v>179</v>
      </c>
      <c r="K30" s="199" t="s">
        <v>43</v>
      </c>
      <c r="M30">
        <f t="shared" si="0"/>
        <v>140</v>
      </c>
    </row>
    <row r="31" spans="1:17" x14ac:dyDescent="0.25">
      <c r="A31" s="203">
        <v>6</v>
      </c>
      <c r="B31" s="205" t="s">
        <v>627</v>
      </c>
      <c r="C31" s="205" t="s">
        <v>40</v>
      </c>
      <c r="D31" s="205" t="s">
        <v>155</v>
      </c>
      <c r="E31" s="205" t="s">
        <v>49</v>
      </c>
      <c r="F31" s="206" t="s">
        <v>628</v>
      </c>
      <c r="G31" s="208" t="s">
        <v>163</v>
      </c>
      <c r="H31" s="207">
        <v>1000</v>
      </c>
      <c r="I31" s="204">
        <v>1000</v>
      </c>
      <c r="J31" s="199" t="s">
        <v>179</v>
      </c>
      <c r="K31" s="199" t="s">
        <v>43</v>
      </c>
      <c r="M31">
        <f t="shared" si="0"/>
        <v>200</v>
      </c>
    </row>
    <row r="32" spans="1:17" x14ac:dyDescent="0.25">
      <c r="A32" s="203">
        <v>6</v>
      </c>
      <c r="B32" s="205" t="s">
        <v>629</v>
      </c>
      <c r="C32" s="205" t="s">
        <v>40</v>
      </c>
      <c r="D32" s="205" t="s">
        <v>417</v>
      </c>
      <c r="E32" s="205" t="s">
        <v>50</v>
      </c>
      <c r="F32" s="206" t="s">
        <v>630</v>
      </c>
      <c r="G32" s="208" t="s">
        <v>180</v>
      </c>
      <c r="H32" s="207">
        <v>400</v>
      </c>
      <c r="I32" s="204">
        <v>200</v>
      </c>
      <c r="J32" s="199" t="s">
        <v>179</v>
      </c>
      <c r="K32" s="199" t="s">
        <v>43</v>
      </c>
      <c r="M32">
        <f t="shared" si="0"/>
        <v>80</v>
      </c>
    </row>
    <row r="33" spans="1:13" x14ac:dyDescent="0.25">
      <c r="A33" s="203">
        <v>6</v>
      </c>
      <c r="B33" s="205" t="s">
        <v>631</v>
      </c>
      <c r="C33" s="205" t="s">
        <v>48</v>
      </c>
      <c r="D33" s="205" t="s">
        <v>302</v>
      </c>
      <c r="E33" s="205" t="s">
        <v>57</v>
      </c>
      <c r="F33" s="206" t="s">
        <v>632</v>
      </c>
      <c r="G33" s="208" t="s">
        <v>42</v>
      </c>
      <c r="H33" s="207">
        <v>1500</v>
      </c>
      <c r="I33" s="204">
        <v>300</v>
      </c>
      <c r="J33" s="199" t="s">
        <v>179</v>
      </c>
      <c r="K33" s="199" t="s">
        <v>43</v>
      </c>
      <c r="M33">
        <f t="shared" si="0"/>
        <v>300</v>
      </c>
    </row>
    <row r="34" spans="1:13" x14ac:dyDescent="0.25">
      <c r="A34" s="203">
        <v>6</v>
      </c>
      <c r="B34" s="205" t="s">
        <v>633</v>
      </c>
      <c r="C34" s="205" t="s">
        <v>40</v>
      </c>
      <c r="D34" s="205" t="s">
        <v>634</v>
      </c>
      <c r="E34" s="205" t="s">
        <v>63</v>
      </c>
      <c r="F34" s="206"/>
      <c r="G34" s="208" t="s">
        <v>180</v>
      </c>
      <c r="H34" s="207">
        <v>300</v>
      </c>
      <c r="I34" s="204">
        <v>150</v>
      </c>
      <c r="J34" s="199" t="s">
        <v>179</v>
      </c>
      <c r="K34" s="199" t="s">
        <v>43</v>
      </c>
      <c r="M34">
        <f t="shared" si="0"/>
        <v>60</v>
      </c>
    </row>
    <row r="35" spans="1:13" x14ac:dyDescent="0.25">
      <c r="A35" s="203">
        <v>6</v>
      </c>
      <c r="B35" s="205" t="s">
        <v>635</v>
      </c>
      <c r="C35" s="205" t="s">
        <v>40</v>
      </c>
      <c r="D35" s="205" t="s">
        <v>636</v>
      </c>
      <c r="E35" s="205" t="s">
        <v>68</v>
      </c>
      <c r="F35" s="206" t="s">
        <v>637</v>
      </c>
      <c r="G35" s="208" t="s">
        <v>180</v>
      </c>
      <c r="H35" s="207">
        <v>1500</v>
      </c>
      <c r="I35" s="204">
        <v>750</v>
      </c>
      <c r="J35" s="199" t="s">
        <v>179</v>
      </c>
      <c r="K35" s="199" t="s">
        <v>43</v>
      </c>
      <c r="M35">
        <f t="shared" si="0"/>
        <v>300</v>
      </c>
    </row>
    <row r="36" spans="1:13" x14ac:dyDescent="0.25">
      <c r="A36" s="203">
        <v>6</v>
      </c>
      <c r="B36" s="205" t="s">
        <v>638</v>
      </c>
      <c r="C36" s="205" t="s">
        <v>40</v>
      </c>
      <c r="D36" s="205" t="s">
        <v>615</v>
      </c>
      <c r="E36" s="205" t="s">
        <v>50</v>
      </c>
      <c r="F36" s="206"/>
      <c r="G36" s="208" t="s">
        <v>180</v>
      </c>
      <c r="H36" s="207">
        <v>200</v>
      </c>
      <c r="I36" s="204">
        <v>100</v>
      </c>
      <c r="J36" s="199" t="s">
        <v>179</v>
      </c>
      <c r="K36" s="199" t="s">
        <v>43</v>
      </c>
      <c r="M36">
        <f t="shared" si="0"/>
        <v>40</v>
      </c>
    </row>
    <row r="37" spans="1:13" x14ac:dyDescent="0.25">
      <c r="A37" s="203">
        <v>6</v>
      </c>
      <c r="B37" s="205" t="s">
        <v>332</v>
      </c>
      <c r="C37" s="205" t="s">
        <v>40</v>
      </c>
      <c r="D37" s="205" t="s">
        <v>494</v>
      </c>
      <c r="E37" s="205" t="s">
        <v>58</v>
      </c>
      <c r="F37" s="206"/>
      <c r="G37" s="208" t="s">
        <v>163</v>
      </c>
      <c r="H37" s="207">
        <v>500</v>
      </c>
      <c r="I37" s="204">
        <v>500</v>
      </c>
      <c r="J37" s="199" t="s">
        <v>179</v>
      </c>
      <c r="K37" s="199" t="s">
        <v>43</v>
      </c>
      <c r="M37">
        <f t="shared" si="0"/>
        <v>100</v>
      </c>
    </row>
    <row r="38" spans="1:13" x14ac:dyDescent="0.25">
      <c r="A38" s="203">
        <v>6</v>
      </c>
      <c r="B38" s="205" t="s">
        <v>332</v>
      </c>
      <c r="C38" s="205" t="s">
        <v>40</v>
      </c>
      <c r="D38" s="205" t="s">
        <v>494</v>
      </c>
      <c r="E38" s="205" t="s">
        <v>58</v>
      </c>
      <c r="F38" s="206"/>
      <c r="G38" s="205" t="s">
        <v>180</v>
      </c>
      <c r="H38" s="211">
        <v>200</v>
      </c>
      <c r="I38" s="234">
        <v>100</v>
      </c>
      <c r="J38" s="199" t="s">
        <v>179</v>
      </c>
      <c r="K38" s="199" t="s">
        <v>43</v>
      </c>
      <c r="M38">
        <f t="shared" si="0"/>
        <v>40</v>
      </c>
    </row>
    <row r="39" spans="1:13" x14ac:dyDescent="0.25">
      <c r="A39" s="203">
        <v>6</v>
      </c>
      <c r="B39" s="205" t="s">
        <v>639</v>
      </c>
      <c r="C39" s="205" t="s">
        <v>40</v>
      </c>
      <c r="D39" s="205" t="s">
        <v>145</v>
      </c>
      <c r="E39" s="205" t="s">
        <v>50</v>
      </c>
      <c r="F39" s="206" t="s">
        <v>640</v>
      </c>
      <c r="G39" s="205" t="s">
        <v>42</v>
      </c>
      <c r="H39" s="211">
        <v>300</v>
      </c>
      <c r="I39" s="234">
        <v>60</v>
      </c>
      <c r="J39" s="199" t="s">
        <v>179</v>
      </c>
      <c r="K39" s="199" t="s">
        <v>43</v>
      </c>
      <c r="M39">
        <f t="shared" si="0"/>
        <v>60</v>
      </c>
    </row>
    <row r="40" spans="1:13" x14ac:dyDescent="0.25">
      <c r="A40" s="203">
        <v>6</v>
      </c>
      <c r="B40" s="205" t="s">
        <v>641</v>
      </c>
      <c r="C40" s="205" t="s">
        <v>40</v>
      </c>
      <c r="D40" s="205" t="s">
        <v>144</v>
      </c>
      <c r="E40" s="205" t="s">
        <v>63</v>
      </c>
      <c r="F40" s="206"/>
      <c r="G40" s="205" t="s">
        <v>42</v>
      </c>
      <c r="H40" s="211">
        <v>200</v>
      </c>
      <c r="I40" s="234">
        <v>40</v>
      </c>
      <c r="J40" s="199" t="s">
        <v>179</v>
      </c>
      <c r="K40" s="199" t="s">
        <v>43</v>
      </c>
      <c r="M40">
        <f t="shared" si="0"/>
        <v>40</v>
      </c>
    </row>
    <row r="41" spans="1:13" x14ac:dyDescent="0.25">
      <c r="A41" s="203">
        <v>6</v>
      </c>
      <c r="B41" s="205" t="s">
        <v>642</v>
      </c>
      <c r="C41" s="205" t="s">
        <v>40</v>
      </c>
      <c r="D41" s="205" t="s">
        <v>76</v>
      </c>
      <c r="E41" s="205" t="s">
        <v>44</v>
      </c>
      <c r="F41" s="206" t="s">
        <v>643</v>
      </c>
      <c r="G41" s="205" t="s">
        <v>180</v>
      </c>
      <c r="H41" s="211">
        <v>2000</v>
      </c>
      <c r="I41" s="234">
        <v>1000</v>
      </c>
      <c r="J41" s="199" t="s">
        <v>179</v>
      </c>
      <c r="K41" s="199" t="s">
        <v>43</v>
      </c>
      <c r="M41">
        <f t="shared" si="0"/>
        <v>400</v>
      </c>
    </row>
    <row r="42" spans="1:13" x14ac:dyDescent="0.25">
      <c r="A42" s="203">
        <v>6</v>
      </c>
      <c r="B42" s="205" t="s">
        <v>642</v>
      </c>
      <c r="C42" s="205" t="s">
        <v>40</v>
      </c>
      <c r="D42" s="205" t="s">
        <v>76</v>
      </c>
      <c r="E42" s="205" t="s">
        <v>44</v>
      </c>
      <c r="F42" s="206" t="s">
        <v>643</v>
      </c>
      <c r="G42" s="205" t="s">
        <v>163</v>
      </c>
      <c r="H42" s="211">
        <v>1000</v>
      </c>
      <c r="I42" s="234">
        <v>1000</v>
      </c>
      <c r="J42" s="199" t="s">
        <v>179</v>
      </c>
      <c r="K42" s="199" t="s">
        <v>43</v>
      </c>
      <c r="M42">
        <f t="shared" si="0"/>
        <v>200</v>
      </c>
    </row>
    <row r="43" spans="1:13" x14ac:dyDescent="0.25">
      <c r="A43" s="236">
        <v>6</v>
      </c>
      <c r="B43" s="213" t="s">
        <v>644</v>
      </c>
      <c r="C43" s="213" t="s">
        <v>48</v>
      </c>
      <c r="D43" s="213" t="s">
        <v>645</v>
      </c>
      <c r="E43" s="213" t="s">
        <v>47</v>
      </c>
      <c r="F43" s="214" t="s">
        <v>646</v>
      </c>
      <c r="G43" s="213" t="s">
        <v>42</v>
      </c>
      <c r="H43" s="215">
        <v>1998</v>
      </c>
      <c r="I43" s="216" t="s">
        <v>255</v>
      </c>
      <c r="J43" s="213" t="s">
        <v>179</v>
      </c>
      <c r="K43" s="213" t="s">
        <v>43</v>
      </c>
      <c r="M43">
        <f t="shared" si="0"/>
        <v>399.6</v>
      </c>
    </row>
    <row r="44" spans="1:13" x14ac:dyDescent="0.25">
      <c r="A44" s="236">
        <v>6</v>
      </c>
      <c r="B44" s="213" t="s">
        <v>647</v>
      </c>
      <c r="C44" s="213" t="s">
        <v>40</v>
      </c>
      <c r="D44" s="213" t="s">
        <v>648</v>
      </c>
      <c r="E44" s="213" t="s">
        <v>47</v>
      </c>
      <c r="F44" s="214"/>
      <c r="G44" s="213" t="s">
        <v>42</v>
      </c>
      <c r="H44" s="215">
        <v>1020</v>
      </c>
      <c r="I44" s="216" t="s">
        <v>255</v>
      </c>
      <c r="J44" s="213" t="s">
        <v>179</v>
      </c>
      <c r="K44" s="213" t="s">
        <v>43</v>
      </c>
      <c r="M44">
        <f t="shared" si="0"/>
        <v>204</v>
      </c>
    </row>
    <row r="45" spans="1:13" x14ac:dyDescent="0.25">
      <c r="A45" s="203">
        <v>6</v>
      </c>
      <c r="B45" s="205" t="s">
        <v>649</v>
      </c>
      <c r="C45" s="205" t="s">
        <v>40</v>
      </c>
      <c r="D45" s="205" t="s">
        <v>650</v>
      </c>
      <c r="E45" s="205" t="s">
        <v>65</v>
      </c>
      <c r="F45" s="206" t="s">
        <v>651</v>
      </c>
      <c r="G45" s="205" t="s">
        <v>42</v>
      </c>
      <c r="H45" s="211">
        <v>100</v>
      </c>
      <c r="I45" s="234">
        <v>20</v>
      </c>
      <c r="J45" s="199" t="s">
        <v>179</v>
      </c>
      <c r="K45" s="199" t="s">
        <v>43</v>
      </c>
      <c r="M45">
        <f t="shared" si="0"/>
        <v>20</v>
      </c>
    </row>
    <row r="46" spans="1:13" x14ac:dyDescent="0.25">
      <c r="A46" s="203">
        <v>6</v>
      </c>
      <c r="B46" s="205" t="s">
        <v>649</v>
      </c>
      <c r="C46" s="205" t="s">
        <v>40</v>
      </c>
      <c r="D46" s="205" t="s">
        <v>650</v>
      </c>
      <c r="E46" s="205" t="s">
        <v>65</v>
      </c>
      <c r="F46" s="206" t="s">
        <v>651</v>
      </c>
      <c r="G46" s="205" t="s">
        <v>162</v>
      </c>
      <c r="H46" s="211">
        <v>10</v>
      </c>
      <c r="I46" s="234">
        <v>50</v>
      </c>
      <c r="J46" s="199" t="s">
        <v>179</v>
      </c>
      <c r="K46" s="199" t="s">
        <v>43</v>
      </c>
      <c r="M46">
        <f t="shared" si="0"/>
        <v>2</v>
      </c>
    </row>
    <row r="47" spans="1:13" x14ac:dyDescent="0.25">
      <c r="A47" s="203">
        <v>6</v>
      </c>
      <c r="B47" s="205" t="s">
        <v>652</v>
      </c>
      <c r="C47" s="205" t="s">
        <v>40</v>
      </c>
      <c r="D47" s="205" t="s">
        <v>653</v>
      </c>
      <c r="E47" s="205" t="s">
        <v>70</v>
      </c>
      <c r="F47" s="206" t="s">
        <v>654</v>
      </c>
      <c r="G47" s="205" t="s">
        <v>42</v>
      </c>
      <c r="H47" s="211">
        <v>1000</v>
      </c>
      <c r="I47" s="234">
        <v>200</v>
      </c>
      <c r="J47" s="199" t="s">
        <v>179</v>
      </c>
      <c r="K47" s="199" t="s">
        <v>43</v>
      </c>
      <c r="M47">
        <f t="shared" si="0"/>
        <v>200</v>
      </c>
    </row>
    <row r="48" spans="1:13" x14ac:dyDescent="0.25">
      <c r="A48" s="203">
        <v>6</v>
      </c>
      <c r="B48" s="205" t="s">
        <v>652</v>
      </c>
      <c r="C48" s="205" t="s">
        <v>40</v>
      </c>
      <c r="D48" s="205" t="s">
        <v>653</v>
      </c>
      <c r="E48" s="205" t="s">
        <v>70</v>
      </c>
      <c r="F48" s="206" t="s">
        <v>654</v>
      </c>
      <c r="G48" s="205" t="s">
        <v>162</v>
      </c>
      <c r="H48" s="211">
        <v>100</v>
      </c>
      <c r="I48" s="234">
        <v>500</v>
      </c>
      <c r="J48" s="199" t="s">
        <v>179</v>
      </c>
      <c r="K48" s="199" t="s">
        <v>43</v>
      </c>
      <c r="M48">
        <f t="shared" si="0"/>
        <v>20</v>
      </c>
    </row>
    <row r="49" spans="1:17" x14ac:dyDescent="0.25">
      <c r="A49" s="203">
        <v>6</v>
      </c>
      <c r="B49" s="205" t="s">
        <v>655</v>
      </c>
      <c r="C49" s="205" t="s">
        <v>40</v>
      </c>
      <c r="D49" s="205" t="s">
        <v>656</v>
      </c>
      <c r="E49" s="205" t="s">
        <v>63</v>
      </c>
      <c r="F49" s="206"/>
      <c r="G49" s="205" t="s">
        <v>180</v>
      </c>
      <c r="H49" s="211">
        <v>1000</v>
      </c>
      <c r="I49" s="234">
        <v>500</v>
      </c>
      <c r="J49" s="199" t="s">
        <v>179</v>
      </c>
      <c r="K49" s="199" t="s">
        <v>43</v>
      </c>
      <c r="M49">
        <f t="shared" si="0"/>
        <v>200</v>
      </c>
    </row>
    <row r="50" spans="1:17" x14ac:dyDescent="0.25">
      <c r="A50" s="203">
        <v>6</v>
      </c>
      <c r="B50" s="205" t="s">
        <v>657</v>
      </c>
      <c r="C50" s="205" t="s">
        <v>40</v>
      </c>
      <c r="D50" s="205" t="s">
        <v>658</v>
      </c>
      <c r="E50" s="205" t="s">
        <v>50</v>
      </c>
      <c r="F50" s="206"/>
      <c r="G50" s="205" t="s">
        <v>180</v>
      </c>
      <c r="H50" s="211">
        <v>1000</v>
      </c>
      <c r="I50" s="234">
        <v>500</v>
      </c>
      <c r="J50" s="199" t="s">
        <v>179</v>
      </c>
      <c r="K50" s="199" t="s">
        <v>43</v>
      </c>
      <c r="M50">
        <f t="shared" si="0"/>
        <v>200</v>
      </c>
    </row>
    <row r="51" spans="1:17" x14ac:dyDescent="0.25">
      <c r="A51" s="203">
        <v>7</v>
      </c>
      <c r="B51" s="205" t="s">
        <v>659</v>
      </c>
      <c r="C51" s="205" t="s">
        <v>40</v>
      </c>
      <c r="D51" s="205" t="s">
        <v>488</v>
      </c>
      <c r="E51" s="205" t="s">
        <v>44</v>
      </c>
      <c r="F51" s="206" t="s">
        <v>660</v>
      </c>
      <c r="G51" s="205" t="s">
        <v>42</v>
      </c>
      <c r="H51" s="211">
        <v>3000</v>
      </c>
      <c r="I51" s="234">
        <v>600</v>
      </c>
      <c r="J51" s="199" t="s">
        <v>179</v>
      </c>
      <c r="K51" s="199" t="s">
        <v>43</v>
      </c>
      <c r="M51">
        <f t="shared" si="0"/>
        <v>600</v>
      </c>
    </row>
    <row r="52" spans="1:17" x14ac:dyDescent="0.25">
      <c r="A52" s="203">
        <v>7</v>
      </c>
      <c r="B52" s="205" t="s">
        <v>661</v>
      </c>
      <c r="C52" s="205" t="s">
        <v>40</v>
      </c>
      <c r="D52" s="205"/>
      <c r="E52" s="205" t="s">
        <v>86</v>
      </c>
      <c r="F52" s="206"/>
      <c r="G52" s="205" t="s">
        <v>180</v>
      </c>
      <c r="H52" s="211">
        <v>2000</v>
      </c>
      <c r="I52" s="234">
        <v>1000</v>
      </c>
      <c r="J52" s="199" t="s">
        <v>179</v>
      </c>
      <c r="K52" s="199" t="s">
        <v>43</v>
      </c>
      <c r="M52">
        <f t="shared" si="0"/>
        <v>400</v>
      </c>
    </row>
    <row r="53" spans="1:17" x14ac:dyDescent="0.25">
      <c r="A53" s="203">
        <v>7</v>
      </c>
      <c r="B53" s="205" t="s">
        <v>661</v>
      </c>
      <c r="C53" s="205" t="s">
        <v>40</v>
      </c>
      <c r="D53" s="205"/>
      <c r="E53" s="205" t="s">
        <v>86</v>
      </c>
      <c r="F53" s="206"/>
      <c r="G53" s="205" t="s">
        <v>187</v>
      </c>
      <c r="H53" s="211">
        <v>500</v>
      </c>
      <c r="I53" s="234">
        <v>100</v>
      </c>
      <c r="J53" s="199" t="s">
        <v>179</v>
      </c>
      <c r="K53" s="199" t="s">
        <v>43</v>
      </c>
      <c r="M53">
        <f t="shared" si="0"/>
        <v>100</v>
      </c>
    </row>
    <row r="54" spans="1:17" x14ac:dyDescent="0.25">
      <c r="A54" s="203">
        <v>7</v>
      </c>
      <c r="B54" s="205" t="s">
        <v>662</v>
      </c>
      <c r="C54" s="205" t="s">
        <v>40</v>
      </c>
      <c r="D54" s="205" t="s">
        <v>663</v>
      </c>
      <c r="E54" s="205" t="s">
        <v>56</v>
      </c>
      <c r="F54" s="206" t="s">
        <v>664</v>
      </c>
      <c r="G54" s="205" t="s">
        <v>42</v>
      </c>
      <c r="H54" s="211">
        <v>1000</v>
      </c>
      <c r="I54" s="234">
        <v>200</v>
      </c>
      <c r="J54" s="199" t="s">
        <v>179</v>
      </c>
      <c r="K54" s="199" t="s">
        <v>43</v>
      </c>
      <c r="M54">
        <f t="shared" si="0"/>
        <v>200</v>
      </c>
    </row>
    <row r="55" spans="1:17" x14ac:dyDescent="0.25">
      <c r="A55" s="203">
        <v>7</v>
      </c>
      <c r="B55" s="205" t="s">
        <v>662</v>
      </c>
      <c r="C55" s="205" t="s">
        <v>40</v>
      </c>
      <c r="D55" s="205" t="s">
        <v>663</v>
      </c>
      <c r="E55" s="205" t="s">
        <v>56</v>
      </c>
      <c r="F55" s="206" t="s">
        <v>664</v>
      </c>
      <c r="G55" s="205" t="s">
        <v>163</v>
      </c>
      <c r="H55" s="211">
        <v>500</v>
      </c>
      <c r="I55" s="234">
        <v>500</v>
      </c>
      <c r="J55" s="199" t="s">
        <v>179</v>
      </c>
      <c r="K55" s="199" t="s">
        <v>43</v>
      </c>
      <c r="M55">
        <f t="shared" si="0"/>
        <v>100</v>
      </c>
    </row>
    <row r="56" spans="1:17" x14ac:dyDescent="0.25">
      <c r="A56" s="203">
        <v>7</v>
      </c>
      <c r="B56" s="205" t="s">
        <v>665</v>
      </c>
      <c r="C56" s="205" t="s">
        <v>48</v>
      </c>
      <c r="D56" s="205" t="s">
        <v>451</v>
      </c>
      <c r="E56" s="205" t="s">
        <v>51</v>
      </c>
      <c r="F56" s="206" t="s">
        <v>666</v>
      </c>
      <c r="G56" s="205" t="s">
        <v>162</v>
      </c>
      <c r="H56" s="211">
        <v>40</v>
      </c>
      <c r="I56" s="234">
        <v>200</v>
      </c>
      <c r="J56" s="199" t="s">
        <v>179</v>
      </c>
      <c r="K56" s="199" t="s">
        <v>43</v>
      </c>
      <c r="M56">
        <f t="shared" si="0"/>
        <v>8</v>
      </c>
    </row>
    <row r="57" spans="1:17" x14ac:dyDescent="0.25">
      <c r="A57" s="203">
        <v>7</v>
      </c>
      <c r="B57" s="205" t="s">
        <v>667</v>
      </c>
      <c r="C57" s="205" t="s">
        <v>40</v>
      </c>
      <c r="D57" s="205" t="s">
        <v>562</v>
      </c>
      <c r="E57" s="205" t="s">
        <v>56</v>
      </c>
      <c r="F57" s="206" t="s">
        <v>563</v>
      </c>
      <c r="G57" s="205" t="s">
        <v>187</v>
      </c>
      <c r="H57" s="211">
        <v>1500</v>
      </c>
      <c r="I57" s="234">
        <v>300</v>
      </c>
      <c r="J57" s="199" t="s">
        <v>179</v>
      </c>
      <c r="K57" s="199" t="s">
        <v>43</v>
      </c>
      <c r="M57">
        <f t="shared" si="0"/>
        <v>300</v>
      </c>
    </row>
    <row r="58" spans="1:17" x14ac:dyDescent="0.25">
      <c r="A58" s="203">
        <v>7</v>
      </c>
      <c r="B58" s="205" t="s">
        <v>667</v>
      </c>
      <c r="C58" s="205" t="s">
        <v>40</v>
      </c>
      <c r="D58" s="205" t="s">
        <v>562</v>
      </c>
      <c r="E58" s="205" t="s">
        <v>56</v>
      </c>
      <c r="F58" s="206" t="s">
        <v>563</v>
      </c>
      <c r="G58" s="205" t="s">
        <v>180</v>
      </c>
      <c r="H58" s="211">
        <v>1000</v>
      </c>
      <c r="I58" s="234">
        <v>500</v>
      </c>
      <c r="J58" s="199" t="s">
        <v>179</v>
      </c>
      <c r="K58" s="199" t="s">
        <v>43</v>
      </c>
      <c r="M58">
        <f t="shared" si="0"/>
        <v>200</v>
      </c>
    </row>
    <row r="59" spans="1:17" x14ac:dyDescent="0.25">
      <c r="A59" s="203">
        <v>7</v>
      </c>
      <c r="B59" s="205" t="s">
        <v>668</v>
      </c>
      <c r="C59" s="205" t="s">
        <v>40</v>
      </c>
      <c r="D59" s="205" t="s">
        <v>144</v>
      </c>
      <c r="E59" s="205" t="s">
        <v>56</v>
      </c>
      <c r="F59" s="206" t="s">
        <v>669</v>
      </c>
      <c r="G59" s="205" t="s">
        <v>162</v>
      </c>
      <c r="H59" s="211">
        <v>60</v>
      </c>
      <c r="I59" s="234">
        <v>300</v>
      </c>
      <c r="J59" s="199" t="s">
        <v>179</v>
      </c>
      <c r="K59" s="199" t="s">
        <v>43</v>
      </c>
      <c r="M59">
        <f t="shared" si="0"/>
        <v>12</v>
      </c>
    </row>
    <row r="60" spans="1:17" x14ac:dyDescent="0.25">
      <c r="A60" s="203">
        <v>7</v>
      </c>
      <c r="B60" s="205" t="s">
        <v>670</v>
      </c>
      <c r="C60" s="205" t="s">
        <v>40</v>
      </c>
      <c r="D60" s="205" t="s">
        <v>671</v>
      </c>
      <c r="E60" s="205" t="s">
        <v>49</v>
      </c>
      <c r="F60" s="206" t="s">
        <v>672</v>
      </c>
      <c r="G60" s="205" t="s">
        <v>42</v>
      </c>
      <c r="H60" s="211">
        <v>1000</v>
      </c>
      <c r="I60" s="234">
        <v>200</v>
      </c>
      <c r="J60" s="199" t="s">
        <v>179</v>
      </c>
      <c r="K60" s="199" t="s">
        <v>43</v>
      </c>
      <c r="M60">
        <f t="shared" si="0"/>
        <v>200</v>
      </c>
    </row>
    <row r="61" spans="1:17" x14ac:dyDescent="0.25">
      <c r="A61" s="203">
        <v>7</v>
      </c>
      <c r="B61" s="205" t="s">
        <v>670</v>
      </c>
      <c r="C61" s="205" t="s">
        <v>40</v>
      </c>
      <c r="D61" s="205" t="s">
        <v>671</v>
      </c>
      <c r="E61" s="205" t="s">
        <v>49</v>
      </c>
      <c r="F61" s="206" t="s">
        <v>672</v>
      </c>
      <c r="G61" s="205" t="s">
        <v>163</v>
      </c>
      <c r="H61" s="211">
        <v>2500</v>
      </c>
      <c r="I61" s="234">
        <v>2500</v>
      </c>
      <c r="J61" s="199" t="s">
        <v>179</v>
      </c>
      <c r="K61" s="199" t="s">
        <v>43</v>
      </c>
      <c r="M61">
        <f t="shared" si="0"/>
        <v>500</v>
      </c>
    </row>
    <row r="62" spans="1:17" x14ac:dyDescent="0.25">
      <c r="A62" s="203">
        <v>7</v>
      </c>
      <c r="B62" s="205" t="s">
        <v>536</v>
      </c>
      <c r="C62" s="205" t="s">
        <v>40</v>
      </c>
      <c r="D62" s="205" t="s">
        <v>144</v>
      </c>
      <c r="E62" s="205" t="s">
        <v>57</v>
      </c>
      <c r="F62" s="206" t="s">
        <v>673</v>
      </c>
      <c r="G62" s="205" t="s">
        <v>42</v>
      </c>
      <c r="H62" s="211">
        <v>7000</v>
      </c>
      <c r="I62" s="234">
        <v>1400</v>
      </c>
      <c r="J62" s="199" t="s">
        <v>179</v>
      </c>
      <c r="K62" s="199" t="s">
        <v>43</v>
      </c>
      <c r="M62">
        <f t="shared" si="0"/>
        <v>1400</v>
      </c>
      <c r="Q62">
        <v>100</v>
      </c>
    </row>
    <row r="63" spans="1:17" x14ac:dyDescent="0.25">
      <c r="A63" s="203">
        <v>7</v>
      </c>
      <c r="B63" s="205" t="s">
        <v>674</v>
      </c>
      <c r="C63" s="205" t="s">
        <v>40</v>
      </c>
      <c r="D63" s="205" t="s">
        <v>145</v>
      </c>
      <c r="E63" s="205" t="s">
        <v>50</v>
      </c>
      <c r="F63" s="206" t="s">
        <v>675</v>
      </c>
      <c r="G63" s="205" t="s">
        <v>163</v>
      </c>
      <c r="H63" s="211">
        <v>300</v>
      </c>
      <c r="I63" s="234">
        <v>300</v>
      </c>
      <c r="J63" s="199" t="s">
        <v>179</v>
      </c>
      <c r="K63" s="199" t="s">
        <v>43</v>
      </c>
      <c r="M63">
        <f t="shared" si="0"/>
        <v>60</v>
      </c>
    </row>
    <row r="64" spans="1:17" x14ac:dyDescent="0.25">
      <c r="A64" s="274">
        <v>7</v>
      </c>
      <c r="B64" s="208" t="s">
        <v>676</v>
      </c>
      <c r="C64" s="205" t="s">
        <v>40</v>
      </c>
      <c r="D64" s="205" t="s">
        <v>677</v>
      </c>
      <c r="E64" s="205" t="s">
        <v>59</v>
      </c>
      <c r="F64" s="206" t="s">
        <v>678</v>
      </c>
      <c r="G64" s="205" t="s">
        <v>42</v>
      </c>
      <c r="H64" s="211">
        <v>250</v>
      </c>
      <c r="I64" s="234">
        <v>75</v>
      </c>
      <c r="J64" s="205" t="s">
        <v>179</v>
      </c>
      <c r="K64" s="205" t="s">
        <v>43</v>
      </c>
      <c r="M64">
        <f t="shared" si="0"/>
        <v>50</v>
      </c>
    </row>
    <row r="65" spans="1:13" x14ac:dyDescent="0.25">
      <c r="A65" s="203">
        <v>7</v>
      </c>
      <c r="B65" s="208" t="s">
        <v>692</v>
      </c>
      <c r="C65" s="205" t="s">
        <v>40</v>
      </c>
      <c r="D65" s="205" t="s">
        <v>142</v>
      </c>
      <c r="E65" s="205" t="s">
        <v>693</v>
      </c>
      <c r="F65" s="206"/>
      <c r="G65" s="205" t="s">
        <v>42</v>
      </c>
      <c r="H65" s="211">
        <v>1500</v>
      </c>
      <c r="I65" s="234">
        <v>450</v>
      </c>
      <c r="J65" s="199" t="s">
        <v>179</v>
      </c>
      <c r="K65" s="199" t="s">
        <v>43</v>
      </c>
      <c r="M65">
        <f t="shared" si="0"/>
        <v>300</v>
      </c>
    </row>
    <row r="66" spans="1:13" x14ac:dyDescent="0.25">
      <c r="A66" s="203">
        <v>7</v>
      </c>
      <c r="B66" s="208" t="s">
        <v>692</v>
      </c>
      <c r="C66" s="205" t="s">
        <v>40</v>
      </c>
      <c r="D66" s="205" t="s">
        <v>142</v>
      </c>
      <c r="E66" s="205" t="s">
        <v>693</v>
      </c>
      <c r="F66" s="206"/>
      <c r="G66" s="205" t="s">
        <v>162</v>
      </c>
      <c r="H66" s="211">
        <v>20</v>
      </c>
      <c r="I66" s="234">
        <v>100</v>
      </c>
      <c r="J66" s="199" t="s">
        <v>179</v>
      </c>
      <c r="K66" s="199" t="s">
        <v>43</v>
      </c>
      <c r="M66">
        <f t="shared" si="0"/>
        <v>4</v>
      </c>
    </row>
    <row r="67" spans="1:13" x14ac:dyDescent="0.25">
      <c r="A67" s="230">
        <v>8</v>
      </c>
      <c r="B67" s="208" t="s">
        <v>694</v>
      </c>
      <c r="C67" s="205" t="s">
        <v>40</v>
      </c>
      <c r="D67" s="205" t="s">
        <v>478</v>
      </c>
      <c r="E67" s="205" t="s">
        <v>57</v>
      </c>
      <c r="F67" s="206" t="s">
        <v>695</v>
      </c>
      <c r="G67" s="205" t="s">
        <v>42</v>
      </c>
      <c r="H67" s="211">
        <v>5000</v>
      </c>
      <c r="I67" s="234">
        <v>1000</v>
      </c>
      <c r="J67" s="205" t="s">
        <v>179</v>
      </c>
      <c r="K67" s="205" t="s">
        <v>43</v>
      </c>
      <c r="M67">
        <f t="shared" si="0"/>
        <v>1000</v>
      </c>
    </row>
    <row r="68" spans="1:13" x14ac:dyDescent="0.25">
      <c r="A68" s="230">
        <v>8</v>
      </c>
      <c r="B68" s="208" t="s">
        <v>696</v>
      </c>
      <c r="C68" s="205" t="s">
        <v>40</v>
      </c>
      <c r="D68" s="205"/>
      <c r="E68" s="205" t="s">
        <v>44</v>
      </c>
      <c r="F68" s="206" t="s">
        <v>697</v>
      </c>
      <c r="G68" s="205" t="s">
        <v>163</v>
      </c>
      <c r="H68" s="211">
        <v>500</v>
      </c>
      <c r="I68" s="234">
        <v>500</v>
      </c>
      <c r="J68" s="199" t="s">
        <v>179</v>
      </c>
      <c r="K68" s="199" t="s">
        <v>43</v>
      </c>
      <c r="M68">
        <f t="shared" si="0"/>
        <v>100</v>
      </c>
    </row>
    <row r="69" spans="1:13" x14ac:dyDescent="0.25">
      <c r="A69" s="230">
        <v>8</v>
      </c>
      <c r="B69" s="208" t="s">
        <v>698</v>
      </c>
      <c r="C69" s="205" t="s">
        <v>40</v>
      </c>
      <c r="D69" s="205" t="s">
        <v>699</v>
      </c>
      <c r="E69" s="205" t="s">
        <v>50</v>
      </c>
      <c r="F69" s="206" t="s">
        <v>700</v>
      </c>
      <c r="G69" s="205" t="s">
        <v>163</v>
      </c>
      <c r="H69" s="211">
        <v>200</v>
      </c>
      <c r="I69" s="234">
        <v>200</v>
      </c>
      <c r="J69" s="199" t="s">
        <v>179</v>
      </c>
      <c r="K69" s="199" t="s">
        <v>43</v>
      </c>
      <c r="M69">
        <f t="shared" si="0"/>
        <v>40</v>
      </c>
    </row>
    <row r="70" spans="1:13" x14ac:dyDescent="0.25">
      <c r="A70" s="230">
        <v>8</v>
      </c>
      <c r="B70" s="208" t="s">
        <v>701</v>
      </c>
      <c r="C70" s="205" t="s">
        <v>40</v>
      </c>
      <c r="D70" s="205" t="s">
        <v>155</v>
      </c>
      <c r="E70" s="205" t="s">
        <v>49</v>
      </c>
      <c r="F70" s="206" t="s">
        <v>702</v>
      </c>
      <c r="G70" s="205" t="s">
        <v>163</v>
      </c>
      <c r="H70" s="211">
        <v>4000</v>
      </c>
      <c r="I70" s="234">
        <v>4000</v>
      </c>
      <c r="J70" s="199" t="s">
        <v>179</v>
      </c>
      <c r="K70" s="199" t="s">
        <v>43</v>
      </c>
      <c r="M70">
        <f t="shared" si="0"/>
        <v>800</v>
      </c>
    </row>
    <row r="71" spans="1:13" x14ac:dyDescent="0.25">
      <c r="A71" s="230">
        <v>8</v>
      </c>
      <c r="B71" s="208" t="s">
        <v>703</v>
      </c>
      <c r="C71" s="205" t="s">
        <v>40</v>
      </c>
      <c r="D71" s="205" t="s">
        <v>141</v>
      </c>
      <c r="E71" s="205" t="s">
        <v>45</v>
      </c>
      <c r="F71" s="206"/>
      <c r="G71" s="205" t="s">
        <v>42</v>
      </c>
      <c r="H71" s="211">
        <v>3000</v>
      </c>
      <c r="I71" s="234">
        <v>600</v>
      </c>
      <c r="J71" s="199" t="s">
        <v>179</v>
      </c>
      <c r="K71" s="199" t="s">
        <v>43</v>
      </c>
      <c r="M71">
        <f t="shared" si="0"/>
        <v>600</v>
      </c>
    </row>
    <row r="72" spans="1:13" x14ac:dyDescent="0.25">
      <c r="A72" s="230">
        <v>8</v>
      </c>
      <c r="B72" s="208" t="s">
        <v>704</v>
      </c>
      <c r="C72" s="205" t="s">
        <v>40</v>
      </c>
      <c r="D72" s="205" t="s">
        <v>158</v>
      </c>
      <c r="E72" s="205" t="s">
        <v>693</v>
      </c>
      <c r="F72" s="206"/>
      <c r="G72" s="205" t="s">
        <v>42</v>
      </c>
      <c r="H72" s="211">
        <v>1500</v>
      </c>
      <c r="I72" s="234">
        <v>300</v>
      </c>
      <c r="J72" s="199" t="s">
        <v>179</v>
      </c>
      <c r="K72" s="199" t="s">
        <v>43</v>
      </c>
      <c r="M72">
        <f t="shared" si="0"/>
        <v>300</v>
      </c>
    </row>
    <row r="73" spans="1:13" x14ac:dyDescent="0.25">
      <c r="A73" s="230">
        <v>8</v>
      </c>
      <c r="B73" s="208" t="s">
        <v>705</v>
      </c>
      <c r="C73" s="205" t="s">
        <v>40</v>
      </c>
      <c r="D73" s="205" t="s">
        <v>706</v>
      </c>
      <c r="E73" s="205" t="s">
        <v>71</v>
      </c>
      <c r="F73" s="206" t="s">
        <v>707</v>
      </c>
      <c r="G73" s="205" t="s">
        <v>42</v>
      </c>
      <c r="H73" s="211">
        <v>1000</v>
      </c>
      <c r="I73" s="234" t="s">
        <v>255</v>
      </c>
      <c r="J73" s="199" t="s">
        <v>179</v>
      </c>
      <c r="K73" s="199" t="s">
        <v>43</v>
      </c>
      <c r="M73">
        <f t="shared" si="0"/>
        <v>200</v>
      </c>
    </row>
    <row r="74" spans="1:13" x14ac:dyDescent="0.25">
      <c r="A74" s="230">
        <v>8</v>
      </c>
      <c r="B74" s="208" t="s">
        <v>705</v>
      </c>
      <c r="C74" s="205" t="s">
        <v>40</v>
      </c>
      <c r="D74" s="205" t="s">
        <v>706</v>
      </c>
      <c r="E74" s="205" t="s">
        <v>71</v>
      </c>
      <c r="F74" s="206" t="s">
        <v>707</v>
      </c>
      <c r="G74" s="205" t="s">
        <v>163</v>
      </c>
      <c r="H74" s="211">
        <v>1000</v>
      </c>
      <c r="I74" s="234">
        <v>1000</v>
      </c>
      <c r="J74" s="199" t="s">
        <v>179</v>
      </c>
      <c r="K74" s="199" t="s">
        <v>43</v>
      </c>
      <c r="M74">
        <f t="shared" si="0"/>
        <v>200</v>
      </c>
    </row>
    <row r="75" spans="1:13" x14ac:dyDescent="0.25">
      <c r="A75" s="230">
        <v>8</v>
      </c>
      <c r="B75" s="208" t="s">
        <v>708</v>
      </c>
      <c r="C75" s="205" t="s">
        <v>40</v>
      </c>
      <c r="D75" s="205" t="s">
        <v>471</v>
      </c>
      <c r="E75" s="205" t="s">
        <v>47</v>
      </c>
      <c r="F75" s="206"/>
      <c r="G75" s="205" t="s">
        <v>42</v>
      </c>
      <c r="H75" s="211">
        <v>2000</v>
      </c>
      <c r="I75" s="234">
        <v>400</v>
      </c>
      <c r="J75" s="199" t="s">
        <v>179</v>
      </c>
      <c r="K75" s="199" t="s">
        <v>43</v>
      </c>
      <c r="M75">
        <f t="shared" si="0"/>
        <v>400</v>
      </c>
    </row>
    <row r="76" spans="1:13" x14ac:dyDescent="0.25">
      <c r="A76" s="230">
        <v>8</v>
      </c>
      <c r="B76" s="208" t="s">
        <v>708</v>
      </c>
      <c r="C76" s="205" t="s">
        <v>40</v>
      </c>
      <c r="D76" s="205" t="s">
        <v>471</v>
      </c>
      <c r="E76" s="205" t="s">
        <v>47</v>
      </c>
      <c r="F76" s="206"/>
      <c r="G76" s="205" t="s">
        <v>180</v>
      </c>
      <c r="H76" s="211">
        <v>200</v>
      </c>
      <c r="I76" s="234">
        <v>100</v>
      </c>
      <c r="J76" s="199" t="s">
        <v>179</v>
      </c>
      <c r="K76" s="199" t="s">
        <v>43</v>
      </c>
      <c r="M76">
        <f t="shared" si="0"/>
        <v>40</v>
      </c>
    </row>
    <row r="77" spans="1:13" x14ac:dyDescent="0.25">
      <c r="A77" s="230">
        <v>8</v>
      </c>
      <c r="B77" s="208" t="s">
        <v>709</v>
      </c>
      <c r="C77" s="205" t="s">
        <v>40</v>
      </c>
      <c r="D77" s="205" t="s">
        <v>141</v>
      </c>
      <c r="E77" s="205" t="s">
        <v>45</v>
      </c>
      <c r="F77" s="206" t="s">
        <v>710</v>
      </c>
      <c r="G77" s="205" t="s">
        <v>42</v>
      </c>
      <c r="H77" s="211">
        <v>2500</v>
      </c>
      <c r="I77" s="234">
        <v>500</v>
      </c>
      <c r="J77" s="199" t="s">
        <v>179</v>
      </c>
      <c r="K77" s="199" t="s">
        <v>43</v>
      </c>
      <c r="M77">
        <f t="shared" si="0"/>
        <v>500</v>
      </c>
    </row>
    <row r="78" spans="1:13" x14ac:dyDescent="0.25">
      <c r="A78" s="230">
        <v>8</v>
      </c>
      <c r="B78" s="208" t="s">
        <v>711</v>
      </c>
      <c r="C78" s="205" t="s">
        <v>40</v>
      </c>
      <c r="D78" s="205" t="s">
        <v>620</v>
      </c>
      <c r="E78" s="205" t="s">
        <v>61</v>
      </c>
      <c r="F78" s="206" t="s">
        <v>712</v>
      </c>
      <c r="G78" s="205" t="s">
        <v>180</v>
      </c>
      <c r="H78" s="211">
        <v>700</v>
      </c>
      <c r="I78" s="234">
        <v>350</v>
      </c>
      <c r="J78" s="199" t="s">
        <v>179</v>
      </c>
      <c r="K78" s="199" t="s">
        <v>43</v>
      </c>
      <c r="M78">
        <f t="shared" si="0"/>
        <v>140</v>
      </c>
    </row>
    <row r="79" spans="1:13" x14ac:dyDescent="0.25">
      <c r="A79" s="230">
        <v>8</v>
      </c>
      <c r="B79" s="208" t="s">
        <v>439</v>
      </c>
      <c r="C79" s="205" t="s">
        <v>40</v>
      </c>
      <c r="D79" s="205" t="s">
        <v>440</v>
      </c>
      <c r="E79" s="205" t="s">
        <v>53</v>
      </c>
      <c r="F79" s="206" t="s">
        <v>713</v>
      </c>
      <c r="G79" s="205" t="s">
        <v>163</v>
      </c>
      <c r="H79" s="211">
        <v>50</v>
      </c>
      <c r="I79" s="234">
        <v>50</v>
      </c>
      <c r="J79" s="199" t="s">
        <v>179</v>
      </c>
      <c r="K79" s="199" t="s">
        <v>43</v>
      </c>
      <c r="M79">
        <f t="shared" si="0"/>
        <v>10</v>
      </c>
    </row>
    <row r="80" spans="1:13" x14ac:dyDescent="0.25">
      <c r="A80" s="230">
        <v>8</v>
      </c>
      <c r="B80" s="208" t="s">
        <v>714</v>
      </c>
      <c r="C80" s="205" t="s">
        <v>40</v>
      </c>
      <c r="D80" s="205" t="s">
        <v>715</v>
      </c>
      <c r="E80" s="205" t="s">
        <v>47</v>
      </c>
      <c r="F80" s="206" t="s">
        <v>716</v>
      </c>
      <c r="G80" s="205" t="s">
        <v>180</v>
      </c>
      <c r="H80" s="211">
        <v>400</v>
      </c>
      <c r="I80" s="234">
        <v>200</v>
      </c>
      <c r="J80" s="199" t="s">
        <v>179</v>
      </c>
      <c r="K80" s="199" t="s">
        <v>43</v>
      </c>
      <c r="M80">
        <f t="shared" si="0"/>
        <v>80</v>
      </c>
    </row>
    <row r="81" spans="1:13" x14ac:dyDescent="0.25">
      <c r="A81" s="230">
        <v>8</v>
      </c>
      <c r="B81" s="208" t="s">
        <v>717</v>
      </c>
      <c r="C81" s="205" t="s">
        <v>40</v>
      </c>
      <c r="D81" s="205" t="s">
        <v>529</v>
      </c>
      <c r="E81" s="205" t="s">
        <v>59</v>
      </c>
      <c r="F81" s="206" t="s">
        <v>718</v>
      </c>
      <c r="G81" s="205" t="s">
        <v>42</v>
      </c>
      <c r="H81" s="211">
        <v>500</v>
      </c>
      <c r="I81" s="234">
        <v>100</v>
      </c>
      <c r="J81" s="199" t="s">
        <v>179</v>
      </c>
      <c r="K81" s="199" t="s">
        <v>43</v>
      </c>
      <c r="M81">
        <f t="shared" si="0"/>
        <v>100</v>
      </c>
    </row>
    <row r="82" spans="1:13" x14ac:dyDescent="0.25">
      <c r="A82" s="230">
        <v>8</v>
      </c>
      <c r="B82" s="208" t="s">
        <v>719</v>
      </c>
      <c r="C82" s="205" t="s">
        <v>40</v>
      </c>
      <c r="D82" s="205" t="s">
        <v>720</v>
      </c>
      <c r="E82" s="205" t="s">
        <v>59</v>
      </c>
      <c r="F82" s="206" t="s">
        <v>721</v>
      </c>
      <c r="G82" s="205" t="s">
        <v>42</v>
      </c>
      <c r="H82" s="211">
        <v>150</v>
      </c>
      <c r="I82" s="234">
        <v>30</v>
      </c>
      <c r="J82" s="199" t="s">
        <v>179</v>
      </c>
      <c r="K82" s="199" t="s">
        <v>43</v>
      </c>
      <c r="M82">
        <f t="shared" si="0"/>
        <v>30</v>
      </c>
    </row>
    <row r="83" spans="1:13" x14ac:dyDescent="0.25">
      <c r="A83" s="230">
        <v>8</v>
      </c>
      <c r="B83" s="208" t="s">
        <v>719</v>
      </c>
      <c r="C83" s="205" t="s">
        <v>40</v>
      </c>
      <c r="D83" s="205" t="s">
        <v>720</v>
      </c>
      <c r="E83" s="205" t="s">
        <v>59</v>
      </c>
      <c r="F83" s="206" t="s">
        <v>721</v>
      </c>
      <c r="G83" s="205" t="s">
        <v>163</v>
      </c>
      <c r="H83" s="211">
        <v>125</v>
      </c>
      <c r="I83" s="234">
        <v>125</v>
      </c>
      <c r="J83" s="199" t="s">
        <v>179</v>
      </c>
      <c r="K83" s="199" t="s">
        <v>43</v>
      </c>
      <c r="M83">
        <f t="shared" si="0"/>
        <v>25</v>
      </c>
    </row>
    <row r="84" spans="1:13" x14ac:dyDescent="0.25">
      <c r="A84" s="230">
        <v>8</v>
      </c>
      <c r="B84" s="208" t="s">
        <v>719</v>
      </c>
      <c r="C84" s="205" t="s">
        <v>40</v>
      </c>
      <c r="D84" s="205" t="s">
        <v>720</v>
      </c>
      <c r="E84" s="205" t="s">
        <v>59</v>
      </c>
      <c r="F84" s="206" t="s">
        <v>721</v>
      </c>
      <c r="G84" s="205" t="s">
        <v>162</v>
      </c>
      <c r="H84" s="211">
        <v>50</v>
      </c>
      <c r="I84" s="234">
        <v>250</v>
      </c>
      <c r="J84" s="199" t="s">
        <v>179</v>
      </c>
      <c r="K84" s="199" t="s">
        <v>43</v>
      </c>
      <c r="M84">
        <f t="shared" si="0"/>
        <v>10</v>
      </c>
    </row>
    <row r="85" spans="1:13" x14ac:dyDescent="0.25">
      <c r="A85" s="230">
        <v>9</v>
      </c>
      <c r="B85" s="208" t="s">
        <v>722</v>
      </c>
      <c r="C85" s="205" t="s">
        <v>40</v>
      </c>
      <c r="D85" s="205" t="s">
        <v>272</v>
      </c>
      <c r="E85" s="205" t="s">
        <v>49</v>
      </c>
      <c r="F85" s="206" t="s">
        <v>723</v>
      </c>
      <c r="G85" s="205" t="s">
        <v>163</v>
      </c>
      <c r="H85" s="211">
        <v>2000</v>
      </c>
      <c r="I85" s="234">
        <v>2000</v>
      </c>
      <c r="J85" s="199" t="s">
        <v>179</v>
      </c>
      <c r="K85" s="199" t="s">
        <v>43</v>
      </c>
      <c r="M85">
        <f t="shared" si="0"/>
        <v>400</v>
      </c>
    </row>
    <row r="86" spans="1:13" x14ac:dyDescent="0.25">
      <c r="A86" s="230">
        <v>9</v>
      </c>
      <c r="B86" s="208" t="s">
        <v>724</v>
      </c>
      <c r="C86" s="205" t="s">
        <v>40</v>
      </c>
      <c r="D86" s="205" t="s">
        <v>725</v>
      </c>
      <c r="E86" s="205" t="s">
        <v>45</v>
      </c>
      <c r="F86" s="206" t="s">
        <v>726</v>
      </c>
      <c r="G86" s="205" t="s">
        <v>42</v>
      </c>
      <c r="H86" s="211">
        <v>2000</v>
      </c>
      <c r="I86" s="234">
        <v>400</v>
      </c>
      <c r="J86" s="199" t="s">
        <v>179</v>
      </c>
      <c r="K86" s="199" t="s">
        <v>43</v>
      </c>
      <c r="M86">
        <f t="shared" si="0"/>
        <v>400</v>
      </c>
    </row>
    <row r="87" spans="1:13" x14ac:dyDescent="0.25">
      <c r="A87" s="230">
        <v>9</v>
      </c>
      <c r="B87" s="208" t="s">
        <v>724</v>
      </c>
      <c r="C87" s="205" t="s">
        <v>40</v>
      </c>
      <c r="D87" s="205" t="s">
        <v>725</v>
      </c>
      <c r="E87" s="205" t="s">
        <v>45</v>
      </c>
      <c r="F87" s="206" t="s">
        <v>726</v>
      </c>
      <c r="G87" s="205" t="s">
        <v>163</v>
      </c>
      <c r="H87" s="211">
        <v>200</v>
      </c>
      <c r="I87" s="234">
        <v>200</v>
      </c>
      <c r="J87" s="199" t="s">
        <v>179</v>
      </c>
      <c r="K87" s="199" t="s">
        <v>43</v>
      </c>
      <c r="M87">
        <f t="shared" si="0"/>
        <v>40</v>
      </c>
    </row>
    <row r="88" spans="1:13" x14ac:dyDescent="0.25">
      <c r="A88" s="230">
        <v>9</v>
      </c>
      <c r="B88" s="208" t="s">
        <v>727</v>
      </c>
      <c r="C88" s="205" t="s">
        <v>40</v>
      </c>
      <c r="D88" s="205" t="s">
        <v>156</v>
      </c>
      <c r="E88" s="205" t="s">
        <v>44</v>
      </c>
      <c r="F88" s="206" t="s">
        <v>728</v>
      </c>
      <c r="G88" s="205" t="s">
        <v>163</v>
      </c>
      <c r="H88" s="211">
        <v>2500</v>
      </c>
      <c r="I88" s="234">
        <v>2500</v>
      </c>
      <c r="J88" s="199" t="s">
        <v>179</v>
      </c>
      <c r="K88" s="199" t="s">
        <v>43</v>
      </c>
      <c r="M88">
        <f t="shared" si="0"/>
        <v>500</v>
      </c>
    </row>
    <row r="89" spans="1:13" x14ac:dyDescent="0.25">
      <c r="A89" s="230">
        <v>9</v>
      </c>
      <c r="B89" s="208" t="s">
        <v>727</v>
      </c>
      <c r="C89" s="205" t="s">
        <v>40</v>
      </c>
      <c r="D89" s="205" t="s">
        <v>156</v>
      </c>
      <c r="E89" s="205" t="s">
        <v>44</v>
      </c>
      <c r="F89" s="206" t="s">
        <v>728</v>
      </c>
      <c r="G89" s="205" t="s">
        <v>180</v>
      </c>
      <c r="H89" s="211">
        <v>200</v>
      </c>
      <c r="I89" s="234">
        <v>100</v>
      </c>
      <c r="J89" s="199" t="s">
        <v>179</v>
      </c>
      <c r="K89" s="199" t="s">
        <v>43</v>
      </c>
      <c r="M89">
        <f t="shared" si="0"/>
        <v>40</v>
      </c>
    </row>
    <row r="90" spans="1:13" x14ac:dyDescent="0.25">
      <c r="A90" s="230">
        <v>9</v>
      </c>
      <c r="B90" s="208" t="s">
        <v>729</v>
      </c>
      <c r="C90" s="205" t="s">
        <v>40</v>
      </c>
      <c r="D90" s="205" t="s">
        <v>494</v>
      </c>
      <c r="E90" s="205" t="s">
        <v>58</v>
      </c>
      <c r="F90" s="206" t="s">
        <v>730</v>
      </c>
      <c r="G90" s="205" t="s">
        <v>163</v>
      </c>
      <c r="H90" s="211">
        <v>800</v>
      </c>
      <c r="I90" s="234">
        <v>800</v>
      </c>
      <c r="J90" s="199" t="s">
        <v>179</v>
      </c>
      <c r="K90" s="199" t="s">
        <v>43</v>
      </c>
      <c r="M90">
        <f t="shared" si="0"/>
        <v>160</v>
      </c>
    </row>
    <row r="91" spans="1:13" x14ac:dyDescent="0.25">
      <c r="A91" s="230">
        <v>9</v>
      </c>
      <c r="B91" s="208" t="s">
        <v>731</v>
      </c>
      <c r="C91" s="205" t="s">
        <v>40</v>
      </c>
      <c r="D91" s="205" t="s">
        <v>732</v>
      </c>
      <c r="E91" s="205" t="s">
        <v>45</v>
      </c>
      <c r="F91" s="206"/>
      <c r="G91" s="205" t="s">
        <v>42</v>
      </c>
      <c r="H91" s="211">
        <v>50</v>
      </c>
      <c r="I91" s="234">
        <v>10</v>
      </c>
      <c r="J91" s="199" t="s">
        <v>179</v>
      </c>
      <c r="K91" s="199" t="s">
        <v>43</v>
      </c>
      <c r="M91">
        <f t="shared" si="0"/>
        <v>10</v>
      </c>
    </row>
    <row r="92" spans="1:13" x14ac:dyDescent="0.25">
      <c r="A92" s="230">
        <v>9</v>
      </c>
      <c r="B92" s="208" t="s">
        <v>733</v>
      </c>
      <c r="C92" s="205" t="s">
        <v>40</v>
      </c>
      <c r="D92" s="205" t="s">
        <v>465</v>
      </c>
      <c r="E92" s="205" t="s">
        <v>45</v>
      </c>
      <c r="F92" s="206" t="s">
        <v>734</v>
      </c>
      <c r="G92" s="205" t="s">
        <v>42</v>
      </c>
      <c r="H92" s="211">
        <v>300</v>
      </c>
      <c r="I92" s="234">
        <v>60</v>
      </c>
      <c r="J92" s="199" t="s">
        <v>179</v>
      </c>
      <c r="K92" s="199" t="s">
        <v>43</v>
      </c>
      <c r="M92">
        <f t="shared" si="0"/>
        <v>60</v>
      </c>
    </row>
    <row r="93" spans="1:13" x14ac:dyDescent="0.25">
      <c r="A93" s="230">
        <v>9</v>
      </c>
      <c r="B93" s="208" t="s">
        <v>733</v>
      </c>
      <c r="C93" s="205" t="s">
        <v>40</v>
      </c>
      <c r="D93" s="205" t="s">
        <v>465</v>
      </c>
      <c r="E93" s="205" t="s">
        <v>45</v>
      </c>
      <c r="F93" s="206" t="s">
        <v>734</v>
      </c>
      <c r="G93" s="205" t="s">
        <v>180</v>
      </c>
      <c r="H93" s="211">
        <v>100</v>
      </c>
      <c r="I93" s="234">
        <v>50</v>
      </c>
      <c r="J93" s="199" t="s">
        <v>179</v>
      </c>
      <c r="K93" s="199" t="s">
        <v>43</v>
      </c>
      <c r="M93">
        <f t="shared" si="0"/>
        <v>20</v>
      </c>
    </row>
    <row r="94" spans="1:13" x14ac:dyDescent="0.25">
      <c r="A94" s="230">
        <v>9</v>
      </c>
      <c r="B94" s="208" t="s">
        <v>735</v>
      </c>
      <c r="C94" s="205" t="s">
        <v>40</v>
      </c>
      <c r="D94" s="205" t="s">
        <v>76</v>
      </c>
      <c r="E94" s="205" t="s">
        <v>44</v>
      </c>
      <c r="F94" s="206" t="s">
        <v>736</v>
      </c>
      <c r="G94" s="205" t="s">
        <v>163</v>
      </c>
      <c r="H94" s="211">
        <v>1500</v>
      </c>
      <c r="I94" s="234">
        <v>1500</v>
      </c>
      <c r="J94" s="199" t="s">
        <v>179</v>
      </c>
      <c r="K94" s="199" t="s">
        <v>43</v>
      </c>
      <c r="M94">
        <f t="shared" si="0"/>
        <v>300</v>
      </c>
    </row>
    <row r="95" spans="1:13" x14ac:dyDescent="0.25">
      <c r="A95" s="196">
        <v>9</v>
      </c>
      <c r="B95" s="212" t="s">
        <v>737</v>
      </c>
      <c r="C95" s="213" t="s">
        <v>40</v>
      </c>
      <c r="D95" s="213" t="s">
        <v>144</v>
      </c>
      <c r="E95" s="213" t="s">
        <v>47</v>
      </c>
      <c r="F95" s="214" t="s">
        <v>738</v>
      </c>
      <c r="G95" s="213" t="s">
        <v>42</v>
      </c>
      <c r="H95" s="215">
        <v>9000</v>
      </c>
      <c r="I95" s="216" t="s">
        <v>255</v>
      </c>
      <c r="J95" s="213" t="s">
        <v>179</v>
      </c>
      <c r="K95" s="213" t="s">
        <v>43</v>
      </c>
      <c r="M95">
        <f t="shared" si="0"/>
        <v>1800</v>
      </c>
    </row>
    <row r="96" spans="1:13" x14ac:dyDescent="0.25">
      <c r="A96" s="230">
        <v>9</v>
      </c>
      <c r="B96" s="208" t="s">
        <v>739</v>
      </c>
      <c r="C96" s="205" t="s">
        <v>40</v>
      </c>
      <c r="D96" s="205" t="s">
        <v>740</v>
      </c>
      <c r="E96" s="205" t="s">
        <v>50</v>
      </c>
      <c r="F96" s="206" t="s">
        <v>741</v>
      </c>
      <c r="G96" s="205" t="s">
        <v>42</v>
      </c>
      <c r="H96" s="211">
        <v>200</v>
      </c>
      <c r="I96" s="234">
        <v>40</v>
      </c>
      <c r="J96" s="199" t="s">
        <v>179</v>
      </c>
      <c r="K96" s="199" t="s">
        <v>43</v>
      </c>
      <c r="M96">
        <f t="shared" si="0"/>
        <v>40</v>
      </c>
    </row>
    <row r="97" spans="1:13" x14ac:dyDescent="0.25">
      <c r="A97" s="230">
        <v>9</v>
      </c>
      <c r="B97" s="208" t="s">
        <v>739</v>
      </c>
      <c r="C97" s="205" t="s">
        <v>40</v>
      </c>
      <c r="D97" s="205" t="s">
        <v>740</v>
      </c>
      <c r="E97" s="205" t="s">
        <v>50</v>
      </c>
      <c r="F97" s="206" t="s">
        <v>741</v>
      </c>
      <c r="G97" s="205" t="s">
        <v>42</v>
      </c>
      <c r="H97" s="211">
        <v>50</v>
      </c>
      <c r="I97" s="234">
        <v>10</v>
      </c>
      <c r="J97" s="199" t="s">
        <v>179</v>
      </c>
      <c r="K97" s="199" t="s">
        <v>43</v>
      </c>
      <c r="M97">
        <f t="shared" si="0"/>
        <v>10</v>
      </c>
    </row>
    <row r="98" spans="1:13" x14ac:dyDescent="0.25">
      <c r="A98" s="230">
        <v>9</v>
      </c>
      <c r="B98" s="208" t="s">
        <v>711</v>
      </c>
      <c r="C98" s="205" t="s">
        <v>40</v>
      </c>
      <c r="D98" s="205" t="s">
        <v>620</v>
      </c>
      <c r="E98" s="205" t="s">
        <v>61</v>
      </c>
      <c r="F98" s="206" t="s">
        <v>712</v>
      </c>
      <c r="G98" s="205" t="s">
        <v>42</v>
      </c>
      <c r="H98" s="211">
        <v>700</v>
      </c>
      <c r="I98" s="234">
        <v>140</v>
      </c>
      <c r="J98" s="199" t="s">
        <v>179</v>
      </c>
      <c r="K98" s="199" t="s">
        <v>43</v>
      </c>
      <c r="M98">
        <f t="shared" si="0"/>
        <v>140</v>
      </c>
    </row>
    <row r="99" spans="1:13" x14ac:dyDescent="0.25">
      <c r="A99" s="230">
        <v>9</v>
      </c>
      <c r="B99" s="208" t="s">
        <v>742</v>
      </c>
      <c r="C99" s="205" t="s">
        <v>40</v>
      </c>
      <c r="D99" s="205" t="s">
        <v>609</v>
      </c>
      <c r="E99" s="205" t="s">
        <v>47</v>
      </c>
      <c r="F99" s="206" t="s">
        <v>743</v>
      </c>
      <c r="G99" s="205" t="s">
        <v>163</v>
      </c>
      <c r="H99" s="211">
        <v>600</v>
      </c>
      <c r="I99" s="234">
        <v>600</v>
      </c>
      <c r="J99" s="199" t="s">
        <v>179</v>
      </c>
      <c r="K99" s="199" t="s">
        <v>43</v>
      </c>
      <c r="M99">
        <f t="shared" si="0"/>
        <v>120</v>
      </c>
    </row>
    <row r="100" spans="1:13" x14ac:dyDescent="0.25">
      <c r="A100" s="230">
        <v>9</v>
      </c>
      <c r="B100" s="208" t="s">
        <v>744</v>
      </c>
      <c r="C100" s="205" t="s">
        <v>48</v>
      </c>
      <c r="D100" s="205" t="s">
        <v>658</v>
      </c>
      <c r="E100" s="205" t="s">
        <v>50</v>
      </c>
      <c r="F100" s="206" t="s">
        <v>745</v>
      </c>
      <c r="G100" s="205" t="s">
        <v>42</v>
      </c>
      <c r="H100" s="211">
        <v>500</v>
      </c>
      <c r="I100" s="234">
        <v>100</v>
      </c>
      <c r="J100" s="199" t="s">
        <v>179</v>
      </c>
      <c r="K100" s="199" t="s">
        <v>43</v>
      </c>
      <c r="M100">
        <f t="shared" si="0"/>
        <v>100</v>
      </c>
    </row>
    <row r="101" spans="1:13" x14ac:dyDescent="0.25">
      <c r="A101" s="230">
        <v>9</v>
      </c>
      <c r="B101" s="208" t="s">
        <v>744</v>
      </c>
      <c r="C101" s="205" t="s">
        <v>48</v>
      </c>
      <c r="D101" s="205" t="s">
        <v>658</v>
      </c>
      <c r="E101" s="205" t="s">
        <v>50</v>
      </c>
      <c r="F101" s="206" t="s">
        <v>745</v>
      </c>
      <c r="G101" s="205" t="s">
        <v>163</v>
      </c>
      <c r="H101" s="211">
        <v>1500</v>
      </c>
      <c r="I101" s="234">
        <v>1500</v>
      </c>
      <c r="J101" s="199" t="s">
        <v>179</v>
      </c>
      <c r="K101" s="199" t="s">
        <v>43</v>
      </c>
      <c r="M101">
        <f t="shared" si="0"/>
        <v>300</v>
      </c>
    </row>
    <row r="102" spans="1:13" x14ac:dyDescent="0.25">
      <c r="A102" s="230">
        <v>9</v>
      </c>
      <c r="B102" s="208" t="s">
        <v>298</v>
      </c>
      <c r="C102" s="205" t="s">
        <v>40</v>
      </c>
      <c r="D102" s="205" t="s">
        <v>299</v>
      </c>
      <c r="E102" s="205" t="s">
        <v>45</v>
      </c>
      <c r="F102" s="206" t="s">
        <v>746</v>
      </c>
      <c r="G102" s="205" t="s">
        <v>42</v>
      </c>
      <c r="H102" s="211">
        <v>100</v>
      </c>
      <c r="I102" s="234">
        <v>20</v>
      </c>
      <c r="J102" s="199" t="s">
        <v>179</v>
      </c>
      <c r="K102" s="199" t="s">
        <v>43</v>
      </c>
      <c r="M102">
        <f t="shared" si="0"/>
        <v>20</v>
      </c>
    </row>
    <row r="103" spans="1:13" x14ac:dyDescent="0.25">
      <c r="A103" s="230">
        <v>9</v>
      </c>
      <c r="B103" s="208" t="s">
        <v>298</v>
      </c>
      <c r="C103" s="205" t="s">
        <v>40</v>
      </c>
      <c r="D103" s="205" t="s">
        <v>299</v>
      </c>
      <c r="E103" s="205" t="s">
        <v>45</v>
      </c>
      <c r="F103" s="206" t="s">
        <v>746</v>
      </c>
      <c r="G103" s="205" t="s">
        <v>163</v>
      </c>
      <c r="H103" s="211">
        <v>100</v>
      </c>
      <c r="I103" s="234">
        <v>100</v>
      </c>
      <c r="J103" s="199" t="s">
        <v>179</v>
      </c>
      <c r="K103" s="199" t="s">
        <v>43</v>
      </c>
      <c r="M103">
        <f t="shared" si="0"/>
        <v>20</v>
      </c>
    </row>
    <row r="104" spans="1:13" x14ac:dyDescent="0.25">
      <c r="A104" s="196">
        <v>9</v>
      </c>
      <c r="B104" s="212" t="s">
        <v>747</v>
      </c>
      <c r="C104" s="213" t="s">
        <v>40</v>
      </c>
      <c r="D104" s="213" t="s">
        <v>342</v>
      </c>
      <c r="E104" s="213" t="s">
        <v>47</v>
      </c>
      <c r="F104" s="214" t="s">
        <v>748</v>
      </c>
      <c r="G104" s="213" t="s">
        <v>42</v>
      </c>
      <c r="H104" s="215">
        <v>2268</v>
      </c>
      <c r="I104" s="216" t="s">
        <v>255</v>
      </c>
      <c r="J104" s="213" t="s">
        <v>179</v>
      </c>
      <c r="K104" s="213" t="s">
        <v>43</v>
      </c>
      <c r="M104">
        <f t="shared" si="0"/>
        <v>453.6</v>
      </c>
    </row>
    <row r="105" spans="1:13" x14ac:dyDescent="0.25">
      <c r="A105" s="230">
        <v>9</v>
      </c>
      <c r="B105" s="208" t="s">
        <v>749</v>
      </c>
      <c r="C105" s="205" t="s">
        <v>40</v>
      </c>
      <c r="D105" s="205" t="s">
        <v>750</v>
      </c>
      <c r="E105" s="205" t="s">
        <v>58</v>
      </c>
      <c r="F105" s="206" t="s">
        <v>751</v>
      </c>
      <c r="G105" s="205" t="s">
        <v>42</v>
      </c>
      <c r="H105" s="211">
        <v>200</v>
      </c>
      <c r="I105" s="234">
        <v>40</v>
      </c>
      <c r="J105" s="199" t="s">
        <v>179</v>
      </c>
      <c r="K105" s="199" t="s">
        <v>43</v>
      </c>
      <c r="M105">
        <f t="shared" si="0"/>
        <v>40</v>
      </c>
    </row>
    <row r="106" spans="1:13" x14ac:dyDescent="0.25">
      <c r="A106" s="230">
        <v>9</v>
      </c>
      <c r="B106" s="208" t="s">
        <v>749</v>
      </c>
      <c r="C106" s="205" t="s">
        <v>40</v>
      </c>
      <c r="D106" s="205" t="s">
        <v>750</v>
      </c>
      <c r="E106" s="205" t="s">
        <v>58</v>
      </c>
      <c r="F106" s="206" t="s">
        <v>751</v>
      </c>
      <c r="G106" s="205" t="s">
        <v>180</v>
      </c>
      <c r="H106" s="211">
        <v>300</v>
      </c>
      <c r="I106" s="234">
        <v>150</v>
      </c>
      <c r="J106" s="199" t="s">
        <v>179</v>
      </c>
      <c r="K106" s="199" t="s">
        <v>43</v>
      </c>
      <c r="M106">
        <f t="shared" si="0"/>
        <v>60</v>
      </c>
    </row>
    <row r="107" spans="1:13" x14ac:dyDescent="0.25">
      <c r="A107" s="230">
        <v>9</v>
      </c>
      <c r="B107" s="208" t="s">
        <v>752</v>
      </c>
      <c r="C107" s="205" t="s">
        <v>40</v>
      </c>
      <c r="D107" s="205" t="s">
        <v>363</v>
      </c>
      <c r="E107" s="205" t="s">
        <v>72</v>
      </c>
      <c r="F107" s="206" t="s">
        <v>753</v>
      </c>
      <c r="G107" s="205" t="s">
        <v>180</v>
      </c>
      <c r="H107" s="211">
        <v>500</v>
      </c>
      <c r="I107" s="234">
        <v>250</v>
      </c>
      <c r="J107" s="199" t="s">
        <v>179</v>
      </c>
      <c r="K107" s="199" t="s">
        <v>43</v>
      </c>
      <c r="M107">
        <f t="shared" si="0"/>
        <v>100</v>
      </c>
    </row>
    <row r="108" spans="1:13" x14ac:dyDescent="0.25">
      <c r="A108" s="230">
        <v>9</v>
      </c>
      <c r="B108" s="208" t="s">
        <v>633</v>
      </c>
      <c r="C108" s="205" t="s">
        <v>40</v>
      </c>
      <c r="D108" s="205" t="s">
        <v>634</v>
      </c>
      <c r="E108" s="205" t="s">
        <v>63</v>
      </c>
      <c r="F108" s="206" t="s">
        <v>754</v>
      </c>
      <c r="G108" s="205" t="s">
        <v>180</v>
      </c>
      <c r="H108" s="211">
        <v>200</v>
      </c>
      <c r="I108" s="234">
        <v>100</v>
      </c>
      <c r="J108" s="199" t="s">
        <v>179</v>
      </c>
      <c r="K108" s="199" t="s">
        <v>43</v>
      </c>
      <c r="M108">
        <f t="shared" si="0"/>
        <v>40</v>
      </c>
    </row>
    <row r="109" spans="1:13" x14ac:dyDescent="0.25">
      <c r="A109" s="230">
        <v>9</v>
      </c>
      <c r="B109" s="208" t="s">
        <v>755</v>
      </c>
      <c r="C109" s="205" t="s">
        <v>40</v>
      </c>
      <c r="D109" s="205" t="s">
        <v>76</v>
      </c>
      <c r="E109" s="205" t="s">
        <v>44</v>
      </c>
      <c r="F109" s="206" t="s">
        <v>756</v>
      </c>
      <c r="G109" s="205" t="s">
        <v>180</v>
      </c>
      <c r="H109" s="211">
        <v>1000</v>
      </c>
      <c r="I109" s="234">
        <v>500</v>
      </c>
      <c r="J109" s="199" t="s">
        <v>179</v>
      </c>
      <c r="K109" s="199" t="s">
        <v>43</v>
      </c>
      <c r="M109">
        <f t="shared" si="0"/>
        <v>200</v>
      </c>
    </row>
    <row r="110" spans="1:13" x14ac:dyDescent="0.25">
      <c r="A110" s="230">
        <v>9</v>
      </c>
      <c r="B110" s="208" t="s">
        <v>629</v>
      </c>
      <c r="C110" s="205" t="s">
        <v>40</v>
      </c>
      <c r="D110" s="205" t="s">
        <v>417</v>
      </c>
      <c r="E110" s="205" t="s">
        <v>50</v>
      </c>
      <c r="F110" s="206" t="s">
        <v>630</v>
      </c>
      <c r="G110" s="205" t="s">
        <v>180</v>
      </c>
      <c r="H110" s="211">
        <v>400</v>
      </c>
      <c r="I110" s="234">
        <v>200</v>
      </c>
      <c r="J110" s="199" t="s">
        <v>179</v>
      </c>
      <c r="K110" s="199" t="s">
        <v>43</v>
      </c>
      <c r="M110">
        <f t="shared" si="0"/>
        <v>80</v>
      </c>
    </row>
    <row r="111" spans="1:13" x14ac:dyDescent="0.25">
      <c r="A111" s="230">
        <v>9</v>
      </c>
      <c r="B111" s="208" t="s">
        <v>757</v>
      </c>
      <c r="C111" s="205" t="s">
        <v>40</v>
      </c>
      <c r="D111" s="205" t="s">
        <v>758</v>
      </c>
      <c r="E111" s="205" t="s">
        <v>44</v>
      </c>
      <c r="F111" s="206" t="s">
        <v>759</v>
      </c>
      <c r="G111" s="205" t="s">
        <v>180</v>
      </c>
      <c r="H111" s="211">
        <v>500</v>
      </c>
      <c r="I111" s="234">
        <v>250</v>
      </c>
      <c r="J111" s="199" t="s">
        <v>179</v>
      </c>
      <c r="K111" s="199" t="s">
        <v>43</v>
      </c>
      <c r="M111">
        <f t="shared" si="0"/>
        <v>100</v>
      </c>
    </row>
    <row r="112" spans="1:13" x14ac:dyDescent="0.25">
      <c r="A112" s="230">
        <v>9</v>
      </c>
      <c r="B112" s="208" t="s">
        <v>760</v>
      </c>
      <c r="C112" s="205" t="s">
        <v>48</v>
      </c>
      <c r="D112" s="205" t="s">
        <v>380</v>
      </c>
      <c r="E112" s="205" t="s">
        <v>45</v>
      </c>
      <c r="F112" s="206"/>
      <c r="G112" s="205" t="s">
        <v>42</v>
      </c>
      <c r="H112" s="211">
        <v>8000</v>
      </c>
      <c r="I112" s="234">
        <v>1600</v>
      </c>
      <c r="J112" s="199" t="s">
        <v>179</v>
      </c>
      <c r="K112" s="199" t="s">
        <v>43</v>
      </c>
      <c r="M112">
        <f t="shared" si="0"/>
        <v>1600</v>
      </c>
    </row>
    <row r="113" spans="1:13" x14ac:dyDescent="0.25">
      <c r="A113" s="230">
        <v>13</v>
      </c>
      <c r="B113" s="208" t="s">
        <v>761</v>
      </c>
      <c r="C113" s="205" t="s">
        <v>40</v>
      </c>
      <c r="D113" s="205" t="s">
        <v>141</v>
      </c>
      <c r="E113" s="205" t="s">
        <v>45</v>
      </c>
      <c r="F113" s="206"/>
      <c r="G113" s="205" t="s">
        <v>42</v>
      </c>
      <c r="H113" s="211">
        <v>3000</v>
      </c>
      <c r="I113" s="234">
        <v>600</v>
      </c>
      <c r="J113" s="199" t="s">
        <v>179</v>
      </c>
      <c r="K113" s="199" t="s">
        <v>43</v>
      </c>
      <c r="M113">
        <f t="shared" si="0"/>
        <v>600</v>
      </c>
    </row>
    <row r="114" spans="1:13" x14ac:dyDescent="0.25">
      <c r="A114" s="230">
        <v>13</v>
      </c>
      <c r="B114" s="208" t="s">
        <v>762</v>
      </c>
      <c r="C114" s="205" t="s">
        <v>40</v>
      </c>
      <c r="D114" s="205" t="s">
        <v>763</v>
      </c>
      <c r="E114" s="205" t="s">
        <v>57</v>
      </c>
      <c r="F114" s="206" t="s">
        <v>764</v>
      </c>
      <c r="G114" s="205" t="s">
        <v>42</v>
      </c>
      <c r="H114" s="211">
        <v>1000</v>
      </c>
      <c r="I114" s="234">
        <v>200</v>
      </c>
      <c r="J114" s="199" t="s">
        <v>179</v>
      </c>
      <c r="K114" s="199" t="s">
        <v>43</v>
      </c>
      <c r="M114">
        <f t="shared" si="0"/>
        <v>200</v>
      </c>
    </row>
    <row r="115" spans="1:13" x14ac:dyDescent="0.25">
      <c r="A115" s="230">
        <v>13</v>
      </c>
      <c r="B115" s="208" t="s">
        <v>762</v>
      </c>
      <c r="C115" s="205" t="s">
        <v>40</v>
      </c>
      <c r="D115" s="205" t="s">
        <v>763</v>
      </c>
      <c r="E115" s="205" t="s">
        <v>57</v>
      </c>
      <c r="F115" s="206" t="s">
        <v>764</v>
      </c>
      <c r="G115" s="205" t="s">
        <v>180</v>
      </c>
      <c r="H115" s="211">
        <v>500</v>
      </c>
      <c r="I115" s="234">
        <v>250</v>
      </c>
      <c r="J115" s="199" t="s">
        <v>179</v>
      </c>
      <c r="K115" s="199" t="s">
        <v>43</v>
      </c>
      <c r="M115">
        <f t="shared" si="0"/>
        <v>100</v>
      </c>
    </row>
    <row r="116" spans="1:13" x14ac:dyDescent="0.25">
      <c r="A116" s="230">
        <v>13</v>
      </c>
      <c r="B116" s="208" t="s">
        <v>765</v>
      </c>
      <c r="C116" s="205" t="s">
        <v>40</v>
      </c>
      <c r="D116" s="205" t="s">
        <v>342</v>
      </c>
      <c r="E116" s="205" t="s">
        <v>47</v>
      </c>
      <c r="F116" s="206" t="s">
        <v>766</v>
      </c>
      <c r="G116" s="205" t="s">
        <v>163</v>
      </c>
      <c r="H116" s="211">
        <v>1000</v>
      </c>
      <c r="I116" s="234">
        <v>1000</v>
      </c>
      <c r="J116" s="199" t="s">
        <v>179</v>
      </c>
      <c r="K116" s="199" t="s">
        <v>43</v>
      </c>
      <c r="M116">
        <f t="shared" si="0"/>
        <v>200</v>
      </c>
    </row>
    <row r="117" spans="1:13" x14ac:dyDescent="0.25">
      <c r="A117" s="230">
        <v>13</v>
      </c>
      <c r="B117" s="208" t="s">
        <v>767</v>
      </c>
      <c r="C117" s="205" t="s">
        <v>40</v>
      </c>
      <c r="D117" s="205" t="s">
        <v>372</v>
      </c>
      <c r="E117" s="205" t="s">
        <v>44</v>
      </c>
      <c r="F117" s="206"/>
      <c r="G117" s="205" t="s">
        <v>42</v>
      </c>
      <c r="H117" s="211">
        <v>500</v>
      </c>
      <c r="I117" s="234">
        <v>100</v>
      </c>
      <c r="J117" s="199" t="s">
        <v>179</v>
      </c>
      <c r="K117" s="199" t="s">
        <v>43</v>
      </c>
      <c r="M117">
        <f t="shared" si="0"/>
        <v>100</v>
      </c>
    </row>
    <row r="118" spans="1:13" x14ac:dyDescent="0.25">
      <c r="A118" s="230">
        <v>13</v>
      </c>
      <c r="B118" s="208" t="s">
        <v>768</v>
      </c>
      <c r="C118" s="205" t="s">
        <v>40</v>
      </c>
      <c r="D118" s="205" t="s">
        <v>769</v>
      </c>
      <c r="E118" s="205" t="s">
        <v>51</v>
      </c>
      <c r="F118" s="206"/>
      <c r="G118" s="205" t="s">
        <v>162</v>
      </c>
      <c r="H118" s="211">
        <v>20</v>
      </c>
      <c r="I118" s="234">
        <v>100</v>
      </c>
      <c r="J118" s="199" t="s">
        <v>179</v>
      </c>
      <c r="K118" s="199" t="s">
        <v>43</v>
      </c>
      <c r="M118">
        <f t="shared" ref="M118:M200" si="1">H118/5</f>
        <v>4</v>
      </c>
    </row>
    <row r="119" spans="1:13" x14ac:dyDescent="0.25">
      <c r="A119" s="230">
        <v>13</v>
      </c>
      <c r="B119" s="208" t="s">
        <v>770</v>
      </c>
      <c r="C119" s="205" t="s">
        <v>40</v>
      </c>
      <c r="D119" s="205" t="s">
        <v>380</v>
      </c>
      <c r="E119" s="205" t="s">
        <v>45</v>
      </c>
      <c r="F119" s="206"/>
      <c r="G119" s="205" t="s">
        <v>162</v>
      </c>
      <c r="H119" s="211">
        <v>10</v>
      </c>
      <c r="I119" s="234">
        <v>50</v>
      </c>
      <c r="J119" s="199" t="s">
        <v>179</v>
      </c>
      <c r="K119" s="199" t="s">
        <v>43</v>
      </c>
      <c r="M119">
        <f t="shared" si="1"/>
        <v>2</v>
      </c>
    </row>
    <row r="120" spans="1:13" x14ac:dyDescent="0.25">
      <c r="A120" s="230">
        <v>13</v>
      </c>
      <c r="B120" s="208" t="s">
        <v>344</v>
      </c>
      <c r="C120" s="205" t="s">
        <v>40</v>
      </c>
      <c r="D120" s="205" t="s">
        <v>145</v>
      </c>
      <c r="E120" s="205" t="s">
        <v>50</v>
      </c>
      <c r="F120" s="206"/>
      <c r="G120" s="205" t="s">
        <v>42</v>
      </c>
      <c r="H120" s="211">
        <v>1500</v>
      </c>
      <c r="I120" s="234">
        <v>300</v>
      </c>
      <c r="J120" s="199" t="s">
        <v>179</v>
      </c>
      <c r="K120" s="199" t="s">
        <v>43</v>
      </c>
      <c r="M120">
        <f t="shared" si="1"/>
        <v>300</v>
      </c>
    </row>
    <row r="121" spans="1:13" x14ac:dyDescent="0.25">
      <c r="A121" s="230">
        <v>13</v>
      </c>
      <c r="B121" s="208" t="s">
        <v>771</v>
      </c>
      <c r="C121" s="205" t="s">
        <v>40</v>
      </c>
      <c r="D121" s="205" t="s">
        <v>772</v>
      </c>
      <c r="E121" s="205" t="s">
        <v>693</v>
      </c>
      <c r="F121" s="206"/>
      <c r="G121" s="205" t="s">
        <v>162</v>
      </c>
      <c r="H121" s="211">
        <v>10</v>
      </c>
      <c r="I121" s="234">
        <v>50</v>
      </c>
      <c r="J121" s="199" t="s">
        <v>179</v>
      </c>
      <c r="K121" s="199" t="s">
        <v>43</v>
      </c>
      <c r="M121">
        <f t="shared" si="1"/>
        <v>2</v>
      </c>
    </row>
    <row r="122" spans="1:13" x14ac:dyDescent="0.25">
      <c r="A122" s="230">
        <v>13</v>
      </c>
      <c r="B122" s="208" t="s">
        <v>773</v>
      </c>
      <c r="C122" s="205" t="s">
        <v>40</v>
      </c>
      <c r="D122" s="205" t="s">
        <v>774</v>
      </c>
      <c r="E122" s="205" t="s">
        <v>52</v>
      </c>
      <c r="F122" s="206" t="s">
        <v>775</v>
      </c>
      <c r="G122" s="205" t="s">
        <v>180</v>
      </c>
      <c r="H122" s="211">
        <v>3000</v>
      </c>
      <c r="I122" s="234">
        <v>1500</v>
      </c>
      <c r="J122" s="199" t="s">
        <v>179</v>
      </c>
      <c r="K122" s="199" t="s">
        <v>43</v>
      </c>
      <c r="M122">
        <f t="shared" si="1"/>
        <v>600</v>
      </c>
    </row>
    <row r="123" spans="1:13" x14ac:dyDescent="0.25">
      <c r="A123" s="230">
        <v>14</v>
      </c>
      <c r="B123" s="208" t="s">
        <v>780</v>
      </c>
      <c r="C123" s="205" t="s">
        <v>40</v>
      </c>
      <c r="D123" s="205" t="s">
        <v>315</v>
      </c>
      <c r="E123" s="205" t="s">
        <v>45</v>
      </c>
      <c r="F123" s="206"/>
      <c r="G123" s="205" t="s">
        <v>162</v>
      </c>
      <c r="H123" s="211">
        <v>20</v>
      </c>
      <c r="I123" s="234">
        <v>100</v>
      </c>
      <c r="J123" s="199" t="s">
        <v>179</v>
      </c>
      <c r="K123" s="199" t="s">
        <v>43</v>
      </c>
      <c r="M123">
        <f t="shared" si="1"/>
        <v>4</v>
      </c>
    </row>
    <row r="124" spans="1:13" x14ac:dyDescent="0.25">
      <c r="A124" s="230">
        <v>14</v>
      </c>
      <c r="B124" s="208" t="s">
        <v>781</v>
      </c>
      <c r="C124" s="205" t="s">
        <v>40</v>
      </c>
      <c r="D124" s="205"/>
      <c r="E124" s="205" t="s">
        <v>65</v>
      </c>
      <c r="F124" s="206" t="s">
        <v>782</v>
      </c>
      <c r="G124" s="205" t="s">
        <v>162</v>
      </c>
      <c r="H124" s="211">
        <v>5</v>
      </c>
      <c r="I124" s="234" t="s">
        <v>255</v>
      </c>
      <c r="J124" s="199" t="s">
        <v>179</v>
      </c>
      <c r="K124" s="199" t="s">
        <v>43</v>
      </c>
      <c r="M124">
        <f t="shared" si="1"/>
        <v>1</v>
      </c>
    </row>
    <row r="125" spans="1:13" x14ac:dyDescent="0.25">
      <c r="A125" s="276">
        <v>14</v>
      </c>
      <c r="B125" s="208" t="s">
        <v>783</v>
      </c>
      <c r="C125" s="205" t="s">
        <v>40</v>
      </c>
      <c r="D125" s="205" t="s">
        <v>380</v>
      </c>
      <c r="E125" s="205" t="s">
        <v>45</v>
      </c>
      <c r="F125" s="206"/>
      <c r="G125" s="205" t="s">
        <v>42</v>
      </c>
      <c r="H125" s="211">
        <v>1000</v>
      </c>
      <c r="I125" s="234">
        <v>200</v>
      </c>
      <c r="J125" s="199" t="s">
        <v>179</v>
      </c>
      <c r="K125" s="199" t="s">
        <v>43</v>
      </c>
      <c r="M125">
        <f t="shared" si="1"/>
        <v>200</v>
      </c>
    </row>
    <row r="126" spans="1:13" x14ac:dyDescent="0.25">
      <c r="A126" s="230">
        <v>14</v>
      </c>
      <c r="B126" s="208" t="s">
        <v>792</v>
      </c>
      <c r="C126" s="205" t="s">
        <v>40</v>
      </c>
      <c r="D126" s="205" t="s">
        <v>793</v>
      </c>
      <c r="E126" s="205" t="s">
        <v>58</v>
      </c>
      <c r="F126" s="206" t="s">
        <v>794</v>
      </c>
      <c r="G126" s="205" t="s">
        <v>42</v>
      </c>
      <c r="H126" s="211">
        <v>100</v>
      </c>
      <c r="I126" s="234">
        <v>20</v>
      </c>
      <c r="J126" s="199" t="s">
        <v>179</v>
      </c>
      <c r="K126" s="199" t="s">
        <v>43</v>
      </c>
      <c r="M126">
        <f t="shared" si="1"/>
        <v>20</v>
      </c>
    </row>
    <row r="127" spans="1:13" x14ac:dyDescent="0.25">
      <c r="A127" s="230">
        <v>14</v>
      </c>
      <c r="B127" s="208" t="s">
        <v>792</v>
      </c>
      <c r="C127" s="205" t="s">
        <v>40</v>
      </c>
      <c r="D127" s="205" t="s">
        <v>793</v>
      </c>
      <c r="E127" s="205" t="s">
        <v>58</v>
      </c>
      <c r="F127" s="206" t="s">
        <v>794</v>
      </c>
      <c r="G127" s="205" t="s">
        <v>180</v>
      </c>
      <c r="H127" s="211">
        <v>100</v>
      </c>
      <c r="I127" s="234">
        <v>50</v>
      </c>
      <c r="J127" s="199" t="s">
        <v>179</v>
      </c>
      <c r="K127" s="199" t="s">
        <v>43</v>
      </c>
      <c r="M127">
        <f t="shared" si="1"/>
        <v>20</v>
      </c>
    </row>
    <row r="128" spans="1:13" x14ac:dyDescent="0.25">
      <c r="A128" s="230">
        <v>14</v>
      </c>
      <c r="B128" s="208" t="s">
        <v>795</v>
      </c>
      <c r="C128" s="205" t="s">
        <v>40</v>
      </c>
      <c r="D128" s="205" t="s">
        <v>402</v>
      </c>
      <c r="E128" s="205" t="s">
        <v>57</v>
      </c>
      <c r="F128" s="206" t="s">
        <v>796</v>
      </c>
      <c r="G128" s="205" t="s">
        <v>162</v>
      </c>
      <c r="H128" s="211">
        <v>100</v>
      </c>
      <c r="I128" s="234">
        <v>500</v>
      </c>
      <c r="J128" s="199" t="s">
        <v>179</v>
      </c>
      <c r="K128" s="199" t="s">
        <v>43</v>
      </c>
      <c r="M128">
        <f t="shared" si="1"/>
        <v>20</v>
      </c>
    </row>
    <row r="129" spans="1:13" x14ac:dyDescent="0.25">
      <c r="A129" s="230">
        <v>15</v>
      </c>
      <c r="B129" s="208" t="s">
        <v>490</v>
      </c>
      <c r="C129" s="205" t="s">
        <v>40</v>
      </c>
      <c r="D129" s="205" t="s">
        <v>491</v>
      </c>
      <c r="E129" s="205" t="s">
        <v>44</v>
      </c>
      <c r="F129" s="206" t="s">
        <v>797</v>
      </c>
      <c r="G129" s="205" t="s">
        <v>42</v>
      </c>
      <c r="H129" s="211">
        <v>3000</v>
      </c>
      <c r="I129" s="234">
        <v>600</v>
      </c>
      <c r="J129" s="199" t="s">
        <v>179</v>
      </c>
      <c r="K129" s="199" t="s">
        <v>43</v>
      </c>
      <c r="M129">
        <f t="shared" si="1"/>
        <v>600</v>
      </c>
    </row>
    <row r="130" spans="1:13" x14ac:dyDescent="0.25">
      <c r="A130" s="276">
        <v>15</v>
      </c>
      <c r="B130" s="208" t="s">
        <v>798</v>
      </c>
      <c r="C130" s="205" t="s">
        <v>40</v>
      </c>
      <c r="D130" s="205" t="s">
        <v>315</v>
      </c>
      <c r="E130" s="205" t="s">
        <v>45</v>
      </c>
      <c r="F130" s="206"/>
      <c r="G130" s="205" t="s">
        <v>42</v>
      </c>
      <c r="H130" s="211">
        <v>50</v>
      </c>
      <c r="I130" s="234" t="s">
        <v>255</v>
      </c>
      <c r="J130" s="199" t="s">
        <v>179</v>
      </c>
      <c r="K130" s="199" t="s">
        <v>43</v>
      </c>
      <c r="M130">
        <f t="shared" si="1"/>
        <v>10</v>
      </c>
    </row>
    <row r="131" spans="1:13" x14ac:dyDescent="0.25">
      <c r="A131" s="230">
        <v>15</v>
      </c>
      <c r="B131" s="208" t="s">
        <v>803</v>
      </c>
      <c r="C131" s="205" t="s">
        <v>40</v>
      </c>
      <c r="D131" s="205" t="s">
        <v>144</v>
      </c>
      <c r="E131" s="205" t="s">
        <v>63</v>
      </c>
      <c r="F131" s="206" t="s">
        <v>804</v>
      </c>
      <c r="G131" s="205" t="s">
        <v>42</v>
      </c>
      <c r="H131" s="211">
        <v>500</v>
      </c>
      <c r="I131" s="234">
        <v>100</v>
      </c>
      <c r="J131" s="199" t="s">
        <v>179</v>
      </c>
      <c r="K131" s="199" t="s">
        <v>43</v>
      </c>
      <c r="M131">
        <f t="shared" si="1"/>
        <v>100</v>
      </c>
    </row>
    <row r="132" spans="1:13" x14ac:dyDescent="0.25">
      <c r="A132" s="230">
        <v>16</v>
      </c>
      <c r="B132" s="208" t="s">
        <v>805</v>
      </c>
      <c r="C132" s="205" t="s">
        <v>40</v>
      </c>
      <c r="D132" s="205" t="s">
        <v>806</v>
      </c>
      <c r="E132" s="205" t="s">
        <v>44</v>
      </c>
      <c r="F132" s="206" t="s">
        <v>807</v>
      </c>
      <c r="G132" s="205" t="s">
        <v>42</v>
      </c>
      <c r="H132" s="211">
        <v>500</v>
      </c>
      <c r="I132" s="234" t="s">
        <v>255</v>
      </c>
      <c r="J132" s="199" t="s">
        <v>179</v>
      </c>
      <c r="K132" s="199" t="s">
        <v>43</v>
      </c>
      <c r="M132">
        <f t="shared" si="1"/>
        <v>100</v>
      </c>
    </row>
    <row r="133" spans="1:13" x14ac:dyDescent="0.25">
      <c r="A133" s="230">
        <v>16</v>
      </c>
      <c r="B133" s="208" t="s">
        <v>808</v>
      </c>
      <c r="C133" s="205" t="s">
        <v>40</v>
      </c>
      <c r="D133" s="205" t="s">
        <v>809</v>
      </c>
      <c r="E133" s="205" t="s">
        <v>47</v>
      </c>
      <c r="F133" s="206"/>
      <c r="G133" s="205" t="s">
        <v>42</v>
      </c>
      <c r="H133" s="211">
        <v>6000</v>
      </c>
      <c r="I133" s="234" t="s">
        <v>255</v>
      </c>
      <c r="J133" s="199" t="s">
        <v>179</v>
      </c>
      <c r="K133" s="199" t="s">
        <v>43</v>
      </c>
      <c r="M133">
        <f t="shared" si="1"/>
        <v>1200</v>
      </c>
    </row>
    <row r="134" spans="1:13" x14ac:dyDescent="0.25">
      <c r="A134" s="230">
        <v>16</v>
      </c>
      <c r="B134" s="208" t="s">
        <v>810</v>
      </c>
      <c r="C134" s="205" t="s">
        <v>40</v>
      </c>
      <c r="D134" s="205" t="s">
        <v>602</v>
      </c>
      <c r="E134" s="205" t="s">
        <v>47</v>
      </c>
      <c r="F134" s="206"/>
      <c r="G134" s="205" t="s">
        <v>42</v>
      </c>
      <c r="H134" s="211">
        <v>2070</v>
      </c>
      <c r="I134" s="234" t="s">
        <v>255</v>
      </c>
      <c r="J134" s="199" t="s">
        <v>179</v>
      </c>
      <c r="K134" s="199" t="s">
        <v>43</v>
      </c>
      <c r="M134">
        <f t="shared" si="1"/>
        <v>414</v>
      </c>
    </row>
    <row r="135" spans="1:13" x14ac:dyDescent="0.25">
      <c r="A135" s="230">
        <v>16</v>
      </c>
      <c r="B135" s="208" t="s">
        <v>811</v>
      </c>
      <c r="C135" s="205" t="s">
        <v>40</v>
      </c>
      <c r="D135" s="205" t="s">
        <v>812</v>
      </c>
      <c r="E135" s="205" t="s">
        <v>50</v>
      </c>
      <c r="F135" s="206" t="s">
        <v>813</v>
      </c>
      <c r="G135" s="205" t="s">
        <v>42</v>
      </c>
      <c r="H135" s="211">
        <v>400</v>
      </c>
      <c r="I135" s="234">
        <v>80</v>
      </c>
      <c r="J135" s="199" t="s">
        <v>179</v>
      </c>
      <c r="K135" s="199" t="s">
        <v>43</v>
      </c>
      <c r="M135">
        <f t="shared" si="1"/>
        <v>80</v>
      </c>
    </row>
    <row r="136" spans="1:13" x14ac:dyDescent="0.25">
      <c r="A136" s="230">
        <v>20</v>
      </c>
      <c r="B136" s="208" t="s">
        <v>814</v>
      </c>
      <c r="C136" s="205" t="s">
        <v>40</v>
      </c>
      <c r="D136" s="205" t="s">
        <v>815</v>
      </c>
      <c r="E136" s="205" t="s">
        <v>45</v>
      </c>
      <c r="F136" s="206" t="s">
        <v>816</v>
      </c>
      <c r="G136" s="205" t="s">
        <v>42</v>
      </c>
      <c r="H136" s="211">
        <v>1000</v>
      </c>
      <c r="I136" s="234">
        <v>200</v>
      </c>
      <c r="J136" s="199" t="s">
        <v>179</v>
      </c>
      <c r="K136" s="199" t="s">
        <v>43</v>
      </c>
      <c r="M136">
        <f t="shared" si="1"/>
        <v>200</v>
      </c>
    </row>
    <row r="137" spans="1:13" x14ac:dyDescent="0.25">
      <c r="A137" s="230">
        <v>20</v>
      </c>
      <c r="B137" s="208" t="s">
        <v>817</v>
      </c>
      <c r="C137" s="205" t="s">
        <v>40</v>
      </c>
      <c r="D137" s="205" t="s">
        <v>818</v>
      </c>
      <c r="E137" s="205" t="s">
        <v>53</v>
      </c>
      <c r="F137" s="206" t="s">
        <v>819</v>
      </c>
      <c r="G137" s="205" t="s">
        <v>162</v>
      </c>
      <c r="H137" s="211">
        <v>200</v>
      </c>
      <c r="I137" s="234">
        <v>1000</v>
      </c>
      <c r="J137" s="199" t="s">
        <v>179</v>
      </c>
      <c r="K137" s="199" t="s">
        <v>43</v>
      </c>
      <c r="M137">
        <f t="shared" si="1"/>
        <v>40</v>
      </c>
    </row>
    <row r="138" spans="1:13" x14ac:dyDescent="0.25">
      <c r="A138" s="230">
        <v>20</v>
      </c>
      <c r="B138" s="208" t="s">
        <v>820</v>
      </c>
      <c r="C138" s="205" t="s">
        <v>40</v>
      </c>
      <c r="D138" s="205" t="s">
        <v>609</v>
      </c>
      <c r="E138" s="205" t="s">
        <v>47</v>
      </c>
      <c r="F138" s="206" t="s">
        <v>821</v>
      </c>
      <c r="G138" s="205" t="s">
        <v>162</v>
      </c>
      <c r="H138" s="211">
        <v>54</v>
      </c>
      <c r="I138" s="234">
        <v>270</v>
      </c>
      <c r="J138" s="199" t="s">
        <v>179</v>
      </c>
      <c r="K138" s="199" t="s">
        <v>43</v>
      </c>
      <c r="M138">
        <f t="shared" si="1"/>
        <v>10.8</v>
      </c>
    </row>
    <row r="139" spans="1:13" x14ac:dyDescent="0.25">
      <c r="A139" s="230">
        <v>20</v>
      </c>
      <c r="B139" s="208" t="s">
        <v>822</v>
      </c>
      <c r="C139" s="205" t="s">
        <v>40</v>
      </c>
      <c r="D139" s="205" t="s">
        <v>725</v>
      </c>
      <c r="E139" s="205" t="s">
        <v>45</v>
      </c>
      <c r="F139" s="206" t="s">
        <v>823</v>
      </c>
      <c r="G139" s="205" t="s">
        <v>42</v>
      </c>
      <c r="H139" s="211">
        <v>500</v>
      </c>
      <c r="I139" s="234">
        <v>100</v>
      </c>
      <c r="J139" s="199" t="s">
        <v>179</v>
      </c>
      <c r="K139" s="199" t="s">
        <v>43</v>
      </c>
      <c r="M139">
        <f t="shared" si="1"/>
        <v>100</v>
      </c>
    </row>
    <row r="140" spans="1:13" x14ac:dyDescent="0.25">
      <c r="A140" s="230">
        <v>20</v>
      </c>
      <c r="B140" s="208" t="s">
        <v>822</v>
      </c>
      <c r="C140" s="205" t="s">
        <v>40</v>
      </c>
      <c r="D140" s="205" t="s">
        <v>725</v>
      </c>
      <c r="E140" s="205" t="s">
        <v>45</v>
      </c>
      <c r="F140" s="206" t="s">
        <v>823</v>
      </c>
      <c r="G140" s="205" t="s">
        <v>162</v>
      </c>
      <c r="H140" s="211">
        <v>20</v>
      </c>
      <c r="I140" s="234">
        <v>100</v>
      </c>
      <c r="J140" s="199" t="s">
        <v>179</v>
      </c>
      <c r="K140" s="199" t="s">
        <v>43</v>
      </c>
      <c r="M140">
        <f t="shared" si="1"/>
        <v>4</v>
      </c>
    </row>
    <row r="141" spans="1:13" x14ac:dyDescent="0.25">
      <c r="A141" s="230">
        <v>20</v>
      </c>
      <c r="B141" s="208" t="s">
        <v>824</v>
      </c>
      <c r="C141" s="205" t="s">
        <v>40</v>
      </c>
      <c r="D141" s="205" t="s">
        <v>609</v>
      </c>
      <c r="E141" s="205" t="s">
        <v>47</v>
      </c>
      <c r="F141" s="206" t="s">
        <v>825</v>
      </c>
      <c r="G141" s="205" t="s">
        <v>162</v>
      </c>
      <c r="H141" s="211">
        <v>20</v>
      </c>
      <c r="I141" s="234">
        <v>100</v>
      </c>
      <c r="J141" s="199" t="s">
        <v>179</v>
      </c>
      <c r="K141" s="199" t="s">
        <v>43</v>
      </c>
      <c r="M141">
        <f t="shared" si="1"/>
        <v>4</v>
      </c>
    </row>
    <row r="142" spans="1:13" x14ac:dyDescent="0.25">
      <c r="A142" s="230">
        <v>20</v>
      </c>
      <c r="B142" s="208" t="s">
        <v>826</v>
      </c>
      <c r="C142" s="205" t="s">
        <v>40</v>
      </c>
      <c r="D142" s="205" t="s">
        <v>595</v>
      </c>
      <c r="E142" s="205" t="s">
        <v>47</v>
      </c>
      <c r="F142" s="206" t="s">
        <v>827</v>
      </c>
      <c r="G142" s="205" t="s">
        <v>162</v>
      </c>
      <c r="H142" s="211">
        <v>20</v>
      </c>
      <c r="I142" s="234">
        <v>100</v>
      </c>
      <c r="J142" s="199" t="s">
        <v>179</v>
      </c>
      <c r="K142" s="199" t="s">
        <v>43</v>
      </c>
      <c r="M142">
        <f t="shared" si="1"/>
        <v>4</v>
      </c>
    </row>
    <row r="143" spans="1:13" x14ac:dyDescent="0.25">
      <c r="A143" s="230">
        <v>20</v>
      </c>
      <c r="B143" s="208" t="s">
        <v>828</v>
      </c>
      <c r="C143" s="205" t="s">
        <v>40</v>
      </c>
      <c r="D143" s="205" t="s">
        <v>595</v>
      </c>
      <c r="E143" s="205" t="s">
        <v>47</v>
      </c>
      <c r="F143" s="206"/>
      <c r="G143" s="205" t="s">
        <v>162</v>
      </c>
      <c r="H143" s="211">
        <v>20</v>
      </c>
      <c r="I143" s="234">
        <v>100</v>
      </c>
      <c r="J143" s="199" t="s">
        <v>179</v>
      </c>
      <c r="K143" s="199" t="s">
        <v>43</v>
      </c>
      <c r="M143">
        <f t="shared" si="1"/>
        <v>4</v>
      </c>
    </row>
    <row r="144" spans="1:13" x14ac:dyDescent="0.25">
      <c r="A144" s="230">
        <v>20</v>
      </c>
      <c r="B144" s="208" t="s">
        <v>829</v>
      </c>
      <c r="C144" s="205" t="s">
        <v>48</v>
      </c>
      <c r="D144" s="205" t="s">
        <v>342</v>
      </c>
      <c r="E144" s="205" t="s">
        <v>47</v>
      </c>
      <c r="F144" s="206" t="s">
        <v>830</v>
      </c>
      <c r="G144" s="205" t="s">
        <v>162</v>
      </c>
      <c r="H144" s="211">
        <v>20</v>
      </c>
      <c r="I144" s="234">
        <v>100</v>
      </c>
      <c r="J144" s="199" t="s">
        <v>179</v>
      </c>
      <c r="K144" s="199" t="s">
        <v>43</v>
      </c>
      <c r="M144">
        <f t="shared" si="1"/>
        <v>4</v>
      </c>
    </row>
    <row r="145" spans="1:13" x14ac:dyDescent="0.25">
      <c r="A145" s="230">
        <v>20</v>
      </c>
      <c r="B145" s="208" t="s">
        <v>831</v>
      </c>
      <c r="C145" s="205" t="s">
        <v>40</v>
      </c>
      <c r="D145" s="205" t="s">
        <v>402</v>
      </c>
      <c r="E145" s="205" t="s">
        <v>57</v>
      </c>
      <c r="F145" s="206"/>
      <c r="G145" s="205" t="s">
        <v>162</v>
      </c>
      <c r="H145" s="211">
        <v>20</v>
      </c>
      <c r="I145" s="234">
        <v>100</v>
      </c>
      <c r="J145" s="199" t="s">
        <v>179</v>
      </c>
      <c r="K145" s="199" t="s">
        <v>43</v>
      </c>
      <c r="M145">
        <f t="shared" si="1"/>
        <v>4</v>
      </c>
    </row>
    <row r="146" spans="1:13" x14ac:dyDescent="0.25">
      <c r="A146" s="230">
        <v>20</v>
      </c>
      <c r="B146" s="208" t="s">
        <v>832</v>
      </c>
      <c r="C146" s="205" t="s">
        <v>40</v>
      </c>
      <c r="D146" s="205" t="s">
        <v>833</v>
      </c>
      <c r="E146" s="205" t="s">
        <v>61</v>
      </c>
      <c r="F146" s="206" t="s">
        <v>834</v>
      </c>
      <c r="G146" s="205" t="s">
        <v>162</v>
      </c>
      <c r="H146" s="211">
        <v>110</v>
      </c>
      <c r="I146" s="234">
        <v>550</v>
      </c>
      <c r="J146" s="199" t="s">
        <v>179</v>
      </c>
      <c r="K146" s="199" t="s">
        <v>43</v>
      </c>
      <c r="M146">
        <f t="shared" si="1"/>
        <v>22</v>
      </c>
    </row>
    <row r="147" spans="1:13" x14ac:dyDescent="0.25">
      <c r="A147" s="230">
        <v>20</v>
      </c>
      <c r="B147" s="208" t="s">
        <v>835</v>
      </c>
      <c r="C147" s="205" t="s">
        <v>40</v>
      </c>
      <c r="D147" s="205" t="s">
        <v>836</v>
      </c>
      <c r="E147" s="205" t="s">
        <v>51</v>
      </c>
      <c r="F147" s="206" t="s">
        <v>837</v>
      </c>
      <c r="G147" s="205" t="s">
        <v>42</v>
      </c>
      <c r="H147" s="211">
        <v>2500</v>
      </c>
      <c r="I147" s="234">
        <v>500</v>
      </c>
      <c r="J147" s="199" t="s">
        <v>179</v>
      </c>
      <c r="K147" s="199" t="s">
        <v>43</v>
      </c>
      <c r="M147">
        <f t="shared" si="1"/>
        <v>500</v>
      </c>
    </row>
    <row r="148" spans="1:13" x14ac:dyDescent="0.25">
      <c r="A148" s="230">
        <v>20</v>
      </c>
      <c r="B148" s="208" t="s">
        <v>835</v>
      </c>
      <c r="C148" s="205" t="s">
        <v>40</v>
      </c>
      <c r="D148" s="205" t="s">
        <v>836</v>
      </c>
      <c r="E148" s="205" t="s">
        <v>51</v>
      </c>
      <c r="F148" s="206" t="s">
        <v>837</v>
      </c>
      <c r="G148" s="205" t="s">
        <v>162</v>
      </c>
      <c r="H148" s="211">
        <v>10</v>
      </c>
      <c r="I148" s="234">
        <v>50</v>
      </c>
      <c r="J148" s="199" t="s">
        <v>179</v>
      </c>
      <c r="K148" s="199" t="s">
        <v>43</v>
      </c>
      <c r="M148">
        <f t="shared" si="1"/>
        <v>2</v>
      </c>
    </row>
    <row r="149" spans="1:13" x14ac:dyDescent="0.25">
      <c r="A149" s="230">
        <v>20</v>
      </c>
      <c r="B149" s="208" t="s">
        <v>638</v>
      </c>
      <c r="C149" s="205" t="s">
        <v>40</v>
      </c>
      <c r="D149" s="205" t="s">
        <v>145</v>
      </c>
      <c r="E149" s="205" t="s">
        <v>50</v>
      </c>
      <c r="F149" s="206"/>
      <c r="G149" s="205" t="s">
        <v>42</v>
      </c>
      <c r="H149" s="211">
        <v>500</v>
      </c>
      <c r="I149" s="234">
        <v>100</v>
      </c>
      <c r="J149" s="199" t="s">
        <v>179</v>
      </c>
      <c r="K149" s="199" t="s">
        <v>43</v>
      </c>
      <c r="M149">
        <f t="shared" si="1"/>
        <v>100</v>
      </c>
    </row>
    <row r="150" spans="1:13" x14ac:dyDescent="0.25">
      <c r="A150" s="230">
        <v>20</v>
      </c>
      <c r="B150" s="208" t="s">
        <v>838</v>
      </c>
      <c r="C150" s="205" t="s">
        <v>48</v>
      </c>
      <c r="D150" s="205" t="s">
        <v>141</v>
      </c>
      <c r="E150" s="205" t="s">
        <v>45</v>
      </c>
      <c r="F150" s="206" t="s">
        <v>839</v>
      </c>
      <c r="G150" s="205" t="s">
        <v>42</v>
      </c>
      <c r="H150" s="211">
        <v>1200</v>
      </c>
      <c r="I150" s="234">
        <v>240</v>
      </c>
      <c r="J150" s="199" t="s">
        <v>179</v>
      </c>
      <c r="K150" s="199" t="s">
        <v>43</v>
      </c>
      <c r="M150">
        <f t="shared" si="1"/>
        <v>240</v>
      </c>
    </row>
    <row r="151" spans="1:13" x14ac:dyDescent="0.25">
      <c r="A151" s="230">
        <v>20</v>
      </c>
      <c r="B151" s="208" t="s">
        <v>811</v>
      </c>
      <c r="C151" s="205" t="s">
        <v>40</v>
      </c>
      <c r="D151" s="205" t="s">
        <v>812</v>
      </c>
      <c r="E151" s="205" t="s">
        <v>50</v>
      </c>
      <c r="F151" s="206" t="s">
        <v>840</v>
      </c>
      <c r="G151" s="205" t="s">
        <v>42</v>
      </c>
      <c r="H151" s="211">
        <v>700</v>
      </c>
      <c r="I151" s="234">
        <v>140</v>
      </c>
      <c r="J151" s="199" t="s">
        <v>179</v>
      </c>
      <c r="K151" s="199" t="s">
        <v>43</v>
      </c>
      <c r="M151">
        <f t="shared" si="1"/>
        <v>140</v>
      </c>
    </row>
    <row r="152" spans="1:13" x14ac:dyDescent="0.25">
      <c r="A152" s="230">
        <v>20</v>
      </c>
      <c r="B152" s="208" t="s">
        <v>841</v>
      </c>
      <c r="C152" s="205" t="s">
        <v>40</v>
      </c>
      <c r="D152" s="205" t="s">
        <v>366</v>
      </c>
      <c r="E152" s="205" t="s">
        <v>57</v>
      </c>
      <c r="F152" s="206" t="s">
        <v>842</v>
      </c>
      <c r="G152" s="205" t="s">
        <v>42</v>
      </c>
      <c r="H152" s="211">
        <v>1500</v>
      </c>
      <c r="I152" s="234">
        <v>300</v>
      </c>
      <c r="J152" s="199" t="s">
        <v>179</v>
      </c>
      <c r="K152" s="199" t="s">
        <v>43</v>
      </c>
      <c r="M152">
        <f t="shared" si="1"/>
        <v>300</v>
      </c>
    </row>
    <row r="153" spans="1:13" x14ac:dyDescent="0.25">
      <c r="A153" s="230">
        <v>20</v>
      </c>
      <c r="B153" s="208" t="s">
        <v>843</v>
      </c>
      <c r="C153" s="205" t="s">
        <v>40</v>
      </c>
      <c r="D153" s="205" t="s">
        <v>158</v>
      </c>
      <c r="E153" s="205" t="s">
        <v>57</v>
      </c>
      <c r="F153" s="206" t="s">
        <v>844</v>
      </c>
      <c r="G153" s="205" t="s">
        <v>42</v>
      </c>
      <c r="H153" s="211">
        <v>500</v>
      </c>
      <c r="I153" s="234">
        <v>100</v>
      </c>
      <c r="J153" s="199" t="s">
        <v>179</v>
      </c>
      <c r="K153" s="199" t="s">
        <v>43</v>
      </c>
      <c r="M153">
        <f t="shared" si="1"/>
        <v>100</v>
      </c>
    </row>
    <row r="154" spans="1:13" x14ac:dyDescent="0.25">
      <c r="A154" s="230">
        <v>20</v>
      </c>
      <c r="B154" s="208" t="s">
        <v>845</v>
      </c>
      <c r="C154" s="205" t="s">
        <v>40</v>
      </c>
      <c r="D154" s="205" t="s">
        <v>846</v>
      </c>
      <c r="E154" s="205" t="s">
        <v>66</v>
      </c>
      <c r="F154" s="206" t="s">
        <v>847</v>
      </c>
      <c r="G154" s="205" t="s">
        <v>42</v>
      </c>
      <c r="H154" s="211">
        <v>1000</v>
      </c>
      <c r="I154" s="234" t="s">
        <v>255</v>
      </c>
      <c r="J154" s="199" t="s">
        <v>179</v>
      </c>
      <c r="K154" s="199" t="s">
        <v>43</v>
      </c>
      <c r="M154">
        <f t="shared" si="1"/>
        <v>200</v>
      </c>
    </row>
    <row r="155" spans="1:13" x14ac:dyDescent="0.25">
      <c r="A155" s="230">
        <v>20</v>
      </c>
      <c r="B155" s="208" t="s">
        <v>848</v>
      </c>
      <c r="C155" s="205" t="s">
        <v>40</v>
      </c>
      <c r="D155" s="205" t="s">
        <v>76</v>
      </c>
      <c r="E155" s="205" t="s">
        <v>44</v>
      </c>
      <c r="F155" s="206" t="s">
        <v>423</v>
      </c>
      <c r="G155" s="205" t="s">
        <v>42</v>
      </c>
      <c r="H155" s="211">
        <v>2000</v>
      </c>
      <c r="I155" s="234">
        <v>400</v>
      </c>
      <c r="J155" s="199" t="s">
        <v>179</v>
      </c>
      <c r="K155" s="199" t="s">
        <v>43</v>
      </c>
      <c r="M155">
        <f t="shared" si="1"/>
        <v>400</v>
      </c>
    </row>
    <row r="156" spans="1:13" x14ac:dyDescent="0.25">
      <c r="A156" s="230">
        <v>20</v>
      </c>
      <c r="B156" s="208" t="s">
        <v>849</v>
      </c>
      <c r="C156" s="205" t="s">
        <v>48</v>
      </c>
      <c r="D156" s="205" t="s">
        <v>836</v>
      </c>
      <c r="E156" s="205" t="s">
        <v>51</v>
      </c>
      <c r="F156" s="206" t="s">
        <v>850</v>
      </c>
      <c r="G156" s="205" t="s">
        <v>42</v>
      </c>
      <c r="H156" s="211">
        <v>200</v>
      </c>
      <c r="I156" s="234">
        <v>40</v>
      </c>
      <c r="J156" s="199" t="s">
        <v>179</v>
      </c>
      <c r="K156" s="199" t="s">
        <v>43</v>
      </c>
      <c r="M156">
        <f t="shared" si="1"/>
        <v>40</v>
      </c>
    </row>
    <row r="157" spans="1:13" x14ac:dyDescent="0.25">
      <c r="A157" s="230">
        <v>21</v>
      </c>
      <c r="B157" s="208" t="s">
        <v>851</v>
      </c>
      <c r="C157" s="205" t="s">
        <v>40</v>
      </c>
      <c r="D157" s="205" t="s">
        <v>852</v>
      </c>
      <c r="E157" s="205" t="s">
        <v>45</v>
      </c>
      <c r="F157" s="206"/>
      <c r="G157" s="205" t="s">
        <v>42</v>
      </c>
      <c r="H157" s="211">
        <v>3000</v>
      </c>
      <c r="I157" s="234">
        <v>600</v>
      </c>
      <c r="J157" s="199" t="s">
        <v>179</v>
      </c>
      <c r="K157" s="199" t="s">
        <v>43</v>
      </c>
      <c r="M157">
        <f t="shared" si="1"/>
        <v>600</v>
      </c>
    </row>
    <row r="158" spans="1:13" x14ac:dyDescent="0.25">
      <c r="A158" s="230">
        <v>21</v>
      </c>
      <c r="B158" s="208" t="s">
        <v>853</v>
      </c>
      <c r="C158" s="205" t="s">
        <v>40</v>
      </c>
      <c r="D158" s="205" t="s">
        <v>521</v>
      </c>
      <c r="E158" s="205" t="s">
        <v>72</v>
      </c>
      <c r="F158" s="206" t="s">
        <v>854</v>
      </c>
      <c r="G158" s="205" t="s">
        <v>42</v>
      </c>
      <c r="H158" s="211">
        <v>1000</v>
      </c>
      <c r="I158" s="234">
        <v>200</v>
      </c>
      <c r="J158" s="199" t="s">
        <v>179</v>
      </c>
      <c r="K158" s="199" t="s">
        <v>43</v>
      </c>
      <c r="M158">
        <f t="shared" si="1"/>
        <v>200</v>
      </c>
    </row>
    <row r="159" spans="1:13" x14ac:dyDescent="0.25">
      <c r="A159" s="230">
        <v>21</v>
      </c>
      <c r="B159" s="208" t="s">
        <v>855</v>
      </c>
      <c r="C159" s="205" t="s">
        <v>40</v>
      </c>
      <c r="D159" s="205"/>
      <c r="E159" s="205" t="s">
        <v>45</v>
      </c>
      <c r="F159" s="206" t="s">
        <v>856</v>
      </c>
      <c r="G159" s="205" t="s">
        <v>42</v>
      </c>
      <c r="H159" s="211">
        <v>1000</v>
      </c>
      <c r="I159" s="234">
        <v>200</v>
      </c>
      <c r="J159" s="199" t="s">
        <v>179</v>
      </c>
      <c r="K159" s="199" t="s">
        <v>43</v>
      </c>
      <c r="M159">
        <f t="shared" si="1"/>
        <v>200</v>
      </c>
    </row>
    <row r="160" spans="1:13" x14ac:dyDescent="0.25">
      <c r="A160" s="290">
        <v>22</v>
      </c>
      <c r="B160" s="208" t="s">
        <v>857</v>
      </c>
      <c r="C160" s="205" t="s">
        <v>48</v>
      </c>
      <c r="D160" s="205" t="s">
        <v>372</v>
      </c>
      <c r="E160" s="205" t="s">
        <v>44</v>
      </c>
      <c r="F160" s="206" t="s">
        <v>858</v>
      </c>
      <c r="G160" s="205" t="s">
        <v>42</v>
      </c>
      <c r="H160" s="211">
        <v>500</v>
      </c>
      <c r="I160" s="234">
        <v>150</v>
      </c>
      <c r="J160" s="199" t="s">
        <v>179</v>
      </c>
      <c r="K160" s="199" t="s">
        <v>43</v>
      </c>
      <c r="M160">
        <f t="shared" si="1"/>
        <v>100</v>
      </c>
    </row>
    <row r="161" spans="1:13" x14ac:dyDescent="0.25">
      <c r="A161" s="230">
        <v>22</v>
      </c>
      <c r="B161" s="208" t="s">
        <v>867</v>
      </c>
      <c r="C161" s="205" t="s">
        <v>40</v>
      </c>
      <c r="D161" s="205" t="s">
        <v>868</v>
      </c>
      <c r="E161" s="205" t="s">
        <v>57</v>
      </c>
      <c r="F161" s="206" t="s">
        <v>869</v>
      </c>
      <c r="G161" s="205" t="s">
        <v>42</v>
      </c>
      <c r="H161" s="211">
        <v>2000</v>
      </c>
      <c r="I161" s="234">
        <v>400</v>
      </c>
      <c r="J161" s="199" t="s">
        <v>179</v>
      </c>
      <c r="K161" s="199" t="s">
        <v>43</v>
      </c>
      <c r="M161">
        <f t="shared" si="1"/>
        <v>400</v>
      </c>
    </row>
    <row r="162" spans="1:13" x14ac:dyDescent="0.25">
      <c r="A162" s="230">
        <v>23</v>
      </c>
      <c r="B162" s="208" t="s">
        <v>870</v>
      </c>
      <c r="C162" s="205" t="s">
        <v>40</v>
      </c>
      <c r="D162" s="205" t="s">
        <v>336</v>
      </c>
      <c r="E162" s="205" t="s">
        <v>50</v>
      </c>
      <c r="F162" s="206" t="s">
        <v>337</v>
      </c>
      <c r="G162" s="205" t="s">
        <v>42</v>
      </c>
      <c r="H162" s="211">
        <v>3000</v>
      </c>
      <c r="I162" s="234">
        <v>600</v>
      </c>
      <c r="J162" s="199" t="s">
        <v>179</v>
      </c>
      <c r="K162" s="199" t="s">
        <v>43</v>
      </c>
      <c r="M162">
        <f t="shared" si="1"/>
        <v>600</v>
      </c>
    </row>
    <row r="163" spans="1:13" x14ac:dyDescent="0.25">
      <c r="A163" s="230">
        <v>23</v>
      </c>
      <c r="B163" s="208" t="s">
        <v>871</v>
      </c>
      <c r="C163" s="205" t="s">
        <v>40</v>
      </c>
      <c r="D163" s="205" t="s">
        <v>302</v>
      </c>
      <c r="E163" s="205" t="s">
        <v>57</v>
      </c>
      <c r="F163" s="206"/>
      <c r="G163" s="205" t="s">
        <v>42</v>
      </c>
      <c r="H163" s="211">
        <v>1000</v>
      </c>
      <c r="I163" s="234">
        <v>200</v>
      </c>
      <c r="J163" s="199" t="s">
        <v>179</v>
      </c>
      <c r="K163" s="199" t="s">
        <v>43</v>
      </c>
      <c r="M163">
        <f t="shared" si="1"/>
        <v>200</v>
      </c>
    </row>
    <row r="164" spans="1:13" x14ac:dyDescent="0.25">
      <c r="A164" s="230">
        <v>23</v>
      </c>
      <c r="B164" s="208" t="s">
        <v>872</v>
      </c>
      <c r="C164" s="205" t="s">
        <v>40</v>
      </c>
      <c r="D164" s="205" t="s">
        <v>873</v>
      </c>
      <c r="E164" s="205" t="s">
        <v>57</v>
      </c>
      <c r="F164" s="206"/>
      <c r="G164" s="205" t="s">
        <v>42</v>
      </c>
      <c r="H164" s="211">
        <v>1000</v>
      </c>
      <c r="I164" s="234">
        <v>200</v>
      </c>
      <c r="J164" s="199" t="s">
        <v>179</v>
      </c>
      <c r="K164" s="199" t="s">
        <v>43</v>
      </c>
      <c r="M164">
        <f t="shared" si="1"/>
        <v>200</v>
      </c>
    </row>
    <row r="165" spans="1:13" x14ac:dyDescent="0.25">
      <c r="A165" s="230">
        <v>23</v>
      </c>
      <c r="B165" s="208" t="s">
        <v>874</v>
      </c>
      <c r="C165" s="205" t="s">
        <v>40</v>
      </c>
      <c r="D165" s="205" t="s">
        <v>875</v>
      </c>
      <c r="E165" s="205" t="s">
        <v>59</v>
      </c>
      <c r="F165" s="206" t="s">
        <v>876</v>
      </c>
      <c r="G165" s="205" t="s">
        <v>42</v>
      </c>
      <c r="H165" s="211">
        <v>3000</v>
      </c>
      <c r="I165" s="234">
        <v>6000</v>
      </c>
      <c r="J165" s="199" t="s">
        <v>179</v>
      </c>
      <c r="K165" s="199" t="s">
        <v>43</v>
      </c>
      <c r="M165">
        <f t="shared" si="1"/>
        <v>600</v>
      </c>
    </row>
    <row r="166" spans="1:13" x14ac:dyDescent="0.25">
      <c r="A166" s="230">
        <v>23</v>
      </c>
      <c r="B166" s="208" t="s">
        <v>874</v>
      </c>
      <c r="C166" s="205" t="s">
        <v>40</v>
      </c>
      <c r="D166" s="205" t="s">
        <v>875</v>
      </c>
      <c r="E166" s="205" t="s">
        <v>59</v>
      </c>
      <c r="F166" s="206" t="s">
        <v>876</v>
      </c>
      <c r="G166" s="205" t="s">
        <v>162</v>
      </c>
      <c r="H166" s="211">
        <v>50</v>
      </c>
      <c r="I166" s="234">
        <v>250</v>
      </c>
      <c r="J166" s="199" t="s">
        <v>179</v>
      </c>
      <c r="K166" s="199" t="s">
        <v>43</v>
      </c>
      <c r="M166">
        <f t="shared" si="1"/>
        <v>10</v>
      </c>
    </row>
    <row r="167" spans="1:13" x14ac:dyDescent="0.25">
      <c r="A167" s="230">
        <v>27</v>
      </c>
      <c r="B167" s="208" t="s">
        <v>880</v>
      </c>
      <c r="C167" s="205" t="s">
        <v>40</v>
      </c>
      <c r="D167" s="205" t="s">
        <v>645</v>
      </c>
      <c r="E167" s="205" t="s">
        <v>47</v>
      </c>
      <c r="F167" s="206" t="s">
        <v>881</v>
      </c>
      <c r="G167" s="205" t="s">
        <v>42</v>
      </c>
      <c r="H167" s="211">
        <v>2500</v>
      </c>
      <c r="I167" s="234">
        <v>500</v>
      </c>
      <c r="J167" s="199" t="s">
        <v>179</v>
      </c>
      <c r="K167" s="199" t="s">
        <v>43</v>
      </c>
      <c r="M167">
        <f t="shared" si="1"/>
        <v>500</v>
      </c>
    </row>
    <row r="168" spans="1:13" x14ac:dyDescent="0.25">
      <c r="A168" s="230">
        <v>27</v>
      </c>
      <c r="B168" s="208" t="s">
        <v>832</v>
      </c>
      <c r="C168" s="205" t="s">
        <v>40</v>
      </c>
      <c r="D168" s="205" t="s">
        <v>833</v>
      </c>
      <c r="E168" s="205" t="s">
        <v>61</v>
      </c>
      <c r="F168" s="206" t="s">
        <v>834</v>
      </c>
      <c r="G168" s="205" t="s">
        <v>162</v>
      </c>
      <c r="H168" s="211">
        <v>80</v>
      </c>
      <c r="I168" s="234">
        <v>400</v>
      </c>
      <c r="J168" s="199" t="s">
        <v>179</v>
      </c>
      <c r="K168" s="199" t="s">
        <v>43</v>
      </c>
      <c r="M168">
        <f t="shared" si="1"/>
        <v>16</v>
      </c>
    </row>
    <row r="169" spans="1:13" x14ac:dyDescent="0.25">
      <c r="A169" s="230">
        <v>27</v>
      </c>
      <c r="B169" s="208" t="s">
        <v>882</v>
      </c>
      <c r="C169" s="205" t="s">
        <v>40</v>
      </c>
      <c r="D169" s="205" t="s">
        <v>883</v>
      </c>
      <c r="E169" s="205" t="s">
        <v>60</v>
      </c>
      <c r="F169" s="206" t="s">
        <v>884</v>
      </c>
      <c r="G169" s="205" t="s">
        <v>42</v>
      </c>
      <c r="H169" s="211">
        <v>1000</v>
      </c>
      <c r="I169" s="234">
        <v>200</v>
      </c>
      <c r="J169" s="199" t="s">
        <v>179</v>
      </c>
      <c r="K169" s="199" t="s">
        <v>43</v>
      </c>
      <c r="M169">
        <f t="shared" si="1"/>
        <v>200</v>
      </c>
    </row>
    <row r="170" spans="1:13" x14ac:dyDescent="0.25">
      <c r="A170" s="230">
        <v>27</v>
      </c>
      <c r="B170" s="208" t="s">
        <v>885</v>
      </c>
      <c r="C170" s="205" t="s">
        <v>40</v>
      </c>
      <c r="D170" s="205" t="s">
        <v>886</v>
      </c>
      <c r="E170" s="205" t="s">
        <v>50</v>
      </c>
      <c r="F170" s="206"/>
      <c r="G170" s="205" t="s">
        <v>42</v>
      </c>
      <c r="H170" s="211">
        <v>750</v>
      </c>
      <c r="I170" s="234">
        <v>150</v>
      </c>
      <c r="J170" s="199" t="s">
        <v>179</v>
      </c>
      <c r="K170" s="199" t="s">
        <v>43</v>
      </c>
      <c r="M170">
        <f t="shared" si="1"/>
        <v>150</v>
      </c>
    </row>
    <row r="171" spans="1:13" x14ac:dyDescent="0.25">
      <c r="A171" s="230">
        <v>27</v>
      </c>
      <c r="B171" s="208" t="s">
        <v>887</v>
      </c>
      <c r="C171" s="205" t="s">
        <v>40</v>
      </c>
      <c r="D171" s="205" t="s">
        <v>408</v>
      </c>
      <c r="E171" s="205" t="s">
        <v>72</v>
      </c>
      <c r="F171" s="206" t="s">
        <v>888</v>
      </c>
      <c r="G171" s="205" t="s">
        <v>42</v>
      </c>
      <c r="H171" s="211">
        <v>2000</v>
      </c>
      <c r="I171" s="234">
        <v>400</v>
      </c>
      <c r="J171" s="199" t="s">
        <v>179</v>
      </c>
      <c r="K171" s="199" t="s">
        <v>43</v>
      </c>
      <c r="M171">
        <f t="shared" si="1"/>
        <v>400</v>
      </c>
    </row>
    <row r="172" spans="1:13" x14ac:dyDescent="0.25">
      <c r="A172" s="230">
        <v>27</v>
      </c>
      <c r="B172" s="208" t="s">
        <v>889</v>
      </c>
      <c r="C172" s="205" t="s">
        <v>40</v>
      </c>
      <c r="D172" s="205" t="s">
        <v>890</v>
      </c>
      <c r="E172" s="205" t="s">
        <v>60</v>
      </c>
      <c r="F172" s="206" t="s">
        <v>891</v>
      </c>
      <c r="G172" s="205" t="s">
        <v>42</v>
      </c>
      <c r="H172" s="211">
        <v>1000</v>
      </c>
      <c r="I172" s="234">
        <v>200</v>
      </c>
      <c r="J172" s="199" t="s">
        <v>179</v>
      </c>
      <c r="K172" s="199" t="s">
        <v>43</v>
      </c>
      <c r="M172">
        <f t="shared" si="1"/>
        <v>200</v>
      </c>
    </row>
    <row r="173" spans="1:13" x14ac:dyDescent="0.25">
      <c r="A173" s="230">
        <v>27</v>
      </c>
      <c r="B173" s="208" t="s">
        <v>892</v>
      </c>
      <c r="C173" s="205" t="s">
        <v>40</v>
      </c>
      <c r="D173" s="205" t="s">
        <v>893</v>
      </c>
      <c r="E173" s="205" t="s">
        <v>50</v>
      </c>
      <c r="F173" s="206" t="s">
        <v>894</v>
      </c>
      <c r="G173" s="205" t="s">
        <v>42</v>
      </c>
      <c r="H173" s="211">
        <v>250</v>
      </c>
      <c r="I173" s="234">
        <v>50</v>
      </c>
      <c r="J173" s="199" t="s">
        <v>179</v>
      </c>
      <c r="K173" s="199" t="s">
        <v>43</v>
      </c>
      <c r="M173">
        <f t="shared" si="1"/>
        <v>50</v>
      </c>
    </row>
    <row r="174" spans="1:13" x14ac:dyDescent="0.25">
      <c r="A174" s="230">
        <v>27</v>
      </c>
      <c r="B174" s="208" t="s">
        <v>895</v>
      </c>
      <c r="C174" s="205" t="s">
        <v>40</v>
      </c>
      <c r="D174" s="205" t="s">
        <v>896</v>
      </c>
      <c r="E174" s="205" t="s">
        <v>51</v>
      </c>
      <c r="F174" s="206" t="s">
        <v>897</v>
      </c>
      <c r="G174" s="205" t="s">
        <v>42</v>
      </c>
      <c r="H174" s="211">
        <v>500</v>
      </c>
      <c r="I174" s="234">
        <v>100</v>
      </c>
      <c r="J174" s="199" t="s">
        <v>179</v>
      </c>
      <c r="K174" s="199" t="s">
        <v>43</v>
      </c>
      <c r="M174">
        <f t="shared" si="1"/>
        <v>100</v>
      </c>
    </row>
    <row r="175" spans="1:13" x14ac:dyDescent="0.25">
      <c r="A175" s="230">
        <v>27</v>
      </c>
      <c r="B175" s="208" t="s">
        <v>898</v>
      </c>
      <c r="C175" s="205" t="s">
        <v>48</v>
      </c>
      <c r="D175" s="205" t="s">
        <v>899</v>
      </c>
      <c r="E175" s="205" t="s">
        <v>57</v>
      </c>
      <c r="F175" s="206" t="s">
        <v>900</v>
      </c>
      <c r="G175" s="205" t="s">
        <v>42</v>
      </c>
      <c r="H175" s="211">
        <v>1000</v>
      </c>
      <c r="I175" s="234">
        <v>200</v>
      </c>
      <c r="J175" s="199" t="s">
        <v>179</v>
      </c>
      <c r="K175" s="199" t="s">
        <v>43</v>
      </c>
      <c r="M175">
        <f t="shared" si="1"/>
        <v>200</v>
      </c>
    </row>
    <row r="176" spans="1:13" x14ac:dyDescent="0.25">
      <c r="A176" s="230">
        <v>27</v>
      </c>
      <c r="B176" s="208" t="s">
        <v>901</v>
      </c>
      <c r="C176" s="205" t="s">
        <v>40</v>
      </c>
      <c r="D176" s="205" t="s">
        <v>144</v>
      </c>
      <c r="E176" s="205" t="s">
        <v>47</v>
      </c>
      <c r="F176" s="206" t="s">
        <v>902</v>
      </c>
      <c r="G176" s="205" t="s">
        <v>42</v>
      </c>
      <c r="H176" s="211">
        <v>1000</v>
      </c>
      <c r="I176" s="234">
        <v>200</v>
      </c>
      <c r="J176" s="199" t="s">
        <v>179</v>
      </c>
      <c r="K176" s="199" t="s">
        <v>43</v>
      </c>
      <c r="M176">
        <f t="shared" si="1"/>
        <v>200</v>
      </c>
    </row>
    <row r="177" spans="1:13" x14ac:dyDescent="0.25">
      <c r="A177" s="230">
        <v>27</v>
      </c>
      <c r="B177" s="208" t="s">
        <v>903</v>
      </c>
      <c r="C177" s="205" t="s">
        <v>40</v>
      </c>
      <c r="D177" s="205" t="s">
        <v>699</v>
      </c>
      <c r="E177" s="205" t="s">
        <v>50</v>
      </c>
      <c r="F177" s="206" t="s">
        <v>700</v>
      </c>
      <c r="G177" s="205" t="s">
        <v>42</v>
      </c>
      <c r="H177" s="211">
        <v>100</v>
      </c>
      <c r="I177" s="234">
        <v>20</v>
      </c>
      <c r="J177" s="199" t="s">
        <v>179</v>
      </c>
      <c r="K177" s="199" t="s">
        <v>43</v>
      </c>
      <c r="M177">
        <f t="shared" si="1"/>
        <v>20</v>
      </c>
    </row>
    <row r="178" spans="1:13" x14ac:dyDescent="0.25">
      <c r="A178" s="230">
        <v>27</v>
      </c>
      <c r="B178" s="208" t="s">
        <v>904</v>
      </c>
      <c r="C178" s="205" t="s">
        <v>48</v>
      </c>
      <c r="D178" s="205" t="s">
        <v>905</v>
      </c>
      <c r="E178" s="205" t="s">
        <v>51</v>
      </c>
      <c r="F178" s="206" t="s">
        <v>906</v>
      </c>
      <c r="G178" s="205" t="s">
        <v>42</v>
      </c>
      <c r="H178" s="211">
        <v>1500</v>
      </c>
      <c r="I178" s="234">
        <v>300</v>
      </c>
      <c r="J178" s="199" t="s">
        <v>179</v>
      </c>
      <c r="K178" s="199" t="s">
        <v>43</v>
      </c>
      <c r="M178">
        <f t="shared" si="1"/>
        <v>300</v>
      </c>
    </row>
    <row r="179" spans="1:13" x14ac:dyDescent="0.25">
      <c r="A179" s="230">
        <v>27</v>
      </c>
      <c r="B179" s="208" t="s">
        <v>907</v>
      </c>
      <c r="C179" s="205" t="s">
        <v>40</v>
      </c>
      <c r="D179" s="205" t="s">
        <v>372</v>
      </c>
      <c r="E179" s="205" t="s">
        <v>44</v>
      </c>
      <c r="F179" s="206" t="s">
        <v>908</v>
      </c>
      <c r="G179" s="205" t="s">
        <v>42</v>
      </c>
      <c r="H179" s="211">
        <v>500</v>
      </c>
      <c r="I179" s="234">
        <v>100</v>
      </c>
      <c r="J179" s="199" t="s">
        <v>179</v>
      </c>
      <c r="K179" s="199" t="s">
        <v>43</v>
      </c>
      <c r="M179">
        <f t="shared" si="1"/>
        <v>100</v>
      </c>
    </row>
    <row r="180" spans="1:13" x14ac:dyDescent="0.25">
      <c r="A180" s="230">
        <v>27</v>
      </c>
      <c r="B180" s="208" t="s">
        <v>909</v>
      </c>
      <c r="C180" s="205" t="s">
        <v>48</v>
      </c>
      <c r="D180" s="205" t="s">
        <v>372</v>
      </c>
      <c r="E180" s="205" t="s">
        <v>44</v>
      </c>
      <c r="F180" s="206" t="s">
        <v>858</v>
      </c>
      <c r="G180" s="205" t="s">
        <v>42</v>
      </c>
      <c r="H180" s="211">
        <v>500</v>
      </c>
      <c r="I180" s="234">
        <v>100</v>
      </c>
      <c r="J180" s="199" t="s">
        <v>179</v>
      </c>
      <c r="K180" s="199" t="s">
        <v>43</v>
      </c>
      <c r="M180">
        <f t="shared" si="1"/>
        <v>100</v>
      </c>
    </row>
    <row r="181" spans="1:13" x14ac:dyDescent="0.25">
      <c r="A181" s="230">
        <v>27</v>
      </c>
      <c r="B181" s="208" t="s">
        <v>209</v>
      </c>
      <c r="C181" s="205" t="s">
        <v>48</v>
      </c>
      <c r="D181" s="205" t="s">
        <v>150</v>
      </c>
      <c r="E181" s="205" t="s">
        <v>71</v>
      </c>
      <c r="F181" s="206" t="s">
        <v>210</v>
      </c>
      <c r="G181" s="205" t="s">
        <v>163</v>
      </c>
      <c r="H181" s="211">
        <v>1000</v>
      </c>
      <c r="I181" s="234">
        <v>1000</v>
      </c>
      <c r="J181" s="199" t="s">
        <v>179</v>
      </c>
      <c r="K181" s="199" t="s">
        <v>43</v>
      </c>
      <c r="M181">
        <f t="shared" si="1"/>
        <v>200</v>
      </c>
    </row>
    <row r="182" spans="1:13" x14ac:dyDescent="0.25">
      <c r="A182" s="230">
        <v>27</v>
      </c>
      <c r="B182" s="208" t="s">
        <v>209</v>
      </c>
      <c r="C182" s="205" t="s">
        <v>48</v>
      </c>
      <c r="D182" s="205" t="s">
        <v>150</v>
      </c>
      <c r="E182" s="205" t="s">
        <v>71</v>
      </c>
      <c r="F182" s="206" t="s">
        <v>210</v>
      </c>
      <c r="G182" s="205" t="s">
        <v>162</v>
      </c>
      <c r="H182" s="211">
        <v>40</v>
      </c>
      <c r="I182" s="234">
        <v>200</v>
      </c>
      <c r="J182" s="199" t="s">
        <v>179</v>
      </c>
      <c r="K182" s="199" t="s">
        <v>43</v>
      </c>
      <c r="M182">
        <f t="shared" si="1"/>
        <v>8</v>
      </c>
    </row>
    <row r="183" spans="1:13" x14ac:dyDescent="0.25">
      <c r="A183" s="230">
        <v>27</v>
      </c>
      <c r="B183" s="208" t="s">
        <v>910</v>
      </c>
      <c r="C183" s="205" t="s">
        <v>40</v>
      </c>
      <c r="D183" s="205" t="s">
        <v>911</v>
      </c>
      <c r="E183" s="205" t="s">
        <v>59</v>
      </c>
      <c r="F183" s="206" t="s">
        <v>912</v>
      </c>
      <c r="G183" s="205" t="s">
        <v>42</v>
      </c>
      <c r="H183" s="211">
        <v>3000</v>
      </c>
      <c r="I183" s="234">
        <v>600</v>
      </c>
      <c r="J183" s="199" t="s">
        <v>179</v>
      </c>
      <c r="K183" s="199" t="s">
        <v>43</v>
      </c>
      <c r="M183">
        <f t="shared" si="1"/>
        <v>600</v>
      </c>
    </row>
    <row r="184" spans="1:13" x14ac:dyDescent="0.25">
      <c r="A184" s="230">
        <v>27</v>
      </c>
      <c r="B184" s="208" t="s">
        <v>346</v>
      </c>
      <c r="C184" s="205" t="s">
        <v>40</v>
      </c>
      <c r="D184" s="205" t="s">
        <v>144</v>
      </c>
      <c r="E184" s="205" t="s">
        <v>50</v>
      </c>
      <c r="F184" s="206" t="s">
        <v>913</v>
      </c>
      <c r="G184" s="205" t="s">
        <v>187</v>
      </c>
      <c r="H184" s="211">
        <v>1000</v>
      </c>
      <c r="I184" s="234">
        <v>200</v>
      </c>
      <c r="J184" s="199" t="s">
        <v>179</v>
      </c>
      <c r="K184" s="199" t="s">
        <v>43</v>
      </c>
      <c r="M184">
        <f t="shared" si="1"/>
        <v>200</v>
      </c>
    </row>
    <row r="185" spans="1:13" x14ac:dyDescent="0.25">
      <c r="A185" s="293">
        <v>27</v>
      </c>
      <c r="B185" s="294" t="s">
        <v>346</v>
      </c>
      <c r="C185" s="295" t="s">
        <v>40</v>
      </c>
      <c r="D185" s="295" t="s">
        <v>144</v>
      </c>
      <c r="E185" s="295" t="s">
        <v>50</v>
      </c>
      <c r="F185" s="296" t="s">
        <v>913</v>
      </c>
      <c r="G185" s="295" t="s">
        <v>162</v>
      </c>
      <c r="H185" s="297">
        <v>50</v>
      </c>
      <c r="I185" s="298">
        <v>250</v>
      </c>
      <c r="J185" s="199" t="s">
        <v>179</v>
      </c>
      <c r="K185" s="199" t="s">
        <v>43</v>
      </c>
      <c r="M185">
        <f t="shared" si="1"/>
        <v>10</v>
      </c>
    </row>
    <row r="186" spans="1:13" x14ac:dyDescent="0.25">
      <c r="A186" s="230">
        <v>27</v>
      </c>
      <c r="B186" s="208" t="s">
        <v>915</v>
      </c>
      <c r="C186" s="205" t="s">
        <v>40</v>
      </c>
      <c r="D186" s="205"/>
      <c r="E186" s="205" t="s">
        <v>83</v>
      </c>
      <c r="F186" s="206" t="s">
        <v>916</v>
      </c>
      <c r="G186" s="205" t="s">
        <v>42</v>
      </c>
      <c r="H186" s="211">
        <v>500</v>
      </c>
      <c r="I186" s="234">
        <v>100</v>
      </c>
      <c r="J186" s="199" t="s">
        <v>179</v>
      </c>
      <c r="K186" s="199" t="s">
        <v>43</v>
      </c>
      <c r="M186">
        <f t="shared" si="1"/>
        <v>100</v>
      </c>
    </row>
    <row r="187" spans="1:13" x14ac:dyDescent="0.25">
      <c r="A187" s="230">
        <v>27</v>
      </c>
      <c r="B187" s="208" t="s">
        <v>917</v>
      </c>
      <c r="C187" s="205" t="s">
        <v>40</v>
      </c>
      <c r="D187" s="205" t="s">
        <v>372</v>
      </c>
      <c r="E187" s="205" t="s">
        <v>44</v>
      </c>
      <c r="F187" s="206"/>
      <c r="G187" s="205" t="s">
        <v>42</v>
      </c>
      <c r="H187" s="211">
        <v>2500</v>
      </c>
      <c r="I187" s="234">
        <v>500</v>
      </c>
      <c r="J187" s="199" t="s">
        <v>179</v>
      </c>
      <c r="K187" s="199" t="s">
        <v>43</v>
      </c>
      <c r="M187">
        <f t="shared" si="1"/>
        <v>500</v>
      </c>
    </row>
    <row r="188" spans="1:13" x14ac:dyDescent="0.25">
      <c r="A188" s="230">
        <v>28</v>
      </c>
      <c r="B188" s="208" t="s">
        <v>918</v>
      </c>
      <c r="C188" s="205" t="s">
        <v>40</v>
      </c>
      <c r="D188" s="205" t="s">
        <v>159</v>
      </c>
      <c r="E188" s="205" t="s">
        <v>52</v>
      </c>
      <c r="F188" s="206"/>
      <c r="G188" s="205" t="s">
        <v>163</v>
      </c>
      <c r="H188" s="211">
        <v>1000</v>
      </c>
      <c r="I188" s="234">
        <v>1000</v>
      </c>
      <c r="J188" s="199" t="s">
        <v>179</v>
      </c>
      <c r="K188" s="199" t="s">
        <v>43</v>
      </c>
      <c r="M188">
        <f t="shared" si="1"/>
        <v>200</v>
      </c>
    </row>
    <row r="189" spans="1:13" x14ac:dyDescent="0.25">
      <c r="A189" s="230">
        <v>28</v>
      </c>
      <c r="B189" s="208" t="s">
        <v>919</v>
      </c>
      <c r="C189" s="205" t="s">
        <v>40</v>
      </c>
      <c r="D189" s="205" t="s">
        <v>658</v>
      </c>
      <c r="E189" s="205" t="s">
        <v>50</v>
      </c>
      <c r="F189" s="206" t="s">
        <v>920</v>
      </c>
      <c r="G189" s="205" t="s">
        <v>42</v>
      </c>
      <c r="H189" s="211">
        <v>2000</v>
      </c>
      <c r="I189" s="234">
        <v>400</v>
      </c>
      <c r="J189" s="199" t="s">
        <v>179</v>
      </c>
      <c r="K189" s="199" t="s">
        <v>43</v>
      </c>
      <c r="M189">
        <f t="shared" si="1"/>
        <v>400</v>
      </c>
    </row>
    <row r="190" spans="1:13" x14ac:dyDescent="0.25">
      <c r="A190" s="230">
        <v>28</v>
      </c>
      <c r="B190" s="208" t="s">
        <v>921</v>
      </c>
      <c r="C190" s="205" t="s">
        <v>40</v>
      </c>
      <c r="D190" s="205" t="s">
        <v>911</v>
      </c>
      <c r="E190" s="205" t="s">
        <v>50</v>
      </c>
      <c r="F190" s="206" t="s">
        <v>922</v>
      </c>
      <c r="G190" s="205" t="s">
        <v>42</v>
      </c>
      <c r="H190" s="211">
        <v>500</v>
      </c>
      <c r="I190" s="234">
        <v>100</v>
      </c>
      <c r="J190" s="199" t="s">
        <v>179</v>
      </c>
      <c r="K190" s="199" t="s">
        <v>43</v>
      </c>
      <c r="M190">
        <f t="shared" si="1"/>
        <v>100</v>
      </c>
    </row>
    <row r="191" spans="1:13" x14ac:dyDescent="0.25">
      <c r="A191" s="230">
        <v>28</v>
      </c>
      <c r="B191" s="208" t="s">
        <v>923</v>
      </c>
      <c r="C191" s="205" t="s">
        <v>40</v>
      </c>
      <c r="D191" s="205" t="s">
        <v>144</v>
      </c>
      <c r="E191" s="205" t="s">
        <v>47</v>
      </c>
      <c r="F191" s="206" t="s">
        <v>924</v>
      </c>
      <c r="G191" s="205" t="s">
        <v>163</v>
      </c>
      <c r="H191" s="211">
        <v>1000</v>
      </c>
      <c r="I191" s="234">
        <v>1000</v>
      </c>
      <c r="J191" s="199" t="s">
        <v>179</v>
      </c>
      <c r="K191" s="199" t="s">
        <v>43</v>
      </c>
      <c r="M191">
        <f t="shared" si="1"/>
        <v>200</v>
      </c>
    </row>
    <row r="192" spans="1:13" x14ac:dyDescent="0.25">
      <c r="A192" s="230">
        <v>28</v>
      </c>
      <c r="B192" s="208" t="s">
        <v>892</v>
      </c>
      <c r="C192" s="205" t="s">
        <v>40</v>
      </c>
      <c r="D192" s="205" t="s">
        <v>893</v>
      </c>
      <c r="E192" s="205" t="s">
        <v>50</v>
      </c>
      <c r="F192" s="206"/>
      <c r="G192" s="205" t="s">
        <v>42</v>
      </c>
      <c r="H192" s="211">
        <v>100</v>
      </c>
      <c r="I192" s="234">
        <v>20</v>
      </c>
      <c r="J192" s="199" t="s">
        <v>179</v>
      </c>
      <c r="K192" s="199" t="s">
        <v>43</v>
      </c>
      <c r="M192">
        <f t="shared" si="1"/>
        <v>20</v>
      </c>
    </row>
    <row r="193" spans="1:16" x14ac:dyDescent="0.25">
      <c r="A193" s="230">
        <v>28</v>
      </c>
      <c r="B193" s="208" t="s">
        <v>925</v>
      </c>
      <c r="C193" s="205" t="s">
        <v>48</v>
      </c>
      <c r="D193" s="205" t="s">
        <v>725</v>
      </c>
      <c r="E193" s="205" t="s">
        <v>45</v>
      </c>
      <c r="F193" s="206" t="s">
        <v>926</v>
      </c>
      <c r="G193" s="205" t="s">
        <v>163</v>
      </c>
      <c r="H193" s="211">
        <v>1000</v>
      </c>
      <c r="I193" s="234">
        <v>1000</v>
      </c>
      <c r="J193" s="199" t="s">
        <v>179</v>
      </c>
      <c r="K193" s="199" t="s">
        <v>43</v>
      </c>
      <c r="M193">
        <f t="shared" si="1"/>
        <v>200</v>
      </c>
    </row>
    <row r="194" spans="1:16" x14ac:dyDescent="0.25">
      <c r="A194" s="230">
        <v>28</v>
      </c>
      <c r="B194" s="208" t="s">
        <v>353</v>
      </c>
      <c r="C194" s="205" t="s">
        <v>40</v>
      </c>
      <c r="D194" s="205" t="s">
        <v>927</v>
      </c>
      <c r="E194" s="205" t="s">
        <v>57</v>
      </c>
      <c r="F194" s="206"/>
      <c r="G194" s="205" t="s">
        <v>42</v>
      </c>
      <c r="H194" s="211">
        <v>4000</v>
      </c>
      <c r="I194" s="234">
        <v>800</v>
      </c>
      <c r="J194" s="199" t="s">
        <v>179</v>
      </c>
      <c r="K194" s="199" t="s">
        <v>43</v>
      </c>
      <c r="M194">
        <f t="shared" si="1"/>
        <v>800</v>
      </c>
    </row>
    <row r="195" spans="1:16" x14ac:dyDescent="0.25">
      <c r="A195" s="230">
        <v>29</v>
      </c>
      <c r="B195" s="208" t="s">
        <v>928</v>
      </c>
      <c r="C195" s="205" t="s">
        <v>40</v>
      </c>
      <c r="D195" s="205" t="s">
        <v>380</v>
      </c>
      <c r="E195" s="205" t="s">
        <v>45</v>
      </c>
      <c r="F195" s="206"/>
      <c r="G195" s="205" t="s">
        <v>42</v>
      </c>
      <c r="H195" s="211">
        <v>4000</v>
      </c>
      <c r="I195" s="234">
        <v>800</v>
      </c>
      <c r="J195" s="199" t="s">
        <v>179</v>
      </c>
      <c r="K195" s="199" t="s">
        <v>43</v>
      </c>
      <c r="M195">
        <f t="shared" si="1"/>
        <v>800</v>
      </c>
    </row>
    <row r="196" spans="1:16" x14ac:dyDescent="0.25">
      <c r="A196" s="230">
        <v>29</v>
      </c>
      <c r="B196" s="208" t="s">
        <v>929</v>
      </c>
      <c r="C196" s="205" t="s">
        <v>40</v>
      </c>
      <c r="D196" s="205" t="s">
        <v>308</v>
      </c>
      <c r="E196" s="205" t="s">
        <v>59</v>
      </c>
      <c r="F196" s="206"/>
      <c r="G196" s="205" t="s">
        <v>42</v>
      </c>
      <c r="H196" s="211">
        <v>200</v>
      </c>
      <c r="I196" s="234">
        <v>40</v>
      </c>
      <c r="J196" s="199" t="s">
        <v>179</v>
      </c>
      <c r="K196" s="199" t="s">
        <v>43</v>
      </c>
      <c r="M196">
        <f t="shared" si="1"/>
        <v>40</v>
      </c>
    </row>
    <row r="197" spans="1:16" x14ac:dyDescent="0.25">
      <c r="A197" s="230">
        <v>29</v>
      </c>
      <c r="B197" s="208" t="s">
        <v>929</v>
      </c>
      <c r="C197" s="205" t="s">
        <v>40</v>
      </c>
      <c r="D197" s="205" t="s">
        <v>308</v>
      </c>
      <c r="E197" s="205" t="s">
        <v>59</v>
      </c>
      <c r="F197" s="206"/>
      <c r="G197" s="205" t="s">
        <v>162</v>
      </c>
      <c r="H197" s="211">
        <v>20</v>
      </c>
      <c r="I197" s="234">
        <v>100</v>
      </c>
      <c r="J197" s="199" t="s">
        <v>179</v>
      </c>
      <c r="K197" s="199" t="s">
        <v>43</v>
      </c>
      <c r="M197">
        <f t="shared" si="1"/>
        <v>4</v>
      </c>
    </row>
    <row r="198" spans="1:16" x14ac:dyDescent="0.25">
      <c r="A198" s="230">
        <v>29</v>
      </c>
      <c r="B198" s="208" t="s">
        <v>930</v>
      </c>
      <c r="C198" s="205" t="s">
        <v>40</v>
      </c>
      <c r="D198" s="205" t="s">
        <v>931</v>
      </c>
      <c r="E198" s="205" t="s">
        <v>44</v>
      </c>
      <c r="F198" s="206" t="s">
        <v>932</v>
      </c>
      <c r="G198" s="205" t="s">
        <v>42</v>
      </c>
      <c r="H198" s="211">
        <v>3000</v>
      </c>
      <c r="I198" s="234">
        <v>600</v>
      </c>
      <c r="J198" s="199" t="s">
        <v>179</v>
      </c>
      <c r="K198" s="199" t="s">
        <v>43</v>
      </c>
      <c r="M198">
        <f t="shared" si="1"/>
        <v>600</v>
      </c>
    </row>
    <row r="199" spans="1:16" x14ac:dyDescent="0.25">
      <c r="A199" s="230">
        <v>29</v>
      </c>
      <c r="B199" s="208" t="s">
        <v>933</v>
      </c>
      <c r="C199" s="205" t="s">
        <v>40</v>
      </c>
      <c r="D199" s="205" t="s">
        <v>145</v>
      </c>
      <c r="E199" s="205" t="s">
        <v>47</v>
      </c>
      <c r="F199" s="206" t="s">
        <v>934</v>
      </c>
      <c r="G199" s="205" t="s">
        <v>42</v>
      </c>
      <c r="H199" s="211">
        <v>4000</v>
      </c>
      <c r="I199" s="234">
        <v>800</v>
      </c>
      <c r="J199" s="199" t="s">
        <v>179</v>
      </c>
      <c r="K199" s="199" t="s">
        <v>43</v>
      </c>
      <c r="M199">
        <f t="shared" si="1"/>
        <v>800</v>
      </c>
    </row>
    <row r="200" spans="1:16" x14ac:dyDescent="0.25">
      <c r="A200" s="230">
        <v>29</v>
      </c>
      <c r="B200" s="208" t="s">
        <v>795</v>
      </c>
      <c r="C200" s="205" t="s">
        <v>40</v>
      </c>
      <c r="D200" s="205" t="s">
        <v>402</v>
      </c>
      <c r="E200" s="205" t="s">
        <v>57</v>
      </c>
      <c r="F200" s="206" t="s">
        <v>796</v>
      </c>
      <c r="G200" s="205" t="s">
        <v>162</v>
      </c>
      <c r="H200" s="211">
        <v>100</v>
      </c>
      <c r="I200" s="234">
        <v>500</v>
      </c>
      <c r="J200" s="199" t="s">
        <v>179</v>
      </c>
      <c r="K200" s="199" t="s">
        <v>43</v>
      </c>
      <c r="M200">
        <f t="shared" si="1"/>
        <v>20</v>
      </c>
    </row>
    <row r="201" spans="1:16" x14ac:dyDescent="0.25">
      <c r="A201" s="230"/>
      <c r="B201" s="208"/>
      <c r="C201" s="205"/>
      <c r="D201" s="205"/>
      <c r="E201" s="205"/>
      <c r="F201" s="206"/>
      <c r="G201" s="205"/>
      <c r="H201" s="211"/>
      <c r="I201" s="234"/>
      <c r="J201" s="199"/>
      <c r="K201" s="199"/>
    </row>
    <row r="202" spans="1:16" x14ac:dyDescent="0.25">
      <c r="A202" s="197"/>
      <c r="B202" s="79"/>
      <c r="C202" s="199"/>
      <c r="D202" s="199"/>
      <c r="E202" s="199"/>
      <c r="F202" s="200"/>
      <c r="G202" s="199"/>
      <c r="H202" s="209"/>
      <c r="I202" s="210"/>
      <c r="J202" s="199"/>
      <c r="K202" s="199"/>
      <c r="M202">
        <f>SUM(M12:M200)</f>
        <v>43326.8</v>
      </c>
    </row>
    <row r="203" spans="1:16" x14ac:dyDescent="0.25">
      <c r="H203" s="25"/>
      <c r="I203" s="90"/>
    </row>
    <row r="205" spans="1:16" x14ac:dyDescent="0.25">
      <c r="I205" s="92" t="s">
        <v>19</v>
      </c>
      <c r="J205" s="26"/>
    </row>
    <row r="206" spans="1:16" ht="16.5" customHeight="1" x14ac:dyDescent="0.25">
      <c r="B206" t="s">
        <v>20</v>
      </c>
      <c r="E206" t="s">
        <v>21</v>
      </c>
      <c r="I206" s="81" t="s">
        <v>114</v>
      </c>
      <c r="J206" s="97">
        <v>145</v>
      </c>
      <c r="P206" s="25"/>
    </row>
    <row r="207" spans="1:16" x14ac:dyDescent="0.25">
      <c r="I207" s="81" t="s">
        <v>115</v>
      </c>
      <c r="J207" s="97">
        <v>14</v>
      </c>
      <c r="K207" s="57"/>
    </row>
    <row r="208" spans="1:16" x14ac:dyDescent="0.25">
      <c r="I208" s="81" t="s">
        <v>165</v>
      </c>
      <c r="J208" s="99">
        <v>168880</v>
      </c>
      <c r="K208" s="57"/>
    </row>
    <row r="209" spans="2:10" x14ac:dyDescent="0.25">
      <c r="I209" s="81" t="s">
        <v>567</v>
      </c>
      <c r="J209" s="99">
        <v>0</v>
      </c>
    </row>
    <row r="210" spans="2:10" x14ac:dyDescent="0.25">
      <c r="B210" s="93" t="s">
        <v>538</v>
      </c>
      <c r="E210" s="533" t="s">
        <v>22</v>
      </c>
      <c r="F210" s="533"/>
      <c r="G210" s="533"/>
      <c r="H210" s="533"/>
      <c r="I210" s="81" t="s">
        <v>116</v>
      </c>
      <c r="J210" s="99">
        <v>17900</v>
      </c>
    </row>
    <row r="211" spans="2:10" x14ac:dyDescent="0.25">
      <c r="B211" t="s">
        <v>183</v>
      </c>
      <c r="E211" s="522" t="s">
        <v>185</v>
      </c>
      <c r="F211" s="522"/>
      <c r="G211" s="522"/>
      <c r="H211" s="522"/>
      <c r="I211" s="81" t="s">
        <v>117</v>
      </c>
      <c r="J211" s="99">
        <v>1209</v>
      </c>
    </row>
    <row r="212" spans="2:10" x14ac:dyDescent="0.25">
      <c r="I212" s="81" t="s">
        <v>119</v>
      </c>
      <c r="J212" s="99">
        <v>28525</v>
      </c>
    </row>
    <row r="213" spans="2:10" x14ac:dyDescent="0.25">
      <c r="I213" s="94" t="s">
        <v>113</v>
      </c>
      <c r="J213" s="97">
        <v>0</v>
      </c>
    </row>
    <row r="214" spans="2:10" x14ac:dyDescent="0.25">
      <c r="I214" s="81" t="s">
        <v>23</v>
      </c>
      <c r="J214" s="98"/>
    </row>
    <row r="215" spans="2:10" x14ac:dyDescent="0.25">
      <c r="I215" s="95" t="s">
        <v>111</v>
      </c>
      <c r="J215" s="99" t="s">
        <v>938</v>
      </c>
    </row>
    <row r="216" spans="2:10" x14ac:dyDescent="0.25">
      <c r="B216" s="27"/>
      <c r="E216" s="27"/>
      <c r="F216" s="27"/>
      <c r="G216" s="27"/>
      <c r="I216" s="95" t="s">
        <v>112</v>
      </c>
      <c r="J216" s="58"/>
    </row>
    <row r="217" spans="2:10" x14ac:dyDescent="0.25">
      <c r="I217" s="81"/>
      <c r="J217" s="26"/>
    </row>
    <row r="218" spans="2:10" x14ac:dyDescent="0.25">
      <c r="I218" s="81"/>
      <c r="J218" s="26"/>
    </row>
    <row r="219" spans="2:10" x14ac:dyDescent="0.25">
      <c r="I219" s="81"/>
      <c r="J219" s="58"/>
    </row>
    <row r="220" spans="2:10" x14ac:dyDescent="0.25">
      <c r="I220" s="81"/>
      <c r="J220" s="58"/>
    </row>
    <row r="240" spans="12:12" x14ac:dyDescent="0.25">
      <c r="L240" s="25"/>
    </row>
    <row r="263" spans="12:12" x14ac:dyDescent="0.25">
      <c r="L263" s="25"/>
    </row>
    <row r="390" spans="12:12" x14ac:dyDescent="0.25">
      <c r="L390" s="25"/>
    </row>
  </sheetData>
  <mergeCells count="8">
    <mergeCell ref="E210:H210"/>
    <mergeCell ref="E211:H211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scale="96" orientation="landscape" r:id="rId1"/>
  <rowBreaks count="2" manualBreakCount="2">
    <brk id="33" max="20" man="1"/>
    <brk id="69" max="20" man="1"/>
  </row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:O31"/>
  <sheetViews>
    <sheetView view="pageBreakPreview" topLeftCell="A8" zoomScale="96" zoomScaleNormal="100" zoomScaleSheetLayoutView="96" workbookViewId="0">
      <selection activeCell="H15" sqref="H15:H16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6.7109375" customWidth="1"/>
    <col min="9" max="9" width="19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</row>
    <row r="2" spans="1:15" ht="18" x14ac:dyDescent="0.25">
      <c r="A2" s="524" t="s">
        <v>192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</row>
    <row r="3" spans="1:15" x14ac:dyDescent="0.25">
      <c r="A3" s="183"/>
      <c r="B3" s="1"/>
      <c r="C3" s="28"/>
      <c r="D3" s="1"/>
      <c r="E3" s="1"/>
      <c r="G3" s="1"/>
      <c r="H3" s="28"/>
      <c r="I3" s="25"/>
      <c r="J3" s="29"/>
      <c r="K3" s="526" t="s">
        <v>385</v>
      </c>
      <c r="L3" s="536"/>
    </row>
    <row r="4" spans="1:15" x14ac:dyDescent="0.25">
      <c r="A4" s="183"/>
      <c r="B4" s="1"/>
      <c r="C4" s="28"/>
      <c r="D4" s="1"/>
      <c r="E4" s="1"/>
      <c r="G4" s="1"/>
      <c r="H4" s="28"/>
      <c r="I4" s="25"/>
      <c r="J4" s="29"/>
      <c r="K4" s="31" t="s">
        <v>37</v>
      </c>
      <c r="L4" s="100">
        <v>4</v>
      </c>
    </row>
    <row r="5" spans="1:15" x14ac:dyDescent="0.25">
      <c r="A5" s="183"/>
      <c r="B5" s="1"/>
      <c r="C5" s="28"/>
      <c r="D5" s="1"/>
      <c r="E5" s="1"/>
      <c r="G5" s="1"/>
      <c r="H5" s="28"/>
      <c r="I5" s="25"/>
      <c r="J5" s="29"/>
      <c r="K5" s="31" t="s">
        <v>38</v>
      </c>
      <c r="L5" s="100">
        <v>0</v>
      </c>
    </row>
    <row r="6" spans="1:15" ht="18" x14ac:dyDescent="0.25">
      <c r="A6" s="528" t="s">
        <v>122</v>
      </c>
      <c r="B6" s="528"/>
      <c r="C6" s="32"/>
      <c r="D6" s="1"/>
      <c r="E6" s="4"/>
      <c r="F6" s="2"/>
      <c r="G6" s="1"/>
      <c r="H6" s="28"/>
      <c r="I6" s="25"/>
      <c r="J6" s="29"/>
      <c r="K6" s="5" t="s">
        <v>39</v>
      </c>
      <c r="L6" s="33"/>
    </row>
    <row r="7" spans="1:15" x14ac:dyDescent="0.25">
      <c r="A7" s="6"/>
      <c r="B7" s="7"/>
      <c r="C7" s="34" t="s">
        <v>24</v>
      </c>
      <c r="D7" s="8"/>
      <c r="E7" s="8"/>
      <c r="F7" s="35" t="s">
        <v>25</v>
      </c>
      <c r="G7" s="34" t="s">
        <v>26</v>
      </c>
      <c r="H7" s="529" t="s">
        <v>27</v>
      </c>
      <c r="I7" s="530"/>
      <c r="J7" s="36"/>
      <c r="K7" s="531" t="s">
        <v>2</v>
      </c>
      <c r="L7" s="532"/>
    </row>
    <row r="8" spans="1:15" x14ac:dyDescent="0.25">
      <c r="A8" s="519" t="s">
        <v>28</v>
      </c>
      <c r="B8" s="520"/>
      <c r="C8" s="35" t="s">
        <v>29</v>
      </c>
      <c r="D8" s="184" t="s">
        <v>5</v>
      </c>
      <c r="E8" s="9" t="s">
        <v>6</v>
      </c>
      <c r="F8" s="35" t="s">
        <v>30</v>
      </c>
      <c r="G8" s="37" t="s">
        <v>31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7"/>
      <c r="B9" s="14"/>
      <c r="C9" s="35" t="s">
        <v>32</v>
      </c>
      <c r="D9" s="15"/>
      <c r="E9" s="14"/>
      <c r="F9" s="35" t="s">
        <v>33</v>
      </c>
      <c r="G9" s="37" t="s">
        <v>34</v>
      </c>
      <c r="H9" s="40" t="s">
        <v>11</v>
      </c>
      <c r="I9" s="39" t="s">
        <v>12</v>
      </c>
      <c r="J9" s="41"/>
      <c r="K9" s="184" t="s">
        <v>13</v>
      </c>
      <c r="L9" s="184" t="s">
        <v>14</v>
      </c>
    </row>
    <row r="10" spans="1:15" x14ac:dyDescent="0.25">
      <c r="A10" s="18"/>
      <c r="B10" s="19"/>
      <c r="C10" s="42"/>
      <c r="D10" s="20"/>
      <c r="E10" s="20"/>
      <c r="F10" s="43" t="s">
        <v>35</v>
      </c>
      <c r="G10" s="22"/>
      <c r="H10" s="44"/>
      <c r="I10" s="45" t="s">
        <v>36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x14ac:dyDescent="0.25">
      <c r="A12" s="219">
        <v>3</v>
      </c>
      <c r="B12" s="220" t="s">
        <v>391</v>
      </c>
      <c r="C12" s="49"/>
      <c r="D12" s="48"/>
      <c r="E12" s="48"/>
      <c r="F12" s="231" t="s">
        <v>393</v>
      </c>
      <c r="G12" s="220" t="s">
        <v>392</v>
      </c>
      <c r="H12" s="220" t="s">
        <v>42</v>
      </c>
      <c r="I12" s="221">
        <v>6000</v>
      </c>
      <c r="J12" s="194" t="s">
        <v>255</v>
      </c>
      <c r="K12" s="79"/>
      <c r="L12" s="145" t="s">
        <v>43</v>
      </c>
    </row>
    <row r="13" spans="1:15" x14ac:dyDescent="0.25">
      <c r="A13" s="219">
        <v>9</v>
      </c>
      <c r="B13" s="220" t="s">
        <v>473</v>
      </c>
      <c r="C13" s="49"/>
      <c r="D13" s="48"/>
      <c r="E13" s="48"/>
      <c r="F13" s="23"/>
      <c r="G13" s="220" t="s">
        <v>474</v>
      </c>
      <c r="H13" s="220" t="s">
        <v>163</v>
      </c>
      <c r="I13" s="221">
        <v>3500</v>
      </c>
      <c r="J13" s="194" t="s">
        <v>255</v>
      </c>
      <c r="K13" s="79"/>
      <c r="L13" s="145" t="s">
        <v>43</v>
      </c>
    </row>
    <row r="14" spans="1:15" ht="33" customHeight="1" x14ac:dyDescent="0.25">
      <c r="A14" s="190">
        <v>23</v>
      </c>
      <c r="B14" s="238" t="s">
        <v>551</v>
      </c>
      <c r="C14" s="190"/>
      <c r="D14" s="239" t="s">
        <v>552</v>
      </c>
      <c r="E14" s="145" t="s">
        <v>62</v>
      </c>
      <c r="F14" s="240" t="s">
        <v>553</v>
      </c>
      <c r="G14" s="241" t="s">
        <v>554</v>
      </c>
      <c r="H14" s="192" t="s">
        <v>42</v>
      </c>
      <c r="I14" s="193">
        <v>2000</v>
      </c>
      <c r="J14" s="194" t="s">
        <v>255</v>
      </c>
      <c r="K14" s="79"/>
      <c r="L14" s="145" t="s">
        <v>43</v>
      </c>
      <c r="M14" s="132"/>
    </row>
    <row r="15" spans="1:15" ht="17.25" customHeight="1" x14ac:dyDescent="0.25">
      <c r="A15" s="542">
        <v>23</v>
      </c>
      <c r="B15" s="544" t="s">
        <v>555</v>
      </c>
      <c r="C15" s="542"/>
      <c r="D15" s="546" t="s">
        <v>552</v>
      </c>
      <c r="E15" s="538" t="s">
        <v>62</v>
      </c>
      <c r="F15" s="548" t="s">
        <v>556</v>
      </c>
      <c r="G15" s="538" t="s">
        <v>557</v>
      </c>
      <c r="H15" s="550" t="s">
        <v>558</v>
      </c>
      <c r="I15" s="242" t="s">
        <v>559</v>
      </c>
      <c r="J15" s="552" t="s">
        <v>255</v>
      </c>
      <c r="K15" s="540"/>
      <c r="L15" s="538" t="s">
        <v>43</v>
      </c>
      <c r="M15" s="132"/>
      <c r="O15" s="57"/>
    </row>
    <row r="16" spans="1:15" ht="18" customHeight="1" x14ac:dyDescent="0.25">
      <c r="A16" s="543"/>
      <c r="B16" s="545"/>
      <c r="C16" s="543"/>
      <c r="D16" s="547"/>
      <c r="E16" s="539"/>
      <c r="F16" s="549"/>
      <c r="G16" s="539"/>
      <c r="H16" s="551"/>
      <c r="I16" s="242" t="s">
        <v>560</v>
      </c>
      <c r="J16" s="553"/>
      <c r="K16" s="541"/>
      <c r="L16" s="539"/>
      <c r="O16" s="57"/>
    </row>
    <row r="17" spans="1:15" ht="16.5" customHeight="1" x14ac:dyDescent="0.25">
      <c r="A17" s="222"/>
      <c r="B17" s="179"/>
      <c r="C17" s="79"/>
      <c r="D17" s="79"/>
      <c r="E17" s="79"/>
      <c r="F17" s="223"/>
      <c r="G17" s="79"/>
      <c r="H17" s="224"/>
      <c r="I17" s="195"/>
      <c r="J17" s="225"/>
      <c r="K17" s="79"/>
      <c r="L17" s="79"/>
      <c r="O17" s="57"/>
    </row>
    <row r="18" spans="1:15" x14ac:dyDescent="0.25">
      <c r="A18" s="222"/>
      <c r="B18" s="79"/>
      <c r="C18" s="190"/>
      <c r="D18" s="79"/>
      <c r="E18" s="79"/>
      <c r="F18" s="223"/>
      <c r="G18" s="79"/>
      <c r="H18" s="107"/>
      <c r="I18" s="195"/>
      <c r="J18" s="190"/>
      <c r="K18" s="79"/>
      <c r="L18" s="79"/>
      <c r="O18" s="57"/>
    </row>
    <row r="19" spans="1:15" x14ac:dyDescent="0.25">
      <c r="I19" s="26"/>
      <c r="J19" s="26"/>
    </row>
    <row r="20" spans="1:15" x14ac:dyDescent="0.25">
      <c r="I20" s="51" t="s">
        <v>19</v>
      </c>
      <c r="J20" s="26"/>
    </row>
    <row r="21" spans="1:15" x14ac:dyDescent="0.25">
      <c r="I21" s="26" t="s">
        <v>114</v>
      </c>
      <c r="J21" s="26"/>
    </row>
    <row r="22" spans="1:15" x14ac:dyDescent="0.25">
      <c r="B22" t="s">
        <v>20</v>
      </c>
      <c r="E22" t="s">
        <v>21</v>
      </c>
      <c r="I22" s="26" t="s">
        <v>115</v>
      </c>
      <c r="J22" s="99">
        <v>4</v>
      </c>
    </row>
    <row r="23" spans="1:15" x14ac:dyDescent="0.25">
      <c r="I23" s="26" t="s">
        <v>184</v>
      </c>
      <c r="J23" s="99">
        <v>8000</v>
      </c>
    </row>
    <row r="24" spans="1:15" x14ac:dyDescent="0.25">
      <c r="I24" s="26" t="s">
        <v>589</v>
      </c>
      <c r="J24" s="99">
        <v>3000</v>
      </c>
    </row>
    <row r="25" spans="1:15" x14ac:dyDescent="0.25">
      <c r="I25" s="26" t="s">
        <v>116</v>
      </c>
      <c r="J25" s="99">
        <v>0</v>
      </c>
    </row>
    <row r="26" spans="1:15" x14ac:dyDescent="0.25">
      <c r="I26" s="26" t="s">
        <v>118</v>
      </c>
      <c r="J26" s="97">
        <v>0</v>
      </c>
    </row>
    <row r="27" spans="1:15" x14ac:dyDescent="0.25">
      <c r="B27" s="27" t="s">
        <v>538</v>
      </c>
      <c r="E27" s="521" t="s">
        <v>22</v>
      </c>
      <c r="F27" s="521"/>
      <c r="G27" s="521"/>
      <c r="H27" s="521"/>
      <c r="I27" s="26" t="s">
        <v>119</v>
      </c>
      <c r="J27" s="99">
        <v>3500</v>
      </c>
      <c r="L27" s="57"/>
    </row>
    <row r="28" spans="1:15" x14ac:dyDescent="0.25">
      <c r="B28" t="s">
        <v>183</v>
      </c>
      <c r="E28" s="522" t="s">
        <v>185</v>
      </c>
      <c r="F28" s="522"/>
      <c r="G28" s="522"/>
      <c r="H28" s="522"/>
      <c r="I28" s="26" t="s">
        <v>120</v>
      </c>
      <c r="J28" s="97">
        <v>0</v>
      </c>
      <c r="L28" s="57"/>
    </row>
    <row r="29" spans="1:15" x14ac:dyDescent="0.25">
      <c r="I29" s="26" t="s">
        <v>23</v>
      </c>
      <c r="J29" s="98"/>
    </row>
    <row r="30" spans="1:15" x14ac:dyDescent="0.25">
      <c r="I30" s="3" t="s">
        <v>121</v>
      </c>
      <c r="J30" s="99"/>
    </row>
    <row r="31" spans="1:15" x14ac:dyDescent="0.25">
      <c r="I31" s="3" t="s">
        <v>91</v>
      </c>
      <c r="J31" s="99"/>
    </row>
  </sheetData>
  <mergeCells count="20">
    <mergeCell ref="L15:L16"/>
    <mergeCell ref="K15:K16"/>
    <mergeCell ref="A8:B8"/>
    <mergeCell ref="E27:H27"/>
    <mergeCell ref="E28:H28"/>
    <mergeCell ref="A15:A16"/>
    <mergeCell ref="B15:B16"/>
    <mergeCell ref="C15:C16"/>
    <mergeCell ref="D15:D16"/>
    <mergeCell ref="E15:E16"/>
    <mergeCell ref="F15:F16"/>
    <mergeCell ref="G15:G16"/>
    <mergeCell ref="H15:H16"/>
    <mergeCell ref="J15:J16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A1:Q303"/>
  <sheetViews>
    <sheetView view="pageBreakPreview" topLeftCell="A113" zoomScale="106" zoomScaleNormal="100" zoomScaleSheetLayoutView="106" workbookViewId="0">
      <selection activeCell="Q27" sqref="Q27"/>
    </sheetView>
  </sheetViews>
  <sheetFormatPr defaultRowHeight="15" x14ac:dyDescent="0.25"/>
  <cols>
    <col min="1" max="1" width="4.7109375" style="183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91" customWidth="1"/>
    <col min="10" max="10" width="9.5703125" customWidth="1"/>
    <col min="11" max="11" width="17.85546875" customWidth="1"/>
    <col min="16" max="16" width="15.42578125" customWidth="1"/>
  </cols>
  <sheetData>
    <row r="1" spans="1:17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</row>
    <row r="2" spans="1:17" ht="18" x14ac:dyDescent="0.25">
      <c r="A2" s="524" t="s">
        <v>390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</row>
    <row r="3" spans="1:17" x14ac:dyDescent="0.25">
      <c r="B3" s="1"/>
      <c r="C3" s="3"/>
      <c r="D3" s="1"/>
      <c r="E3" s="1"/>
      <c r="G3" s="3"/>
      <c r="H3" s="67"/>
      <c r="I3" s="81"/>
      <c r="J3" s="82" t="s">
        <v>590</v>
      </c>
      <c r="K3" s="83"/>
    </row>
    <row r="4" spans="1:17" x14ac:dyDescent="0.25">
      <c r="B4" s="1"/>
      <c r="C4" s="3"/>
      <c r="D4" s="1"/>
      <c r="E4" s="1"/>
      <c r="G4" s="3"/>
      <c r="H4" s="67"/>
      <c r="I4" s="84"/>
      <c r="J4" s="76" t="s">
        <v>93</v>
      </c>
      <c r="K4" s="96">
        <v>77</v>
      </c>
    </row>
    <row r="5" spans="1:17" x14ac:dyDescent="0.25">
      <c r="B5" s="1"/>
      <c r="C5" s="3"/>
      <c r="D5" s="1"/>
      <c r="E5" s="1"/>
      <c r="G5" s="3"/>
      <c r="H5" s="67"/>
      <c r="I5" s="84"/>
      <c r="J5" s="76" t="s">
        <v>95</v>
      </c>
      <c r="K5" s="96">
        <v>11</v>
      </c>
      <c r="P5" s="448">
        <f>SUM(I12:I46,I48:I50,I52:I65,I67:I73,I75:I99,I103:I114)</f>
        <v>34805</v>
      </c>
    </row>
    <row r="6" spans="1:17" x14ac:dyDescent="0.25">
      <c r="A6" s="534" t="s">
        <v>123</v>
      </c>
      <c r="B6" s="534"/>
      <c r="C6" s="3"/>
      <c r="D6" s="1"/>
      <c r="E6" s="4"/>
      <c r="G6" s="3"/>
      <c r="H6" s="67"/>
      <c r="I6" s="81"/>
      <c r="J6" s="80" t="s">
        <v>591</v>
      </c>
      <c r="K6" s="85"/>
    </row>
    <row r="7" spans="1:17" x14ac:dyDescent="0.25">
      <c r="A7" s="6"/>
      <c r="B7" s="7"/>
      <c r="C7" s="64"/>
      <c r="D7" s="8"/>
      <c r="E7" s="8"/>
      <c r="F7" s="529" t="s">
        <v>1</v>
      </c>
      <c r="G7" s="535"/>
      <c r="H7" s="530"/>
      <c r="I7" s="86"/>
      <c r="J7" s="531" t="s">
        <v>2</v>
      </c>
      <c r="K7" s="532"/>
      <c r="P7" s="25"/>
    </row>
    <row r="8" spans="1:17" x14ac:dyDescent="0.25">
      <c r="A8" s="519" t="s">
        <v>3</v>
      </c>
      <c r="B8" s="520"/>
      <c r="C8" s="17" t="s">
        <v>4</v>
      </c>
      <c r="D8" s="184" t="s">
        <v>5</v>
      </c>
      <c r="E8" s="9" t="s">
        <v>6</v>
      </c>
      <c r="F8" s="10" t="s">
        <v>7</v>
      </c>
      <c r="G8" s="65"/>
      <c r="H8" s="11" t="s">
        <v>8</v>
      </c>
      <c r="I8" s="60" t="s">
        <v>9</v>
      </c>
      <c r="J8" s="77"/>
      <c r="K8" s="13"/>
    </row>
    <row r="9" spans="1:17" x14ac:dyDescent="0.25">
      <c r="A9" s="87"/>
      <c r="B9" s="14"/>
      <c r="C9" s="65"/>
      <c r="D9" s="15"/>
      <c r="E9" s="14"/>
      <c r="F9" s="16" t="s">
        <v>10</v>
      </c>
      <c r="G9" s="17" t="s">
        <v>11</v>
      </c>
      <c r="H9" s="11" t="s">
        <v>12</v>
      </c>
      <c r="I9" s="88"/>
      <c r="J9" s="184" t="s">
        <v>13</v>
      </c>
      <c r="K9" s="184" t="s">
        <v>14</v>
      </c>
      <c r="Q9" s="232"/>
    </row>
    <row r="10" spans="1:17" x14ac:dyDescent="0.25">
      <c r="A10" s="18"/>
      <c r="B10" s="19"/>
      <c r="C10" s="66"/>
      <c r="D10" s="20"/>
      <c r="E10" s="20"/>
      <c r="F10" s="21"/>
      <c r="G10" s="68"/>
      <c r="H10" s="69" t="s">
        <v>15</v>
      </c>
      <c r="I10" s="89"/>
      <c r="J10" s="21"/>
      <c r="K10" s="22" t="s">
        <v>16</v>
      </c>
      <c r="P10" s="232"/>
      <c r="Q10" s="232"/>
    </row>
    <row r="11" spans="1:17" x14ac:dyDescent="0.25">
      <c r="A11" s="47" t="s">
        <v>17</v>
      </c>
      <c r="B11" s="23"/>
      <c r="C11" s="23"/>
      <c r="D11" s="23"/>
      <c r="E11" s="23"/>
      <c r="F11" s="23"/>
      <c r="G11" s="23"/>
      <c r="H11" s="23"/>
      <c r="I11" s="61"/>
      <c r="J11" s="23"/>
      <c r="K11" s="23"/>
      <c r="P11" s="232"/>
      <c r="Q11" s="232"/>
    </row>
    <row r="12" spans="1:17" x14ac:dyDescent="0.25">
      <c r="A12" s="198">
        <v>3</v>
      </c>
      <c r="B12" s="199" t="s">
        <v>394</v>
      </c>
      <c r="C12" s="199" t="s">
        <v>40</v>
      </c>
      <c r="D12" s="199" t="s">
        <v>395</v>
      </c>
      <c r="E12" s="199" t="s">
        <v>58</v>
      </c>
      <c r="F12" s="200" t="s">
        <v>396</v>
      </c>
      <c r="G12" s="79" t="s">
        <v>42</v>
      </c>
      <c r="H12" s="201">
        <v>300</v>
      </c>
      <c r="I12" s="202">
        <v>60</v>
      </c>
      <c r="J12" s="199" t="s">
        <v>179</v>
      </c>
      <c r="K12" s="199" t="s">
        <v>43</v>
      </c>
      <c r="M12">
        <f>H12/5</f>
        <v>60</v>
      </c>
      <c r="O12" s="25" t="s">
        <v>42</v>
      </c>
      <c r="P12" s="232">
        <f>H12+H14+H15+H20+H21+H22+H23+H25+H26+H27+H29+H30+H35+H37+H38+H39+H41+H42+H43+H44+H47+H48+H49+H50+H52+H54+H55+H56+H59+H61+H62+H67+H72+H74+H75+H77+H82+H88+H89+H92+H94+H96+H99+H101+H103+H104+H106+H108+H111+H113</f>
        <v>104700</v>
      </c>
      <c r="Q12">
        <v>2000</v>
      </c>
    </row>
    <row r="13" spans="1:17" x14ac:dyDescent="0.25">
      <c r="A13" s="198">
        <v>3</v>
      </c>
      <c r="B13" s="199" t="s">
        <v>397</v>
      </c>
      <c r="C13" s="199" t="s">
        <v>40</v>
      </c>
      <c r="D13" s="199" t="s">
        <v>158</v>
      </c>
      <c r="E13" s="199" t="s">
        <v>57</v>
      </c>
      <c r="F13" s="200" t="s">
        <v>398</v>
      </c>
      <c r="G13" s="79" t="s">
        <v>163</v>
      </c>
      <c r="H13" s="201">
        <v>100</v>
      </c>
      <c r="I13" s="202">
        <v>100</v>
      </c>
      <c r="J13" s="199" t="s">
        <v>179</v>
      </c>
      <c r="K13" s="199" t="s">
        <v>43</v>
      </c>
      <c r="M13">
        <f t="shared" ref="M13:M110" si="0">H13/5</f>
        <v>20</v>
      </c>
      <c r="O13" s="25"/>
      <c r="P13" s="232">
        <f>P12+Q12</f>
        <v>106700</v>
      </c>
    </row>
    <row r="14" spans="1:17" x14ac:dyDescent="0.25">
      <c r="A14" s="198">
        <v>3</v>
      </c>
      <c r="B14" s="199" t="s">
        <v>399</v>
      </c>
      <c r="C14" s="199" t="s">
        <v>40</v>
      </c>
      <c r="D14" s="199" t="s">
        <v>141</v>
      </c>
      <c r="E14" s="199" t="s">
        <v>45</v>
      </c>
      <c r="F14" s="200" t="s">
        <v>400</v>
      </c>
      <c r="G14" s="79" t="s">
        <v>42</v>
      </c>
      <c r="H14" s="201">
        <v>150</v>
      </c>
      <c r="I14" s="202">
        <v>30</v>
      </c>
      <c r="J14" s="199" t="s">
        <v>179</v>
      </c>
      <c r="K14" s="199" t="s">
        <v>43</v>
      </c>
      <c r="M14">
        <f t="shared" si="0"/>
        <v>30</v>
      </c>
      <c r="O14" s="25" t="s">
        <v>1403</v>
      </c>
      <c r="P14" s="232">
        <f>H19+H33+H34+H79+H83+H84+H90</f>
        <v>7050</v>
      </c>
    </row>
    <row r="15" spans="1:17" x14ac:dyDescent="0.25">
      <c r="A15" s="203">
        <v>3</v>
      </c>
      <c r="B15" s="199" t="s">
        <v>401</v>
      </c>
      <c r="C15" s="199" t="s">
        <v>40</v>
      </c>
      <c r="D15" s="199" t="s">
        <v>402</v>
      </c>
      <c r="E15" s="199" t="s">
        <v>57</v>
      </c>
      <c r="F15" s="200" t="s">
        <v>403</v>
      </c>
      <c r="G15" s="79" t="s">
        <v>42</v>
      </c>
      <c r="H15" s="201">
        <v>500</v>
      </c>
      <c r="I15" s="204">
        <v>100</v>
      </c>
      <c r="J15" s="199" t="s">
        <v>179</v>
      </c>
      <c r="K15" s="199" t="s">
        <v>43</v>
      </c>
      <c r="M15">
        <f t="shared" si="0"/>
        <v>100</v>
      </c>
      <c r="P15" s="232">
        <f>P13+P14</f>
        <v>113750</v>
      </c>
    </row>
    <row r="16" spans="1:17" x14ac:dyDescent="0.25">
      <c r="A16" s="198">
        <v>3</v>
      </c>
      <c r="B16" s="199" t="s">
        <v>404</v>
      </c>
      <c r="C16" s="199" t="s">
        <v>40</v>
      </c>
      <c r="D16" s="199" t="s">
        <v>380</v>
      </c>
      <c r="E16" s="199" t="s">
        <v>45</v>
      </c>
      <c r="F16" s="200"/>
      <c r="G16" s="79" t="s">
        <v>163</v>
      </c>
      <c r="H16" s="201">
        <v>100</v>
      </c>
      <c r="I16" s="202">
        <v>100</v>
      </c>
      <c r="J16" s="199" t="s">
        <v>179</v>
      </c>
      <c r="K16" s="199" t="s">
        <v>43</v>
      </c>
      <c r="M16">
        <f t="shared" si="0"/>
        <v>20</v>
      </c>
      <c r="P16" s="232"/>
    </row>
    <row r="17" spans="1:17" x14ac:dyDescent="0.25">
      <c r="A17" s="198">
        <v>3</v>
      </c>
      <c r="B17" s="199" t="s">
        <v>405</v>
      </c>
      <c r="C17" s="199" t="s">
        <v>48</v>
      </c>
      <c r="D17" s="199" t="s">
        <v>406</v>
      </c>
      <c r="E17" s="199" t="s">
        <v>57</v>
      </c>
      <c r="F17" s="200" t="s">
        <v>407</v>
      </c>
      <c r="G17" s="79" t="s">
        <v>163</v>
      </c>
      <c r="H17" s="201">
        <v>100</v>
      </c>
      <c r="I17" s="202">
        <v>100</v>
      </c>
      <c r="J17" s="199" t="s">
        <v>179</v>
      </c>
      <c r="K17" s="199" t="s">
        <v>43</v>
      </c>
      <c r="M17">
        <f t="shared" si="0"/>
        <v>20</v>
      </c>
      <c r="O17" s="57"/>
      <c r="P17" s="232"/>
    </row>
    <row r="18" spans="1:17" x14ac:dyDescent="0.25">
      <c r="A18" s="198">
        <v>3</v>
      </c>
      <c r="B18" s="199" t="s">
        <v>338</v>
      </c>
      <c r="C18" s="199" t="s">
        <v>40</v>
      </c>
      <c r="D18" s="199" t="s">
        <v>408</v>
      </c>
      <c r="E18" s="199" t="s">
        <v>72</v>
      </c>
      <c r="F18" s="200" t="s">
        <v>340</v>
      </c>
      <c r="G18" s="79" t="s">
        <v>162</v>
      </c>
      <c r="H18" s="201">
        <v>40</v>
      </c>
      <c r="I18" s="202">
        <v>200</v>
      </c>
      <c r="J18" s="199" t="s">
        <v>179</v>
      </c>
      <c r="K18" s="199" t="s">
        <v>43</v>
      </c>
      <c r="M18">
        <f t="shared" si="0"/>
        <v>8</v>
      </c>
      <c r="P18" s="233"/>
      <c r="Q18" s="25"/>
    </row>
    <row r="19" spans="1:17" x14ac:dyDescent="0.25">
      <c r="A19" s="198">
        <v>3</v>
      </c>
      <c r="B19" s="199" t="s">
        <v>409</v>
      </c>
      <c r="C19" s="199" t="s">
        <v>40</v>
      </c>
      <c r="D19" s="199" t="s">
        <v>410</v>
      </c>
      <c r="E19" s="199" t="s">
        <v>73</v>
      </c>
      <c r="F19" s="200" t="s">
        <v>411</v>
      </c>
      <c r="G19" s="79" t="s">
        <v>187</v>
      </c>
      <c r="H19" s="201">
        <v>500</v>
      </c>
      <c r="I19" s="202">
        <v>100</v>
      </c>
      <c r="J19" s="199" t="s">
        <v>179</v>
      </c>
      <c r="K19" s="199" t="s">
        <v>43</v>
      </c>
      <c r="M19">
        <f t="shared" si="0"/>
        <v>100</v>
      </c>
      <c r="O19" s="25"/>
      <c r="P19" s="232"/>
    </row>
    <row r="20" spans="1:17" x14ac:dyDescent="0.25">
      <c r="A20" s="198">
        <v>6</v>
      </c>
      <c r="B20" s="199" t="s">
        <v>412</v>
      </c>
      <c r="C20" s="199" t="s">
        <v>40</v>
      </c>
      <c r="D20" s="199" t="s">
        <v>380</v>
      </c>
      <c r="E20" s="199" t="s">
        <v>45</v>
      </c>
      <c r="F20" s="200"/>
      <c r="G20" s="79" t="s">
        <v>42</v>
      </c>
      <c r="H20" s="201">
        <v>10000</v>
      </c>
      <c r="I20" s="202">
        <v>2000</v>
      </c>
      <c r="J20" s="199" t="s">
        <v>179</v>
      </c>
      <c r="K20" s="199" t="s">
        <v>43</v>
      </c>
      <c r="M20">
        <f t="shared" si="0"/>
        <v>2000</v>
      </c>
      <c r="P20" s="232"/>
    </row>
    <row r="21" spans="1:17" x14ac:dyDescent="0.25">
      <c r="A21" s="198">
        <v>6</v>
      </c>
      <c r="B21" s="199" t="s">
        <v>413</v>
      </c>
      <c r="C21" s="199" t="s">
        <v>40</v>
      </c>
      <c r="D21" s="199" t="s">
        <v>414</v>
      </c>
      <c r="E21" s="199" t="s">
        <v>47</v>
      </c>
      <c r="F21" s="200" t="s">
        <v>415</v>
      </c>
      <c r="G21" s="79" t="s">
        <v>42</v>
      </c>
      <c r="H21" s="201">
        <v>1000</v>
      </c>
      <c r="I21" s="202">
        <v>200</v>
      </c>
      <c r="J21" s="199" t="s">
        <v>179</v>
      </c>
      <c r="K21" s="199" t="s">
        <v>43</v>
      </c>
      <c r="M21">
        <f t="shared" si="0"/>
        <v>200</v>
      </c>
      <c r="P21" s="232"/>
    </row>
    <row r="22" spans="1:17" x14ac:dyDescent="0.25">
      <c r="A22" s="198">
        <v>6</v>
      </c>
      <c r="B22" s="199" t="s">
        <v>416</v>
      </c>
      <c r="C22" s="199" t="s">
        <v>40</v>
      </c>
      <c r="D22" s="199" t="s">
        <v>417</v>
      </c>
      <c r="E22" s="199" t="s">
        <v>50</v>
      </c>
      <c r="F22" s="200" t="s">
        <v>418</v>
      </c>
      <c r="G22" s="79" t="s">
        <v>42</v>
      </c>
      <c r="H22" s="201">
        <v>1200</v>
      </c>
      <c r="I22" s="202">
        <v>240</v>
      </c>
      <c r="J22" s="199" t="s">
        <v>179</v>
      </c>
      <c r="K22" s="199" t="s">
        <v>43</v>
      </c>
      <c r="M22">
        <f t="shared" si="0"/>
        <v>240</v>
      </c>
      <c r="P22" s="232"/>
    </row>
    <row r="23" spans="1:17" x14ac:dyDescent="0.25">
      <c r="A23" s="198">
        <v>6</v>
      </c>
      <c r="B23" s="199" t="s">
        <v>419</v>
      </c>
      <c r="C23" s="199" t="s">
        <v>40</v>
      </c>
      <c r="D23" s="199" t="s">
        <v>420</v>
      </c>
      <c r="E23" s="199" t="s">
        <v>52</v>
      </c>
      <c r="F23" s="200" t="s">
        <v>421</v>
      </c>
      <c r="G23" s="79" t="s">
        <v>42</v>
      </c>
      <c r="H23" s="201">
        <v>3000</v>
      </c>
      <c r="I23" s="202">
        <v>600</v>
      </c>
      <c r="J23" s="199" t="s">
        <v>179</v>
      </c>
      <c r="K23" s="199" t="s">
        <v>43</v>
      </c>
      <c r="M23">
        <f t="shared" si="0"/>
        <v>600</v>
      </c>
      <c r="P23" s="233"/>
    </row>
    <row r="24" spans="1:17" x14ac:dyDescent="0.25">
      <c r="A24" s="198">
        <v>6</v>
      </c>
      <c r="B24" s="199" t="s">
        <v>422</v>
      </c>
      <c r="C24" s="199" t="s">
        <v>40</v>
      </c>
      <c r="D24" s="199"/>
      <c r="E24" s="199" t="s">
        <v>44</v>
      </c>
      <c r="F24" s="200" t="s">
        <v>423</v>
      </c>
      <c r="G24" s="79" t="s">
        <v>162</v>
      </c>
      <c r="H24" s="201">
        <v>60</v>
      </c>
      <c r="I24" s="202">
        <v>300</v>
      </c>
      <c r="J24" s="199" t="s">
        <v>179</v>
      </c>
      <c r="K24" s="199" t="s">
        <v>43</v>
      </c>
      <c r="M24">
        <f t="shared" si="0"/>
        <v>12</v>
      </c>
      <c r="P24" s="233"/>
    </row>
    <row r="25" spans="1:17" x14ac:dyDescent="0.25">
      <c r="A25" s="203">
        <v>6</v>
      </c>
      <c r="B25" s="205" t="s">
        <v>424</v>
      </c>
      <c r="C25" s="205" t="s">
        <v>48</v>
      </c>
      <c r="D25" s="205" t="s">
        <v>425</v>
      </c>
      <c r="E25" s="205" t="s">
        <v>57</v>
      </c>
      <c r="F25" s="206" t="s">
        <v>426</v>
      </c>
      <c r="G25" s="79" t="s">
        <v>42</v>
      </c>
      <c r="H25" s="207">
        <v>1500</v>
      </c>
      <c r="I25" s="204">
        <v>300</v>
      </c>
      <c r="J25" s="199" t="s">
        <v>179</v>
      </c>
      <c r="K25" s="199" t="s">
        <v>43</v>
      </c>
      <c r="M25">
        <f t="shared" si="0"/>
        <v>300</v>
      </c>
      <c r="P25" s="25"/>
      <c r="Q25" s="25"/>
    </row>
    <row r="26" spans="1:17" x14ac:dyDescent="0.25">
      <c r="A26" s="198">
        <v>6</v>
      </c>
      <c r="B26" s="205" t="s">
        <v>427</v>
      </c>
      <c r="C26" s="205" t="s">
        <v>40</v>
      </c>
      <c r="D26" s="205"/>
      <c r="E26" s="205" t="s">
        <v>57</v>
      </c>
      <c r="F26" s="206" t="s">
        <v>428</v>
      </c>
      <c r="G26" s="208" t="s">
        <v>42</v>
      </c>
      <c r="H26" s="207">
        <v>8000</v>
      </c>
      <c r="I26" s="204">
        <v>1600</v>
      </c>
      <c r="J26" s="199" t="s">
        <v>179</v>
      </c>
      <c r="K26" s="199" t="s">
        <v>43</v>
      </c>
      <c r="M26">
        <f t="shared" si="0"/>
        <v>1600</v>
      </c>
      <c r="P26" s="25"/>
    </row>
    <row r="27" spans="1:17" x14ac:dyDescent="0.25">
      <c r="A27" s="198">
        <v>6</v>
      </c>
      <c r="B27" s="199" t="s">
        <v>429</v>
      </c>
      <c r="C27" s="199" t="s">
        <v>40</v>
      </c>
      <c r="D27" s="199" t="s">
        <v>430</v>
      </c>
      <c r="E27" s="199" t="s">
        <v>45</v>
      </c>
      <c r="F27" s="200" t="s">
        <v>431</v>
      </c>
      <c r="G27" s="79" t="s">
        <v>42</v>
      </c>
      <c r="H27" s="201">
        <v>1000</v>
      </c>
      <c r="I27" s="202">
        <v>200</v>
      </c>
      <c r="J27" s="199" t="s">
        <v>179</v>
      </c>
      <c r="K27" s="199" t="s">
        <v>43</v>
      </c>
      <c r="M27">
        <f t="shared" si="0"/>
        <v>200</v>
      </c>
      <c r="P27" s="25"/>
    </row>
    <row r="28" spans="1:17" x14ac:dyDescent="0.25">
      <c r="A28" s="198">
        <v>6</v>
      </c>
      <c r="B28" s="199" t="s">
        <v>432</v>
      </c>
      <c r="C28" s="199" t="s">
        <v>40</v>
      </c>
      <c r="D28" s="199" t="s">
        <v>63</v>
      </c>
      <c r="E28" s="199" t="s">
        <v>57</v>
      </c>
      <c r="F28" s="200" t="s">
        <v>433</v>
      </c>
      <c r="G28" s="79" t="s">
        <v>162</v>
      </c>
      <c r="H28" s="201">
        <v>20</v>
      </c>
      <c r="I28" s="202">
        <v>100</v>
      </c>
      <c r="J28" s="199" t="s">
        <v>179</v>
      </c>
      <c r="K28" s="199" t="s">
        <v>43</v>
      </c>
      <c r="M28">
        <f t="shared" si="0"/>
        <v>4</v>
      </c>
      <c r="P28" s="25"/>
    </row>
    <row r="29" spans="1:17" x14ac:dyDescent="0.25">
      <c r="A29" s="198">
        <v>6</v>
      </c>
      <c r="B29" s="199" t="s">
        <v>434</v>
      </c>
      <c r="C29" s="199" t="s">
        <v>40</v>
      </c>
      <c r="D29" s="199" t="s">
        <v>315</v>
      </c>
      <c r="E29" s="199" t="s">
        <v>45</v>
      </c>
      <c r="F29" s="200" t="s">
        <v>435</v>
      </c>
      <c r="G29" s="79" t="s">
        <v>42</v>
      </c>
      <c r="H29" s="201">
        <v>4000</v>
      </c>
      <c r="I29" s="202">
        <v>800</v>
      </c>
      <c r="J29" s="199" t="s">
        <v>179</v>
      </c>
      <c r="K29" s="199" t="s">
        <v>43</v>
      </c>
      <c r="M29">
        <f t="shared" si="0"/>
        <v>800</v>
      </c>
    </row>
    <row r="30" spans="1:17" x14ac:dyDescent="0.25">
      <c r="A30" s="198">
        <v>7</v>
      </c>
      <c r="B30" s="199" t="s">
        <v>436</v>
      </c>
      <c r="C30" s="199" t="s">
        <v>40</v>
      </c>
      <c r="D30" s="199"/>
      <c r="E30" s="199" t="s">
        <v>61</v>
      </c>
      <c r="F30" s="200" t="s">
        <v>437</v>
      </c>
      <c r="G30" s="79" t="s">
        <v>42</v>
      </c>
      <c r="H30" s="201">
        <v>100</v>
      </c>
      <c r="I30" s="202">
        <v>20</v>
      </c>
      <c r="J30" s="199" t="s">
        <v>179</v>
      </c>
      <c r="K30" s="199" t="s">
        <v>43</v>
      </c>
      <c r="M30">
        <f t="shared" si="0"/>
        <v>20</v>
      </c>
    </row>
    <row r="31" spans="1:17" x14ac:dyDescent="0.25">
      <c r="A31" s="198">
        <v>7</v>
      </c>
      <c r="B31" s="199" t="s">
        <v>438</v>
      </c>
      <c r="C31" s="199" t="s">
        <v>40</v>
      </c>
      <c r="D31" s="199" t="s">
        <v>380</v>
      </c>
      <c r="E31" s="199" t="s">
        <v>45</v>
      </c>
      <c r="F31" s="200"/>
      <c r="G31" s="79" t="s">
        <v>162</v>
      </c>
      <c r="H31" s="201">
        <v>20</v>
      </c>
      <c r="I31" s="202">
        <v>100</v>
      </c>
      <c r="J31" s="199" t="s">
        <v>179</v>
      </c>
      <c r="K31" s="199" t="s">
        <v>43</v>
      </c>
      <c r="M31">
        <f t="shared" si="0"/>
        <v>4</v>
      </c>
    </row>
    <row r="32" spans="1:17" x14ac:dyDescent="0.25">
      <c r="A32" s="198">
        <v>7</v>
      </c>
      <c r="B32" s="199" t="s">
        <v>439</v>
      </c>
      <c r="C32" s="199" t="s">
        <v>40</v>
      </c>
      <c r="D32" s="199" t="s">
        <v>440</v>
      </c>
      <c r="E32" s="199" t="s">
        <v>53</v>
      </c>
      <c r="F32" s="200"/>
      <c r="G32" s="79" t="s">
        <v>162</v>
      </c>
      <c r="H32" s="201">
        <v>40</v>
      </c>
      <c r="I32" s="202">
        <v>200</v>
      </c>
      <c r="J32" s="199" t="s">
        <v>179</v>
      </c>
      <c r="K32" s="199" t="s">
        <v>43</v>
      </c>
      <c r="M32">
        <f t="shared" si="0"/>
        <v>8</v>
      </c>
    </row>
    <row r="33" spans="1:13" x14ac:dyDescent="0.25">
      <c r="A33" s="198">
        <v>7</v>
      </c>
      <c r="B33" s="199" t="s">
        <v>441</v>
      </c>
      <c r="C33" s="199" t="s">
        <v>40</v>
      </c>
      <c r="D33" s="199"/>
      <c r="E33" s="199" t="s">
        <v>44</v>
      </c>
      <c r="F33" s="200" t="s">
        <v>442</v>
      </c>
      <c r="G33" s="79" t="s">
        <v>187</v>
      </c>
      <c r="H33" s="201">
        <v>250</v>
      </c>
      <c r="I33" s="202">
        <v>50</v>
      </c>
      <c r="J33" s="199" t="s">
        <v>179</v>
      </c>
      <c r="K33" s="199" t="s">
        <v>43</v>
      </c>
      <c r="M33">
        <f t="shared" si="0"/>
        <v>50</v>
      </c>
    </row>
    <row r="34" spans="1:13" x14ac:dyDescent="0.25">
      <c r="A34" s="198">
        <v>7</v>
      </c>
      <c r="B34" s="199" t="s">
        <v>443</v>
      </c>
      <c r="C34" s="199" t="s">
        <v>40</v>
      </c>
      <c r="D34" s="199"/>
      <c r="E34" s="199" t="s">
        <v>63</v>
      </c>
      <c r="F34" s="200"/>
      <c r="G34" s="79" t="s">
        <v>187</v>
      </c>
      <c r="H34" s="201">
        <v>200</v>
      </c>
      <c r="I34" s="202">
        <v>40</v>
      </c>
      <c r="J34" s="199" t="s">
        <v>179</v>
      </c>
      <c r="K34" s="199" t="s">
        <v>43</v>
      </c>
      <c r="M34">
        <f t="shared" si="0"/>
        <v>40</v>
      </c>
    </row>
    <row r="35" spans="1:13" x14ac:dyDescent="0.25">
      <c r="A35" s="198">
        <v>7</v>
      </c>
      <c r="B35" s="199" t="s">
        <v>444</v>
      </c>
      <c r="C35" s="199" t="s">
        <v>40</v>
      </c>
      <c r="D35" s="199" t="s">
        <v>445</v>
      </c>
      <c r="E35" s="199" t="s">
        <v>50</v>
      </c>
      <c r="F35" s="200" t="s">
        <v>446</v>
      </c>
      <c r="G35" s="79" t="s">
        <v>42</v>
      </c>
      <c r="H35" s="201">
        <v>400</v>
      </c>
      <c r="I35" s="202">
        <v>80</v>
      </c>
      <c r="J35" s="199" t="s">
        <v>179</v>
      </c>
      <c r="K35" s="199" t="s">
        <v>43</v>
      </c>
      <c r="M35">
        <f t="shared" si="0"/>
        <v>80</v>
      </c>
    </row>
    <row r="36" spans="1:13" x14ac:dyDescent="0.25">
      <c r="A36" s="198">
        <v>7</v>
      </c>
      <c r="B36" s="199" t="s">
        <v>359</v>
      </c>
      <c r="C36" s="199" t="s">
        <v>40</v>
      </c>
      <c r="D36" s="199" t="s">
        <v>142</v>
      </c>
      <c r="E36" s="199" t="s">
        <v>44</v>
      </c>
      <c r="F36" s="200"/>
      <c r="G36" s="79" t="s">
        <v>162</v>
      </c>
      <c r="H36" s="201">
        <v>80</v>
      </c>
      <c r="I36" s="202">
        <v>400</v>
      </c>
      <c r="J36" s="199" t="s">
        <v>179</v>
      </c>
      <c r="K36" s="199" t="s">
        <v>43</v>
      </c>
      <c r="M36">
        <f t="shared" si="0"/>
        <v>16</v>
      </c>
    </row>
    <row r="37" spans="1:13" x14ac:dyDescent="0.25">
      <c r="A37" s="198">
        <v>7</v>
      </c>
      <c r="B37" s="199" t="s">
        <v>447</v>
      </c>
      <c r="C37" s="199" t="s">
        <v>40</v>
      </c>
      <c r="D37" s="199" t="s">
        <v>448</v>
      </c>
      <c r="E37" s="199" t="s">
        <v>77</v>
      </c>
      <c r="F37" s="200" t="s">
        <v>449</v>
      </c>
      <c r="G37" s="79" t="s">
        <v>42</v>
      </c>
      <c r="H37" s="201">
        <v>600</v>
      </c>
      <c r="I37" s="202">
        <v>120</v>
      </c>
      <c r="J37" s="199" t="s">
        <v>179</v>
      </c>
      <c r="K37" s="199" t="s">
        <v>43</v>
      </c>
      <c r="M37">
        <f t="shared" si="0"/>
        <v>120</v>
      </c>
    </row>
    <row r="38" spans="1:13" x14ac:dyDescent="0.25">
      <c r="A38" s="198">
        <v>7</v>
      </c>
      <c r="B38" s="199" t="s">
        <v>450</v>
      </c>
      <c r="C38" s="199" t="s">
        <v>40</v>
      </c>
      <c r="D38" s="199" t="s">
        <v>451</v>
      </c>
      <c r="E38" s="199" t="s">
        <v>57</v>
      </c>
      <c r="F38" s="200"/>
      <c r="G38" s="199" t="s">
        <v>42</v>
      </c>
      <c r="H38" s="209">
        <v>1000</v>
      </c>
      <c r="I38" s="210">
        <v>200</v>
      </c>
      <c r="J38" s="199" t="s">
        <v>179</v>
      </c>
      <c r="K38" s="199" t="s">
        <v>43</v>
      </c>
      <c r="M38">
        <f t="shared" si="0"/>
        <v>200</v>
      </c>
    </row>
    <row r="39" spans="1:13" x14ac:dyDescent="0.25">
      <c r="A39" s="198">
        <v>7</v>
      </c>
      <c r="B39" s="199" t="s">
        <v>452</v>
      </c>
      <c r="C39" s="199" t="s">
        <v>40</v>
      </c>
      <c r="D39" s="199" t="s">
        <v>453</v>
      </c>
      <c r="E39" s="199" t="s">
        <v>50</v>
      </c>
      <c r="F39" s="200"/>
      <c r="G39" s="199" t="s">
        <v>42</v>
      </c>
      <c r="H39" s="209">
        <v>500</v>
      </c>
      <c r="I39" s="210">
        <v>100</v>
      </c>
      <c r="J39" s="199" t="s">
        <v>179</v>
      </c>
      <c r="K39" s="199" t="s">
        <v>43</v>
      </c>
      <c r="M39">
        <f t="shared" si="0"/>
        <v>100</v>
      </c>
    </row>
    <row r="40" spans="1:13" x14ac:dyDescent="0.25">
      <c r="A40" s="235">
        <v>7</v>
      </c>
      <c r="B40" s="199" t="s">
        <v>454</v>
      </c>
      <c r="C40" s="199" t="s">
        <v>40</v>
      </c>
      <c r="D40" s="199" t="s">
        <v>144</v>
      </c>
      <c r="E40" s="199" t="s">
        <v>77</v>
      </c>
      <c r="F40" s="200" t="s">
        <v>455</v>
      </c>
      <c r="G40" s="199" t="s">
        <v>162</v>
      </c>
      <c r="H40" s="209">
        <v>200</v>
      </c>
      <c r="I40" s="210">
        <v>1000</v>
      </c>
      <c r="J40" s="199" t="s">
        <v>179</v>
      </c>
      <c r="K40" s="199" t="s">
        <v>43</v>
      </c>
      <c r="M40">
        <f t="shared" si="0"/>
        <v>40</v>
      </c>
    </row>
    <row r="41" spans="1:13" x14ac:dyDescent="0.25">
      <c r="A41" s="198">
        <v>8</v>
      </c>
      <c r="B41" s="199" t="s">
        <v>324</v>
      </c>
      <c r="C41" s="199" t="s">
        <v>40</v>
      </c>
      <c r="D41" s="199" t="s">
        <v>145</v>
      </c>
      <c r="E41" s="199" t="s">
        <v>56</v>
      </c>
      <c r="F41" s="200" t="s">
        <v>326</v>
      </c>
      <c r="G41" s="199" t="s">
        <v>42</v>
      </c>
      <c r="H41" s="209">
        <v>10000</v>
      </c>
      <c r="I41" s="210">
        <v>2000</v>
      </c>
      <c r="J41" s="199" t="s">
        <v>179</v>
      </c>
      <c r="K41" s="199" t="s">
        <v>43</v>
      </c>
      <c r="M41">
        <f t="shared" si="0"/>
        <v>2000</v>
      </c>
    </row>
    <row r="42" spans="1:13" x14ac:dyDescent="0.25">
      <c r="A42" s="198">
        <v>8</v>
      </c>
      <c r="B42" s="199" t="s">
        <v>457</v>
      </c>
      <c r="C42" s="199" t="s">
        <v>48</v>
      </c>
      <c r="D42" s="199" t="s">
        <v>144</v>
      </c>
      <c r="E42" s="199" t="s">
        <v>47</v>
      </c>
      <c r="F42" s="200" t="s">
        <v>458</v>
      </c>
      <c r="G42" s="199" t="s">
        <v>42</v>
      </c>
      <c r="H42" s="209">
        <v>2500</v>
      </c>
      <c r="I42" s="210">
        <v>500</v>
      </c>
      <c r="J42" s="199" t="s">
        <v>179</v>
      </c>
      <c r="K42" s="199" t="s">
        <v>43</v>
      </c>
      <c r="M42">
        <f t="shared" si="0"/>
        <v>500</v>
      </c>
    </row>
    <row r="43" spans="1:13" x14ac:dyDescent="0.25">
      <c r="A43" s="198">
        <v>8</v>
      </c>
      <c r="B43" s="199" t="s">
        <v>450</v>
      </c>
      <c r="C43" s="199" t="s">
        <v>40</v>
      </c>
      <c r="D43" s="199" t="s">
        <v>451</v>
      </c>
      <c r="E43" s="199" t="s">
        <v>57</v>
      </c>
      <c r="F43" s="200"/>
      <c r="G43" s="199" t="s">
        <v>42</v>
      </c>
      <c r="H43" s="209">
        <v>1500</v>
      </c>
      <c r="I43" s="210">
        <v>300</v>
      </c>
      <c r="J43" s="199" t="s">
        <v>179</v>
      </c>
      <c r="K43" s="199" t="s">
        <v>43</v>
      </c>
      <c r="M43">
        <f t="shared" si="0"/>
        <v>300</v>
      </c>
    </row>
    <row r="44" spans="1:13" x14ac:dyDescent="0.25">
      <c r="A44" s="198">
        <v>8</v>
      </c>
      <c r="B44" s="199" t="s">
        <v>459</v>
      </c>
      <c r="C44" s="199" t="s">
        <v>48</v>
      </c>
      <c r="D44" s="199" t="s">
        <v>460</v>
      </c>
      <c r="E44" s="199" t="s">
        <v>47</v>
      </c>
      <c r="F44" s="200" t="s">
        <v>461</v>
      </c>
      <c r="G44" s="199" t="s">
        <v>42</v>
      </c>
      <c r="H44" s="209">
        <v>500</v>
      </c>
      <c r="I44" s="210">
        <v>100</v>
      </c>
      <c r="J44" s="199" t="s">
        <v>179</v>
      </c>
      <c r="K44" s="199" t="s">
        <v>43</v>
      </c>
      <c r="M44">
        <f t="shared" si="0"/>
        <v>100</v>
      </c>
    </row>
    <row r="45" spans="1:13" x14ac:dyDescent="0.25">
      <c r="A45" s="198">
        <v>8</v>
      </c>
      <c r="B45" s="199" t="s">
        <v>462</v>
      </c>
      <c r="C45" s="199" t="s">
        <v>48</v>
      </c>
      <c r="D45" s="199"/>
      <c r="E45" s="199" t="s">
        <v>72</v>
      </c>
      <c r="F45" s="200" t="s">
        <v>463</v>
      </c>
      <c r="G45" s="199" t="s">
        <v>162</v>
      </c>
      <c r="H45" s="209">
        <v>100</v>
      </c>
      <c r="I45" s="210">
        <v>500</v>
      </c>
      <c r="J45" s="199" t="s">
        <v>179</v>
      </c>
      <c r="K45" s="199" t="s">
        <v>43</v>
      </c>
      <c r="M45">
        <f t="shared" si="0"/>
        <v>20</v>
      </c>
    </row>
    <row r="46" spans="1:13" x14ac:dyDescent="0.25">
      <c r="A46" s="198">
        <v>8</v>
      </c>
      <c r="B46" s="199" t="s">
        <v>464</v>
      </c>
      <c r="C46" s="199" t="s">
        <v>40</v>
      </c>
      <c r="D46" s="199" t="s">
        <v>465</v>
      </c>
      <c r="E46" s="199" t="s">
        <v>45</v>
      </c>
      <c r="F46" s="200"/>
      <c r="G46" s="199" t="s">
        <v>162</v>
      </c>
      <c r="H46" s="209">
        <v>20</v>
      </c>
      <c r="I46" s="210">
        <v>100</v>
      </c>
      <c r="J46" s="199" t="s">
        <v>179</v>
      </c>
      <c r="K46" s="199" t="s">
        <v>43</v>
      </c>
      <c r="M46">
        <f t="shared" si="0"/>
        <v>4</v>
      </c>
    </row>
    <row r="47" spans="1:13" x14ac:dyDescent="0.25">
      <c r="A47" s="236">
        <v>8</v>
      </c>
      <c r="B47" s="213" t="s">
        <v>466</v>
      </c>
      <c r="C47" s="213" t="s">
        <v>40</v>
      </c>
      <c r="D47" s="213"/>
      <c r="E47" s="213" t="s">
        <v>66</v>
      </c>
      <c r="F47" s="214"/>
      <c r="G47" s="213" t="s">
        <v>42</v>
      </c>
      <c r="H47" s="215">
        <v>500</v>
      </c>
      <c r="I47" s="216" t="s">
        <v>255</v>
      </c>
      <c r="J47" s="199" t="s">
        <v>179</v>
      </c>
      <c r="K47" s="199" t="s">
        <v>43</v>
      </c>
      <c r="M47">
        <f t="shared" si="0"/>
        <v>100</v>
      </c>
    </row>
    <row r="48" spans="1:13" x14ac:dyDescent="0.25">
      <c r="A48" s="203">
        <v>8</v>
      </c>
      <c r="B48" s="205" t="s">
        <v>467</v>
      </c>
      <c r="C48" s="205" t="s">
        <v>40</v>
      </c>
      <c r="D48" s="205" t="s">
        <v>299</v>
      </c>
      <c r="E48" s="205" t="s">
        <v>45</v>
      </c>
      <c r="F48" s="206"/>
      <c r="G48" s="205" t="s">
        <v>42</v>
      </c>
      <c r="H48" s="211">
        <v>1000</v>
      </c>
      <c r="I48" s="210">
        <v>200</v>
      </c>
      <c r="J48" s="199" t="s">
        <v>179</v>
      </c>
      <c r="K48" s="199" t="s">
        <v>43</v>
      </c>
      <c r="M48">
        <f t="shared" si="0"/>
        <v>200</v>
      </c>
    </row>
    <row r="49" spans="1:17" x14ac:dyDescent="0.25">
      <c r="A49" s="203">
        <v>9</v>
      </c>
      <c r="B49" s="205" t="s">
        <v>468</v>
      </c>
      <c r="C49" s="205" t="s">
        <v>40</v>
      </c>
      <c r="D49" s="205" t="s">
        <v>469</v>
      </c>
      <c r="E49" s="205" t="s">
        <v>49</v>
      </c>
      <c r="F49" s="206" t="s">
        <v>261</v>
      </c>
      <c r="G49" s="205" t="s">
        <v>42</v>
      </c>
      <c r="H49" s="211">
        <v>4000</v>
      </c>
      <c r="I49" s="210">
        <v>800</v>
      </c>
      <c r="J49" s="199" t="s">
        <v>179</v>
      </c>
      <c r="K49" s="199" t="s">
        <v>43</v>
      </c>
      <c r="M49">
        <f t="shared" si="0"/>
        <v>800</v>
      </c>
    </row>
    <row r="50" spans="1:17" x14ac:dyDescent="0.25">
      <c r="A50" s="203">
        <v>9</v>
      </c>
      <c r="B50" s="205" t="s">
        <v>470</v>
      </c>
      <c r="C50" s="205" t="s">
        <v>40</v>
      </c>
      <c r="D50" s="205" t="s">
        <v>471</v>
      </c>
      <c r="E50" s="205" t="s">
        <v>47</v>
      </c>
      <c r="F50" s="206" t="s">
        <v>472</v>
      </c>
      <c r="G50" s="205" t="s">
        <v>42</v>
      </c>
      <c r="H50" s="211">
        <v>1000</v>
      </c>
      <c r="I50" s="210">
        <v>200</v>
      </c>
      <c r="J50" s="199" t="s">
        <v>179</v>
      </c>
      <c r="K50" s="199" t="s">
        <v>43</v>
      </c>
      <c r="M50">
        <f t="shared" si="0"/>
        <v>200</v>
      </c>
    </row>
    <row r="51" spans="1:17" x14ac:dyDescent="0.25">
      <c r="A51" s="236">
        <v>9</v>
      </c>
      <c r="B51" s="213" t="s">
        <v>475</v>
      </c>
      <c r="C51" s="213" t="s">
        <v>40</v>
      </c>
      <c r="D51" s="213" t="s">
        <v>63</v>
      </c>
      <c r="E51" s="213" t="s">
        <v>88</v>
      </c>
      <c r="F51" s="214" t="s">
        <v>476</v>
      </c>
      <c r="G51" s="213" t="s">
        <v>163</v>
      </c>
      <c r="H51" s="215">
        <v>100</v>
      </c>
      <c r="I51" s="216" t="s">
        <v>255</v>
      </c>
      <c r="J51" s="199" t="s">
        <v>179</v>
      </c>
      <c r="K51" s="199" t="s">
        <v>43</v>
      </c>
      <c r="M51">
        <f t="shared" si="0"/>
        <v>20</v>
      </c>
    </row>
    <row r="52" spans="1:17" x14ac:dyDescent="0.25">
      <c r="A52" s="203">
        <v>9</v>
      </c>
      <c r="B52" s="205" t="s">
        <v>477</v>
      </c>
      <c r="C52" s="205" t="s">
        <v>40</v>
      </c>
      <c r="D52" s="205" t="s">
        <v>478</v>
      </c>
      <c r="E52" s="205" t="s">
        <v>57</v>
      </c>
      <c r="F52" s="206" t="s">
        <v>479</v>
      </c>
      <c r="G52" s="205" t="s">
        <v>42</v>
      </c>
      <c r="H52" s="211">
        <v>200</v>
      </c>
      <c r="I52" s="210">
        <v>40</v>
      </c>
      <c r="J52" s="199" t="s">
        <v>179</v>
      </c>
      <c r="K52" s="199" t="s">
        <v>43</v>
      </c>
      <c r="M52">
        <f t="shared" si="0"/>
        <v>40</v>
      </c>
    </row>
    <row r="53" spans="1:17" x14ac:dyDescent="0.25">
      <c r="A53" s="203">
        <v>13</v>
      </c>
      <c r="B53" s="205" t="s">
        <v>480</v>
      </c>
      <c r="C53" s="205" t="s">
        <v>40</v>
      </c>
      <c r="D53" s="205" t="s">
        <v>481</v>
      </c>
      <c r="E53" s="205" t="s">
        <v>52</v>
      </c>
      <c r="F53" s="206" t="s">
        <v>482</v>
      </c>
      <c r="G53" s="205" t="s">
        <v>180</v>
      </c>
      <c r="H53" s="211">
        <v>800</v>
      </c>
      <c r="I53" s="210">
        <v>400</v>
      </c>
      <c r="J53" s="199" t="s">
        <v>179</v>
      </c>
      <c r="K53" s="199" t="s">
        <v>43</v>
      </c>
      <c r="M53">
        <f t="shared" si="0"/>
        <v>160</v>
      </c>
    </row>
    <row r="54" spans="1:17" x14ac:dyDescent="0.25">
      <c r="A54" s="203">
        <v>13</v>
      </c>
      <c r="B54" s="205" t="s">
        <v>262</v>
      </c>
      <c r="C54" s="205" t="s">
        <v>40</v>
      </c>
      <c r="D54" s="205"/>
      <c r="E54" s="205" t="s">
        <v>53</v>
      </c>
      <c r="F54" s="206" t="s">
        <v>264</v>
      </c>
      <c r="G54" s="205" t="s">
        <v>42</v>
      </c>
      <c r="H54" s="211">
        <v>3000</v>
      </c>
      <c r="I54" s="210">
        <v>600</v>
      </c>
      <c r="J54" s="199" t="s">
        <v>179</v>
      </c>
      <c r="K54" s="199" t="s">
        <v>43</v>
      </c>
      <c r="M54">
        <f t="shared" si="0"/>
        <v>600</v>
      </c>
    </row>
    <row r="55" spans="1:17" x14ac:dyDescent="0.25">
      <c r="A55" s="203">
        <v>13</v>
      </c>
      <c r="B55" s="205" t="s">
        <v>483</v>
      </c>
      <c r="C55" s="205" t="s">
        <v>40</v>
      </c>
      <c r="D55" s="205"/>
      <c r="E55" s="205" t="s">
        <v>56</v>
      </c>
      <c r="F55" s="206" t="s">
        <v>484</v>
      </c>
      <c r="G55" s="205" t="s">
        <v>42</v>
      </c>
      <c r="H55" s="211">
        <v>4000</v>
      </c>
      <c r="I55" s="210">
        <v>800</v>
      </c>
      <c r="J55" s="199" t="s">
        <v>179</v>
      </c>
      <c r="K55" s="199" t="s">
        <v>43</v>
      </c>
      <c r="M55">
        <f t="shared" si="0"/>
        <v>800</v>
      </c>
    </row>
    <row r="56" spans="1:17" x14ac:dyDescent="0.25">
      <c r="A56" s="203">
        <v>13</v>
      </c>
      <c r="B56" s="205" t="s">
        <v>485</v>
      </c>
      <c r="C56" s="205" t="s">
        <v>40</v>
      </c>
      <c r="D56" s="205"/>
      <c r="E56" s="205" t="s">
        <v>44</v>
      </c>
      <c r="F56" s="206" t="s">
        <v>486</v>
      </c>
      <c r="G56" s="205" t="s">
        <v>42</v>
      </c>
      <c r="H56" s="211">
        <v>3000</v>
      </c>
      <c r="I56" s="210">
        <v>600</v>
      </c>
      <c r="J56" s="199" t="s">
        <v>179</v>
      </c>
      <c r="K56" s="199" t="s">
        <v>43</v>
      </c>
      <c r="M56">
        <f t="shared" si="0"/>
        <v>600</v>
      </c>
    </row>
    <row r="57" spans="1:17" x14ac:dyDescent="0.25">
      <c r="A57" s="203">
        <v>13</v>
      </c>
      <c r="B57" s="205" t="s">
        <v>485</v>
      </c>
      <c r="C57" s="205" t="s">
        <v>40</v>
      </c>
      <c r="D57" s="205"/>
      <c r="E57" s="205" t="s">
        <v>44</v>
      </c>
      <c r="F57" s="206" t="s">
        <v>486</v>
      </c>
      <c r="G57" s="205" t="s">
        <v>180</v>
      </c>
      <c r="H57" s="211">
        <v>300</v>
      </c>
      <c r="I57" s="210">
        <v>150</v>
      </c>
      <c r="J57" s="199" t="s">
        <v>179</v>
      </c>
      <c r="K57" s="199" t="s">
        <v>43</v>
      </c>
      <c r="M57">
        <f t="shared" si="0"/>
        <v>60</v>
      </c>
    </row>
    <row r="58" spans="1:17" x14ac:dyDescent="0.25">
      <c r="A58" s="203">
        <v>13</v>
      </c>
      <c r="B58" s="205" t="s">
        <v>487</v>
      </c>
      <c r="C58" s="205" t="s">
        <v>48</v>
      </c>
      <c r="D58" s="205" t="s">
        <v>488</v>
      </c>
      <c r="E58" s="205" t="s">
        <v>44</v>
      </c>
      <c r="F58" s="206" t="s">
        <v>489</v>
      </c>
      <c r="G58" s="205" t="s">
        <v>162</v>
      </c>
      <c r="H58" s="211">
        <v>100</v>
      </c>
      <c r="I58" s="210">
        <v>500</v>
      </c>
      <c r="J58" s="199" t="s">
        <v>179</v>
      </c>
      <c r="K58" s="199" t="s">
        <v>43</v>
      </c>
      <c r="M58">
        <f t="shared" si="0"/>
        <v>20</v>
      </c>
    </row>
    <row r="59" spans="1:17" x14ac:dyDescent="0.25">
      <c r="A59" s="235">
        <v>13</v>
      </c>
      <c r="B59" s="205" t="s">
        <v>490</v>
      </c>
      <c r="C59" s="205" t="s">
        <v>40</v>
      </c>
      <c r="D59" s="205" t="s">
        <v>491</v>
      </c>
      <c r="E59" s="205" t="s">
        <v>44</v>
      </c>
      <c r="F59" s="206"/>
      <c r="G59" s="205" t="s">
        <v>42</v>
      </c>
      <c r="H59" s="211">
        <v>3000</v>
      </c>
      <c r="I59" s="210">
        <v>600</v>
      </c>
      <c r="J59" s="199" t="s">
        <v>179</v>
      </c>
      <c r="K59" s="199" t="s">
        <v>43</v>
      </c>
      <c r="M59">
        <f t="shared" si="0"/>
        <v>600</v>
      </c>
    </row>
    <row r="60" spans="1:17" x14ac:dyDescent="0.25">
      <c r="A60" s="203">
        <v>14</v>
      </c>
      <c r="B60" s="205" t="s">
        <v>493</v>
      </c>
      <c r="C60" s="205" t="s">
        <v>40</v>
      </c>
      <c r="D60" s="205" t="s">
        <v>494</v>
      </c>
      <c r="E60" s="205" t="s">
        <v>58</v>
      </c>
      <c r="F60" s="206" t="s">
        <v>334</v>
      </c>
      <c r="G60" s="205" t="s">
        <v>180</v>
      </c>
      <c r="H60" s="211">
        <v>1500</v>
      </c>
      <c r="I60" s="210">
        <v>750</v>
      </c>
      <c r="J60" s="199" t="s">
        <v>179</v>
      </c>
      <c r="K60" s="199" t="s">
        <v>43</v>
      </c>
      <c r="M60">
        <f t="shared" si="0"/>
        <v>300</v>
      </c>
    </row>
    <row r="61" spans="1:17" x14ac:dyDescent="0.25">
      <c r="A61" s="203">
        <v>14</v>
      </c>
      <c r="B61" s="205" t="s">
        <v>495</v>
      </c>
      <c r="C61" s="205" t="s">
        <v>40</v>
      </c>
      <c r="D61" s="205" t="s">
        <v>76</v>
      </c>
      <c r="E61" s="205" t="s">
        <v>44</v>
      </c>
      <c r="F61" s="206" t="s">
        <v>496</v>
      </c>
      <c r="G61" s="205" t="s">
        <v>42</v>
      </c>
      <c r="H61" s="211">
        <v>4000</v>
      </c>
      <c r="I61" s="210">
        <v>800</v>
      </c>
      <c r="J61" s="199" t="s">
        <v>179</v>
      </c>
      <c r="K61" s="199" t="s">
        <v>43</v>
      </c>
      <c r="M61">
        <f t="shared" si="0"/>
        <v>800</v>
      </c>
    </row>
    <row r="62" spans="1:17" x14ac:dyDescent="0.25">
      <c r="A62" s="198">
        <v>14</v>
      </c>
      <c r="B62" s="199" t="s">
        <v>497</v>
      </c>
      <c r="C62" s="199" t="s">
        <v>40</v>
      </c>
      <c r="D62" s="199" t="s">
        <v>498</v>
      </c>
      <c r="E62" s="199" t="s">
        <v>59</v>
      </c>
      <c r="F62" s="200" t="s">
        <v>499</v>
      </c>
      <c r="G62" s="199" t="s">
        <v>42</v>
      </c>
      <c r="H62" s="209">
        <v>500</v>
      </c>
      <c r="I62" s="210">
        <v>100</v>
      </c>
      <c r="J62" s="199" t="s">
        <v>179</v>
      </c>
      <c r="K62" s="199" t="s">
        <v>43</v>
      </c>
      <c r="M62">
        <f t="shared" si="0"/>
        <v>100</v>
      </c>
      <c r="Q62">
        <v>100</v>
      </c>
    </row>
    <row r="63" spans="1:17" x14ac:dyDescent="0.25">
      <c r="A63" s="198">
        <v>15</v>
      </c>
      <c r="B63" s="199" t="s">
        <v>500</v>
      </c>
      <c r="C63" s="199" t="s">
        <v>40</v>
      </c>
      <c r="D63" s="199" t="s">
        <v>501</v>
      </c>
      <c r="E63" s="199" t="s">
        <v>44</v>
      </c>
      <c r="F63" s="200" t="s">
        <v>502</v>
      </c>
      <c r="G63" s="199" t="s">
        <v>180</v>
      </c>
      <c r="H63" s="209">
        <v>600</v>
      </c>
      <c r="I63" s="210">
        <v>300</v>
      </c>
      <c r="J63" s="199" t="s">
        <v>179</v>
      </c>
      <c r="K63" s="199" t="s">
        <v>43</v>
      </c>
      <c r="M63">
        <f t="shared" si="0"/>
        <v>120</v>
      </c>
    </row>
    <row r="64" spans="1:17" x14ac:dyDescent="0.25">
      <c r="A64" s="198">
        <v>15</v>
      </c>
      <c r="B64" s="79" t="s">
        <v>503</v>
      </c>
      <c r="C64" s="199" t="s">
        <v>40</v>
      </c>
      <c r="D64" s="199" t="s">
        <v>67</v>
      </c>
      <c r="E64" s="199" t="s">
        <v>47</v>
      </c>
      <c r="F64" s="200" t="s">
        <v>504</v>
      </c>
      <c r="G64" s="199" t="s">
        <v>180</v>
      </c>
      <c r="H64" s="209">
        <v>100</v>
      </c>
      <c r="I64" s="210">
        <v>50</v>
      </c>
      <c r="J64" s="199" t="s">
        <v>179</v>
      </c>
      <c r="K64" s="199" t="s">
        <v>43</v>
      </c>
      <c r="M64">
        <f t="shared" si="0"/>
        <v>20</v>
      </c>
    </row>
    <row r="65" spans="1:13" x14ac:dyDescent="0.25">
      <c r="A65" s="198">
        <v>15</v>
      </c>
      <c r="B65" s="79" t="s">
        <v>505</v>
      </c>
      <c r="C65" s="199" t="s">
        <v>40</v>
      </c>
      <c r="D65" s="199" t="s">
        <v>506</v>
      </c>
      <c r="E65" s="199" t="s">
        <v>61</v>
      </c>
      <c r="F65" s="200" t="s">
        <v>507</v>
      </c>
      <c r="G65" s="199" t="s">
        <v>180</v>
      </c>
      <c r="H65" s="209">
        <v>100</v>
      </c>
      <c r="I65" s="210">
        <v>50</v>
      </c>
      <c r="J65" s="199" t="s">
        <v>179</v>
      </c>
      <c r="K65" s="199" t="s">
        <v>43</v>
      </c>
      <c r="M65">
        <f t="shared" si="0"/>
        <v>20</v>
      </c>
    </row>
    <row r="66" spans="1:13" x14ac:dyDescent="0.25">
      <c r="A66" s="236">
        <v>15</v>
      </c>
      <c r="B66" s="212" t="s">
        <v>505</v>
      </c>
      <c r="C66" s="213" t="s">
        <v>40</v>
      </c>
      <c r="D66" s="213" t="s">
        <v>506</v>
      </c>
      <c r="E66" s="213" t="s">
        <v>61</v>
      </c>
      <c r="F66" s="214" t="s">
        <v>507</v>
      </c>
      <c r="G66" s="213" t="s">
        <v>180</v>
      </c>
      <c r="H66" s="215">
        <v>100</v>
      </c>
      <c r="I66" s="216" t="s">
        <v>255</v>
      </c>
      <c r="J66" s="199" t="s">
        <v>179</v>
      </c>
      <c r="K66" s="199" t="s">
        <v>43</v>
      </c>
      <c r="M66">
        <f t="shared" si="0"/>
        <v>20</v>
      </c>
    </row>
    <row r="67" spans="1:13" x14ac:dyDescent="0.25">
      <c r="A67" s="230">
        <v>16</v>
      </c>
      <c r="B67" s="208" t="s">
        <v>371</v>
      </c>
      <c r="C67" s="205" t="s">
        <v>40</v>
      </c>
      <c r="D67" s="205" t="s">
        <v>508</v>
      </c>
      <c r="E67" s="205" t="s">
        <v>45</v>
      </c>
      <c r="F67" s="206" t="s">
        <v>373</v>
      </c>
      <c r="G67" s="205" t="s">
        <v>42</v>
      </c>
      <c r="H67" s="211">
        <v>5000</v>
      </c>
      <c r="I67" s="234">
        <v>1000</v>
      </c>
      <c r="J67" s="205" t="s">
        <v>179</v>
      </c>
      <c r="K67" s="205" t="s">
        <v>43</v>
      </c>
      <c r="M67">
        <f t="shared" si="0"/>
        <v>1000</v>
      </c>
    </row>
    <row r="68" spans="1:13" x14ac:dyDescent="0.25">
      <c r="A68" s="197">
        <v>16</v>
      </c>
      <c r="B68" s="79" t="s">
        <v>509</v>
      </c>
      <c r="C68" s="199" t="s">
        <v>40</v>
      </c>
      <c r="D68" s="199" t="s">
        <v>460</v>
      </c>
      <c r="E68" s="199" t="s">
        <v>47</v>
      </c>
      <c r="F68" s="200" t="s">
        <v>510</v>
      </c>
      <c r="G68" s="199" t="s">
        <v>180</v>
      </c>
      <c r="H68" s="209">
        <v>200</v>
      </c>
      <c r="I68" s="210">
        <v>100</v>
      </c>
      <c r="J68" s="199" t="s">
        <v>179</v>
      </c>
      <c r="K68" s="199" t="s">
        <v>43</v>
      </c>
      <c r="M68">
        <f t="shared" si="0"/>
        <v>40</v>
      </c>
    </row>
    <row r="69" spans="1:13" x14ac:dyDescent="0.25">
      <c r="A69" s="197">
        <v>16</v>
      </c>
      <c r="B69" s="79" t="s">
        <v>505</v>
      </c>
      <c r="C69" s="199" t="s">
        <v>40</v>
      </c>
      <c r="D69" s="199" t="s">
        <v>506</v>
      </c>
      <c r="E69" s="199" t="s">
        <v>61</v>
      </c>
      <c r="F69" s="200" t="s">
        <v>507</v>
      </c>
      <c r="G69" s="199" t="s">
        <v>180</v>
      </c>
      <c r="H69" s="209">
        <v>1000</v>
      </c>
      <c r="I69" s="210">
        <v>500</v>
      </c>
      <c r="J69" s="199" t="s">
        <v>179</v>
      </c>
      <c r="K69" s="199" t="s">
        <v>43</v>
      </c>
      <c r="M69">
        <f t="shared" si="0"/>
        <v>200</v>
      </c>
    </row>
    <row r="70" spans="1:13" x14ac:dyDescent="0.25">
      <c r="A70" s="197">
        <v>16</v>
      </c>
      <c r="B70" s="79" t="s">
        <v>511</v>
      </c>
      <c r="C70" s="199" t="s">
        <v>40</v>
      </c>
      <c r="D70" s="199" t="s">
        <v>512</v>
      </c>
      <c r="E70" s="199" t="s">
        <v>49</v>
      </c>
      <c r="F70" s="200" t="s">
        <v>513</v>
      </c>
      <c r="G70" s="199" t="s">
        <v>180</v>
      </c>
      <c r="H70" s="209">
        <v>100</v>
      </c>
      <c r="I70" s="210">
        <v>50</v>
      </c>
      <c r="J70" s="199" t="s">
        <v>179</v>
      </c>
      <c r="K70" s="199" t="s">
        <v>43</v>
      </c>
      <c r="M70">
        <f t="shared" si="0"/>
        <v>20</v>
      </c>
    </row>
    <row r="71" spans="1:13" x14ac:dyDescent="0.25">
      <c r="A71" s="197">
        <v>16</v>
      </c>
      <c r="B71" s="79" t="s">
        <v>511</v>
      </c>
      <c r="C71" s="199" t="s">
        <v>40</v>
      </c>
      <c r="D71" s="199" t="s">
        <v>512</v>
      </c>
      <c r="E71" s="199" t="s">
        <v>49</v>
      </c>
      <c r="F71" s="200" t="s">
        <v>513</v>
      </c>
      <c r="G71" s="199" t="s">
        <v>162</v>
      </c>
      <c r="H71" s="209">
        <v>40</v>
      </c>
      <c r="I71" s="210">
        <v>200</v>
      </c>
      <c r="J71" s="199" t="s">
        <v>179</v>
      </c>
      <c r="K71" s="199" t="s">
        <v>43</v>
      </c>
      <c r="M71">
        <f t="shared" si="0"/>
        <v>8</v>
      </c>
    </row>
    <row r="72" spans="1:13" x14ac:dyDescent="0.25">
      <c r="A72" s="197">
        <v>16</v>
      </c>
      <c r="B72" s="79" t="s">
        <v>514</v>
      </c>
      <c r="C72" s="199" t="s">
        <v>40</v>
      </c>
      <c r="D72" s="199" t="s">
        <v>512</v>
      </c>
      <c r="E72" s="199" t="s">
        <v>49</v>
      </c>
      <c r="F72" s="200" t="s">
        <v>515</v>
      </c>
      <c r="G72" s="199" t="s">
        <v>42</v>
      </c>
      <c r="H72" s="209">
        <v>300</v>
      </c>
      <c r="I72" s="210">
        <v>60</v>
      </c>
      <c r="J72" s="199" t="s">
        <v>179</v>
      </c>
      <c r="K72" s="199" t="s">
        <v>43</v>
      </c>
      <c r="M72">
        <f t="shared" si="0"/>
        <v>60</v>
      </c>
    </row>
    <row r="73" spans="1:13" x14ac:dyDescent="0.25">
      <c r="A73" s="197">
        <v>16</v>
      </c>
      <c r="B73" s="79" t="s">
        <v>514</v>
      </c>
      <c r="C73" s="199" t="s">
        <v>40</v>
      </c>
      <c r="D73" s="199" t="s">
        <v>512</v>
      </c>
      <c r="E73" s="199" t="s">
        <v>49</v>
      </c>
      <c r="F73" s="200" t="s">
        <v>515</v>
      </c>
      <c r="G73" s="199" t="s">
        <v>180</v>
      </c>
      <c r="H73" s="209">
        <v>300</v>
      </c>
      <c r="I73" s="210">
        <v>150</v>
      </c>
      <c r="J73" s="199" t="s">
        <v>179</v>
      </c>
      <c r="K73" s="199" t="s">
        <v>43</v>
      </c>
      <c r="M73">
        <f t="shared" si="0"/>
        <v>60</v>
      </c>
    </row>
    <row r="74" spans="1:13" x14ac:dyDescent="0.25">
      <c r="A74" s="196">
        <v>16</v>
      </c>
      <c r="B74" s="212" t="s">
        <v>516</v>
      </c>
      <c r="C74" s="213" t="s">
        <v>40</v>
      </c>
      <c r="D74" s="213" t="s">
        <v>517</v>
      </c>
      <c r="E74" s="213" t="s">
        <v>51</v>
      </c>
      <c r="F74" s="214" t="s">
        <v>518</v>
      </c>
      <c r="G74" s="213" t="s">
        <v>42</v>
      </c>
      <c r="H74" s="215">
        <v>500</v>
      </c>
      <c r="I74" s="216" t="s">
        <v>255</v>
      </c>
      <c r="J74" s="199" t="s">
        <v>179</v>
      </c>
      <c r="K74" s="199" t="s">
        <v>43</v>
      </c>
      <c r="M74">
        <f t="shared" si="0"/>
        <v>100</v>
      </c>
    </row>
    <row r="75" spans="1:13" x14ac:dyDescent="0.25">
      <c r="A75" s="197">
        <v>16</v>
      </c>
      <c r="B75" s="79" t="s">
        <v>519</v>
      </c>
      <c r="C75" s="199" t="s">
        <v>40</v>
      </c>
      <c r="D75" s="199" t="s">
        <v>366</v>
      </c>
      <c r="E75" s="199" t="s">
        <v>57</v>
      </c>
      <c r="F75" s="200" t="s">
        <v>367</v>
      </c>
      <c r="G75" s="199" t="s">
        <v>42</v>
      </c>
      <c r="H75" s="209">
        <v>2500</v>
      </c>
      <c r="I75" s="210">
        <v>500</v>
      </c>
      <c r="J75" s="199" t="s">
        <v>179</v>
      </c>
      <c r="K75" s="199" t="s">
        <v>43</v>
      </c>
      <c r="M75">
        <f t="shared" si="0"/>
        <v>500</v>
      </c>
    </row>
    <row r="76" spans="1:13" x14ac:dyDescent="0.25">
      <c r="A76" s="197">
        <v>16</v>
      </c>
      <c r="B76" s="79" t="s">
        <v>520</v>
      </c>
      <c r="C76" s="199" t="s">
        <v>40</v>
      </c>
      <c r="D76" s="199" t="s">
        <v>521</v>
      </c>
      <c r="E76" s="199" t="s">
        <v>60</v>
      </c>
      <c r="F76" s="200" t="s">
        <v>522</v>
      </c>
      <c r="G76" s="199" t="s">
        <v>180</v>
      </c>
      <c r="H76" s="209">
        <v>3000</v>
      </c>
      <c r="I76" s="210">
        <v>1500</v>
      </c>
      <c r="J76" s="199" t="s">
        <v>179</v>
      </c>
      <c r="K76" s="199" t="s">
        <v>43</v>
      </c>
      <c r="M76">
        <f t="shared" si="0"/>
        <v>600</v>
      </c>
    </row>
    <row r="77" spans="1:13" x14ac:dyDescent="0.25">
      <c r="A77" s="197">
        <v>17</v>
      </c>
      <c r="B77" s="79" t="s">
        <v>523</v>
      </c>
      <c r="C77" s="199" t="s">
        <v>40</v>
      </c>
      <c r="D77" s="199" t="s">
        <v>524</v>
      </c>
      <c r="E77" s="199" t="s">
        <v>50</v>
      </c>
      <c r="F77" s="200" t="s">
        <v>525</v>
      </c>
      <c r="G77" s="199" t="s">
        <v>42</v>
      </c>
      <c r="H77" s="209">
        <v>500</v>
      </c>
      <c r="I77" s="210">
        <v>100</v>
      </c>
      <c r="J77" s="199" t="s">
        <v>179</v>
      </c>
      <c r="K77" s="199" t="s">
        <v>43</v>
      </c>
      <c r="M77">
        <f t="shared" si="0"/>
        <v>100</v>
      </c>
    </row>
    <row r="78" spans="1:13" x14ac:dyDescent="0.25">
      <c r="A78" s="197">
        <v>17</v>
      </c>
      <c r="B78" s="79" t="s">
        <v>523</v>
      </c>
      <c r="C78" s="199" t="s">
        <v>40</v>
      </c>
      <c r="D78" s="199" t="s">
        <v>524</v>
      </c>
      <c r="E78" s="199" t="s">
        <v>50</v>
      </c>
      <c r="F78" s="200" t="s">
        <v>525</v>
      </c>
      <c r="G78" s="199" t="s">
        <v>162</v>
      </c>
      <c r="H78" s="209">
        <v>40</v>
      </c>
      <c r="I78" s="210">
        <v>200</v>
      </c>
      <c r="J78" s="199" t="s">
        <v>179</v>
      </c>
      <c r="K78" s="199" t="s">
        <v>43</v>
      </c>
      <c r="M78">
        <f t="shared" si="0"/>
        <v>8</v>
      </c>
    </row>
    <row r="79" spans="1:13" x14ac:dyDescent="0.25">
      <c r="A79" s="197">
        <v>17</v>
      </c>
      <c r="B79" s="79" t="s">
        <v>526</v>
      </c>
      <c r="C79" s="199" t="s">
        <v>40</v>
      </c>
      <c r="D79" s="199" t="s">
        <v>144</v>
      </c>
      <c r="E79" s="199" t="s">
        <v>50</v>
      </c>
      <c r="F79" s="200"/>
      <c r="G79" s="199" t="s">
        <v>187</v>
      </c>
      <c r="H79" s="209">
        <v>1500</v>
      </c>
      <c r="I79" s="210">
        <v>300</v>
      </c>
      <c r="J79" s="199" t="s">
        <v>179</v>
      </c>
      <c r="K79" s="199" t="s">
        <v>43</v>
      </c>
      <c r="M79">
        <f t="shared" si="0"/>
        <v>300</v>
      </c>
    </row>
    <row r="80" spans="1:13" x14ac:dyDescent="0.25">
      <c r="A80" s="197">
        <v>17</v>
      </c>
      <c r="B80" s="79" t="s">
        <v>527</v>
      </c>
      <c r="C80" s="199" t="s">
        <v>40</v>
      </c>
      <c r="D80" s="199" t="s">
        <v>142</v>
      </c>
      <c r="E80" s="199" t="s">
        <v>57</v>
      </c>
      <c r="F80" s="200"/>
      <c r="G80" s="199" t="s">
        <v>180</v>
      </c>
      <c r="H80" s="209">
        <v>300</v>
      </c>
      <c r="I80" s="210">
        <v>150</v>
      </c>
      <c r="J80" s="199" t="s">
        <v>179</v>
      </c>
      <c r="K80" s="199" t="s">
        <v>43</v>
      </c>
      <c r="M80">
        <f t="shared" si="0"/>
        <v>60</v>
      </c>
    </row>
    <row r="81" spans="1:13" x14ac:dyDescent="0.25">
      <c r="A81" s="197">
        <v>17</v>
      </c>
      <c r="B81" s="79" t="s">
        <v>394</v>
      </c>
      <c r="C81" s="199" t="s">
        <v>40</v>
      </c>
      <c r="D81" s="199" t="s">
        <v>494</v>
      </c>
      <c r="E81" s="199" t="s">
        <v>58</v>
      </c>
      <c r="F81" s="200"/>
      <c r="G81" s="199" t="s">
        <v>180</v>
      </c>
      <c r="H81" s="209">
        <v>300</v>
      </c>
      <c r="I81" s="210">
        <v>150</v>
      </c>
      <c r="J81" s="199" t="s">
        <v>179</v>
      </c>
      <c r="K81" s="199" t="s">
        <v>43</v>
      </c>
      <c r="M81">
        <f t="shared" si="0"/>
        <v>60</v>
      </c>
    </row>
    <row r="82" spans="1:13" x14ac:dyDescent="0.25">
      <c r="A82" s="197">
        <v>20</v>
      </c>
      <c r="B82" s="79" t="s">
        <v>528</v>
      </c>
      <c r="C82" s="199" t="s">
        <v>40</v>
      </c>
      <c r="D82" s="199" t="s">
        <v>529</v>
      </c>
      <c r="E82" s="199" t="s">
        <v>59</v>
      </c>
      <c r="F82" s="200" t="s">
        <v>530</v>
      </c>
      <c r="G82" s="199" t="s">
        <v>42</v>
      </c>
      <c r="H82" s="209">
        <v>3000</v>
      </c>
      <c r="I82" s="210">
        <v>600</v>
      </c>
      <c r="J82" s="199" t="s">
        <v>179</v>
      </c>
      <c r="K82" s="199" t="s">
        <v>43</v>
      </c>
      <c r="M82">
        <f t="shared" si="0"/>
        <v>600</v>
      </c>
    </row>
    <row r="83" spans="1:13" x14ac:dyDescent="0.25">
      <c r="A83" s="197">
        <v>20</v>
      </c>
      <c r="B83" s="79" t="s">
        <v>528</v>
      </c>
      <c r="C83" s="199" t="s">
        <v>40</v>
      </c>
      <c r="D83" s="199" t="s">
        <v>529</v>
      </c>
      <c r="E83" s="199" t="s">
        <v>59</v>
      </c>
      <c r="F83" s="200" t="s">
        <v>530</v>
      </c>
      <c r="G83" s="199" t="s">
        <v>187</v>
      </c>
      <c r="H83" s="209">
        <v>2000</v>
      </c>
      <c r="I83" s="210">
        <v>400</v>
      </c>
      <c r="J83" s="199" t="s">
        <v>179</v>
      </c>
      <c r="K83" s="199" t="s">
        <v>43</v>
      </c>
      <c r="M83">
        <f t="shared" si="0"/>
        <v>400</v>
      </c>
    </row>
    <row r="84" spans="1:13" x14ac:dyDescent="0.25">
      <c r="A84" s="197">
        <v>20</v>
      </c>
      <c r="B84" s="79" t="s">
        <v>531</v>
      </c>
      <c r="C84" s="199" t="s">
        <v>40</v>
      </c>
      <c r="D84" s="199" t="s">
        <v>288</v>
      </c>
      <c r="E84" s="199" t="s">
        <v>57</v>
      </c>
      <c r="F84" s="200"/>
      <c r="G84" s="199" t="s">
        <v>187</v>
      </c>
      <c r="H84" s="209">
        <v>1100</v>
      </c>
      <c r="I84" s="210">
        <v>220</v>
      </c>
      <c r="J84" s="199" t="s">
        <v>179</v>
      </c>
      <c r="K84" s="199" t="s">
        <v>43</v>
      </c>
      <c r="M84">
        <f t="shared" si="0"/>
        <v>220</v>
      </c>
    </row>
    <row r="85" spans="1:13" x14ac:dyDescent="0.25">
      <c r="A85" s="197">
        <v>20</v>
      </c>
      <c r="B85" s="79" t="s">
        <v>531</v>
      </c>
      <c r="C85" s="199" t="s">
        <v>40</v>
      </c>
      <c r="D85" s="199" t="s">
        <v>288</v>
      </c>
      <c r="E85" s="199" t="s">
        <v>57</v>
      </c>
      <c r="F85" s="200"/>
      <c r="G85" s="199" t="s">
        <v>180</v>
      </c>
      <c r="H85" s="209">
        <v>400</v>
      </c>
      <c r="I85" s="210">
        <v>200</v>
      </c>
      <c r="J85" s="199" t="s">
        <v>179</v>
      </c>
      <c r="K85" s="199" t="s">
        <v>43</v>
      </c>
      <c r="M85">
        <f t="shared" si="0"/>
        <v>80</v>
      </c>
    </row>
    <row r="86" spans="1:13" x14ac:dyDescent="0.25">
      <c r="A86" s="197">
        <v>20</v>
      </c>
      <c r="B86" s="79" t="s">
        <v>532</v>
      </c>
      <c r="C86" s="199" t="s">
        <v>40</v>
      </c>
      <c r="D86" s="199" t="s">
        <v>288</v>
      </c>
      <c r="E86" s="199" t="s">
        <v>86</v>
      </c>
      <c r="F86" s="200" t="s">
        <v>533</v>
      </c>
      <c r="G86" s="199" t="s">
        <v>180</v>
      </c>
      <c r="H86" s="209">
        <v>200</v>
      </c>
      <c r="I86" s="210">
        <v>100</v>
      </c>
      <c r="J86" s="199" t="s">
        <v>179</v>
      </c>
      <c r="K86" s="199" t="s">
        <v>43</v>
      </c>
      <c r="M86">
        <f t="shared" si="0"/>
        <v>40</v>
      </c>
    </row>
    <row r="87" spans="1:13" x14ac:dyDescent="0.25">
      <c r="A87" s="197">
        <v>20</v>
      </c>
      <c r="B87" s="79" t="s">
        <v>532</v>
      </c>
      <c r="C87" s="199" t="s">
        <v>40</v>
      </c>
      <c r="D87" s="199" t="s">
        <v>288</v>
      </c>
      <c r="E87" s="199" t="s">
        <v>86</v>
      </c>
      <c r="F87" s="200" t="s">
        <v>533</v>
      </c>
      <c r="G87" s="199" t="s">
        <v>162</v>
      </c>
      <c r="H87" s="209">
        <v>20</v>
      </c>
      <c r="I87" s="210">
        <v>100</v>
      </c>
      <c r="J87" s="199" t="s">
        <v>179</v>
      </c>
      <c r="K87" s="199" t="s">
        <v>43</v>
      </c>
      <c r="M87">
        <f t="shared" si="0"/>
        <v>4</v>
      </c>
    </row>
    <row r="88" spans="1:13" x14ac:dyDescent="0.25">
      <c r="A88" s="197">
        <v>20</v>
      </c>
      <c r="B88" s="79" t="s">
        <v>534</v>
      </c>
      <c r="C88" s="199" t="s">
        <v>48</v>
      </c>
      <c r="D88" s="199" t="s">
        <v>380</v>
      </c>
      <c r="E88" s="199" t="s">
        <v>45</v>
      </c>
      <c r="F88" s="200" t="s">
        <v>535</v>
      </c>
      <c r="G88" s="199" t="s">
        <v>42</v>
      </c>
      <c r="H88" s="209">
        <v>6000</v>
      </c>
      <c r="I88" s="210">
        <v>1200</v>
      </c>
      <c r="J88" s="199" t="s">
        <v>179</v>
      </c>
      <c r="K88" s="199" t="s">
        <v>43</v>
      </c>
      <c r="M88">
        <f t="shared" si="0"/>
        <v>1200</v>
      </c>
    </row>
    <row r="89" spans="1:13" x14ac:dyDescent="0.25">
      <c r="A89" s="237">
        <v>20</v>
      </c>
      <c r="B89" s="79" t="s">
        <v>536</v>
      </c>
      <c r="C89" s="199" t="s">
        <v>40</v>
      </c>
      <c r="D89" s="199" t="s">
        <v>144</v>
      </c>
      <c r="E89" s="199" t="s">
        <v>57</v>
      </c>
      <c r="F89" s="200"/>
      <c r="G89" s="199" t="s">
        <v>42</v>
      </c>
      <c r="H89" s="209">
        <v>3000</v>
      </c>
      <c r="I89" s="210">
        <v>600</v>
      </c>
      <c r="J89" s="199" t="s">
        <v>179</v>
      </c>
      <c r="K89" s="199" t="s">
        <v>43</v>
      </c>
      <c r="M89">
        <f t="shared" si="0"/>
        <v>600</v>
      </c>
    </row>
    <row r="90" spans="1:13" x14ac:dyDescent="0.25">
      <c r="A90" s="197">
        <v>21</v>
      </c>
      <c r="B90" s="79" t="s">
        <v>539</v>
      </c>
      <c r="C90" s="199" t="s">
        <v>48</v>
      </c>
      <c r="D90" s="199" t="s">
        <v>144</v>
      </c>
      <c r="E90" s="199" t="s">
        <v>540</v>
      </c>
      <c r="F90" s="200" t="s">
        <v>541</v>
      </c>
      <c r="G90" s="199" t="s">
        <v>187</v>
      </c>
      <c r="H90" s="209">
        <v>1500</v>
      </c>
      <c r="I90" s="210">
        <v>300</v>
      </c>
      <c r="J90" s="199" t="s">
        <v>179</v>
      </c>
      <c r="K90" s="199" t="s">
        <v>43</v>
      </c>
      <c r="M90">
        <f t="shared" si="0"/>
        <v>300</v>
      </c>
    </row>
    <row r="91" spans="1:13" x14ac:dyDescent="0.25">
      <c r="A91" s="197">
        <v>21</v>
      </c>
      <c r="B91" s="79" t="s">
        <v>542</v>
      </c>
      <c r="C91" s="199" t="s">
        <v>48</v>
      </c>
      <c r="D91" s="199" t="s">
        <v>543</v>
      </c>
      <c r="E91" s="199" t="s">
        <v>74</v>
      </c>
      <c r="F91" s="200" t="s">
        <v>544</v>
      </c>
      <c r="G91" s="199" t="s">
        <v>162</v>
      </c>
      <c r="H91" s="209">
        <v>20</v>
      </c>
      <c r="I91" s="210">
        <v>100</v>
      </c>
      <c r="J91" s="199" t="s">
        <v>179</v>
      </c>
      <c r="K91" s="199" t="s">
        <v>43</v>
      </c>
      <c r="M91">
        <f t="shared" si="0"/>
        <v>4</v>
      </c>
    </row>
    <row r="92" spans="1:13" x14ac:dyDescent="0.25">
      <c r="A92" s="197">
        <v>21</v>
      </c>
      <c r="B92" s="79" t="s">
        <v>545</v>
      </c>
      <c r="C92" s="199" t="s">
        <v>40</v>
      </c>
      <c r="D92" s="199" t="s">
        <v>266</v>
      </c>
      <c r="E92" s="199" t="s">
        <v>540</v>
      </c>
      <c r="F92" s="200" t="s">
        <v>267</v>
      </c>
      <c r="G92" s="199" t="s">
        <v>42</v>
      </c>
      <c r="H92" s="209">
        <v>2000</v>
      </c>
      <c r="I92" s="210">
        <v>400</v>
      </c>
      <c r="J92" s="199" t="s">
        <v>179</v>
      </c>
      <c r="K92" s="199" t="s">
        <v>43</v>
      </c>
      <c r="M92">
        <f t="shared" si="0"/>
        <v>400</v>
      </c>
    </row>
    <row r="93" spans="1:13" x14ac:dyDescent="0.25">
      <c r="A93" s="197">
        <v>22</v>
      </c>
      <c r="B93" s="79" t="s">
        <v>413</v>
      </c>
      <c r="C93" s="199" t="s">
        <v>40</v>
      </c>
      <c r="D93" s="199" t="s">
        <v>414</v>
      </c>
      <c r="E93" s="199" t="s">
        <v>47</v>
      </c>
      <c r="F93" s="200" t="s">
        <v>546</v>
      </c>
      <c r="G93" s="199" t="s">
        <v>180</v>
      </c>
      <c r="H93" s="209">
        <v>500</v>
      </c>
      <c r="I93" s="210">
        <v>250</v>
      </c>
      <c r="J93" s="199" t="s">
        <v>179</v>
      </c>
      <c r="K93" s="199" t="s">
        <v>43</v>
      </c>
      <c r="M93">
        <f t="shared" si="0"/>
        <v>100</v>
      </c>
    </row>
    <row r="94" spans="1:13" x14ac:dyDescent="0.25">
      <c r="A94" s="197">
        <v>22</v>
      </c>
      <c r="B94" s="79" t="s">
        <v>547</v>
      </c>
      <c r="C94" s="199" t="s">
        <v>40</v>
      </c>
      <c r="D94" s="199" t="s">
        <v>313</v>
      </c>
      <c r="E94" s="199" t="s">
        <v>50</v>
      </c>
      <c r="F94" s="200" t="s">
        <v>548</v>
      </c>
      <c r="G94" s="199" t="s">
        <v>42</v>
      </c>
      <c r="H94" s="209">
        <v>100</v>
      </c>
      <c r="I94" s="210">
        <v>20</v>
      </c>
      <c r="J94" s="199" t="s">
        <v>179</v>
      </c>
      <c r="K94" s="199" t="s">
        <v>43</v>
      </c>
      <c r="M94">
        <f t="shared" si="0"/>
        <v>20</v>
      </c>
    </row>
    <row r="95" spans="1:13" x14ac:dyDescent="0.25">
      <c r="A95" s="197">
        <v>22</v>
      </c>
      <c r="B95" s="79" t="s">
        <v>547</v>
      </c>
      <c r="C95" s="199" t="s">
        <v>40</v>
      </c>
      <c r="D95" s="199" t="s">
        <v>313</v>
      </c>
      <c r="E95" s="199" t="s">
        <v>50</v>
      </c>
      <c r="F95" s="200" t="s">
        <v>548</v>
      </c>
      <c r="G95" s="199" t="s">
        <v>162</v>
      </c>
      <c r="H95" s="209">
        <v>20</v>
      </c>
      <c r="I95" s="210">
        <v>100</v>
      </c>
      <c r="J95" s="199" t="s">
        <v>179</v>
      </c>
      <c r="K95" s="199" t="s">
        <v>43</v>
      </c>
      <c r="M95">
        <f t="shared" si="0"/>
        <v>4</v>
      </c>
    </row>
    <row r="96" spans="1:13" x14ac:dyDescent="0.25">
      <c r="A96" s="197">
        <v>23</v>
      </c>
      <c r="B96" s="79" t="s">
        <v>549</v>
      </c>
      <c r="C96" s="199" t="s">
        <v>40</v>
      </c>
      <c r="D96" s="199" t="s">
        <v>550</v>
      </c>
      <c r="E96" s="199" t="s">
        <v>540</v>
      </c>
      <c r="F96" s="200"/>
      <c r="G96" s="199" t="s">
        <v>42</v>
      </c>
      <c r="H96" s="209">
        <v>1000</v>
      </c>
      <c r="I96" s="210">
        <v>200</v>
      </c>
      <c r="J96" s="199" t="s">
        <v>179</v>
      </c>
      <c r="K96" s="199" t="s">
        <v>43</v>
      </c>
      <c r="M96">
        <f t="shared" si="0"/>
        <v>200</v>
      </c>
    </row>
    <row r="97" spans="1:13" x14ac:dyDescent="0.25">
      <c r="A97" s="197">
        <v>23</v>
      </c>
      <c r="B97" s="79" t="s">
        <v>549</v>
      </c>
      <c r="C97" s="199" t="s">
        <v>40</v>
      </c>
      <c r="D97" s="199" t="s">
        <v>550</v>
      </c>
      <c r="E97" s="199" t="s">
        <v>540</v>
      </c>
      <c r="F97" s="200"/>
      <c r="G97" s="199" t="s">
        <v>180</v>
      </c>
      <c r="H97" s="209">
        <v>1000</v>
      </c>
      <c r="I97" s="210">
        <v>500</v>
      </c>
      <c r="J97" s="199" t="s">
        <v>179</v>
      </c>
      <c r="K97" s="199" t="s">
        <v>43</v>
      </c>
      <c r="M97">
        <f t="shared" si="0"/>
        <v>200</v>
      </c>
    </row>
    <row r="98" spans="1:13" x14ac:dyDescent="0.25">
      <c r="A98" s="197">
        <v>23</v>
      </c>
      <c r="B98" s="79" t="s">
        <v>561</v>
      </c>
      <c r="C98" s="199" t="s">
        <v>40</v>
      </c>
      <c r="D98" s="199" t="s">
        <v>562</v>
      </c>
      <c r="E98" s="199" t="s">
        <v>56</v>
      </c>
      <c r="F98" s="200" t="s">
        <v>563</v>
      </c>
      <c r="G98" s="199" t="s">
        <v>180</v>
      </c>
      <c r="H98" s="209">
        <v>500</v>
      </c>
      <c r="I98" s="210">
        <v>250</v>
      </c>
      <c r="J98" s="199" t="s">
        <v>179</v>
      </c>
      <c r="K98" s="199" t="s">
        <v>43</v>
      </c>
      <c r="M98">
        <f t="shared" si="0"/>
        <v>100</v>
      </c>
    </row>
    <row r="99" spans="1:13" x14ac:dyDescent="0.25">
      <c r="A99" s="197">
        <v>23</v>
      </c>
      <c r="B99" s="79" t="s">
        <v>564</v>
      </c>
      <c r="C99" s="199" t="s">
        <v>40</v>
      </c>
      <c r="D99" s="199" t="s">
        <v>565</v>
      </c>
      <c r="E99" s="199" t="s">
        <v>44</v>
      </c>
      <c r="F99" s="200"/>
      <c r="G99" s="199" t="s">
        <v>42</v>
      </c>
      <c r="H99" s="209">
        <v>1200</v>
      </c>
      <c r="I99" s="210">
        <v>240</v>
      </c>
      <c r="J99" s="199" t="s">
        <v>179</v>
      </c>
      <c r="K99" s="199" t="s">
        <v>43</v>
      </c>
      <c r="M99">
        <f t="shared" si="0"/>
        <v>240</v>
      </c>
    </row>
    <row r="100" spans="1:13" x14ac:dyDescent="0.25">
      <c r="A100" s="197">
        <v>23</v>
      </c>
      <c r="B100" s="79" t="s">
        <v>353</v>
      </c>
      <c r="C100" s="199" t="s">
        <v>40</v>
      </c>
      <c r="D100" s="199" t="s">
        <v>144</v>
      </c>
      <c r="E100" s="199" t="s">
        <v>57</v>
      </c>
      <c r="F100" s="200" t="s">
        <v>566</v>
      </c>
      <c r="G100" s="396" t="s">
        <v>567</v>
      </c>
      <c r="H100" s="209">
        <v>3000</v>
      </c>
      <c r="I100" s="210" t="s">
        <v>255</v>
      </c>
      <c r="J100" s="199" t="s">
        <v>179</v>
      </c>
      <c r="K100" s="199" t="s">
        <v>43</v>
      </c>
      <c r="M100">
        <f t="shared" si="0"/>
        <v>600</v>
      </c>
    </row>
    <row r="101" spans="1:13" x14ac:dyDescent="0.25">
      <c r="A101" s="197">
        <v>23</v>
      </c>
      <c r="B101" s="79" t="s">
        <v>568</v>
      </c>
      <c r="C101" s="199" t="s">
        <v>40</v>
      </c>
      <c r="D101" s="199" t="s">
        <v>144</v>
      </c>
      <c r="E101" s="199" t="s">
        <v>53</v>
      </c>
      <c r="F101" s="200" t="s">
        <v>569</v>
      </c>
      <c r="G101" s="199" t="s">
        <v>42</v>
      </c>
      <c r="H101" s="209">
        <v>100</v>
      </c>
      <c r="I101" s="210" t="s">
        <v>255</v>
      </c>
      <c r="J101" s="199" t="s">
        <v>179</v>
      </c>
      <c r="K101" s="199" t="s">
        <v>43</v>
      </c>
      <c r="M101">
        <f t="shared" si="0"/>
        <v>20</v>
      </c>
    </row>
    <row r="102" spans="1:13" x14ac:dyDescent="0.25">
      <c r="A102" s="197">
        <v>23</v>
      </c>
      <c r="B102" s="79" t="s">
        <v>568</v>
      </c>
      <c r="C102" s="199" t="s">
        <v>40</v>
      </c>
      <c r="D102" s="199" t="s">
        <v>144</v>
      </c>
      <c r="E102" s="199" t="s">
        <v>53</v>
      </c>
      <c r="F102" s="200" t="s">
        <v>569</v>
      </c>
      <c r="G102" s="199" t="s">
        <v>163</v>
      </c>
      <c r="H102" s="209">
        <v>100</v>
      </c>
      <c r="I102" s="210" t="s">
        <v>255</v>
      </c>
      <c r="J102" s="199" t="s">
        <v>179</v>
      </c>
      <c r="K102" s="199" t="s">
        <v>43</v>
      </c>
      <c r="M102">
        <f t="shared" si="0"/>
        <v>20</v>
      </c>
    </row>
    <row r="103" spans="1:13" x14ac:dyDescent="0.25">
      <c r="A103" s="197">
        <v>24</v>
      </c>
      <c r="B103" s="79" t="s">
        <v>570</v>
      </c>
      <c r="C103" s="199" t="s">
        <v>40</v>
      </c>
      <c r="D103" s="199" t="s">
        <v>144</v>
      </c>
      <c r="E103" s="199" t="s">
        <v>57</v>
      </c>
      <c r="F103" s="200" t="s">
        <v>571</v>
      </c>
      <c r="G103" s="199" t="s">
        <v>42</v>
      </c>
      <c r="H103" s="209">
        <v>3000</v>
      </c>
      <c r="I103" s="210">
        <v>600</v>
      </c>
      <c r="J103" s="199" t="s">
        <v>179</v>
      </c>
      <c r="K103" s="199" t="s">
        <v>43</v>
      </c>
      <c r="M103">
        <f t="shared" si="0"/>
        <v>600</v>
      </c>
    </row>
    <row r="104" spans="1:13" x14ac:dyDescent="0.25">
      <c r="A104" s="197">
        <v>24</v>
      </c>
      <c r="B104" s="79" t="s">
        <v>572</v>
      </c>
      <c r="C104" s="199" t="s">
        <v>40</v>
      </c>
      <c r="D104" s="199" t="s">
        <v>488</v>
      </c>
      <c r="E104" s="199" t="s">
        <v>45</v>
      </c>
      <c r="F104" s="200" t="s">
        <v>573</v>
      </c>
      <c r="G104" s="199" t="s">
        <v>42</v>
      </c>
      <c r="H104" s="209">
        <v>1000</v>
      </c>
      <c r="I104" s="210">
        <v>200</v>
      </c>
      <c r="J104" s="199" t="s">
        <v>179</v>
      </c>
      <c r="K104" s="199" t="s">
        <v>43</v>
      </c>
      <c r="M104">
        <f t="shared" si="0"/>
        <v>200</v>
      </c>
    </row>
    <row r="105" spans="1:13" x14ac:dyDescent="0.25">
      <c r="A105" s="197">
        <v>24</v>
      </c>
      <c r="B105" s="79" t="s">
        <v>574</v>
      </c>
      <c r="C105" s="199" t="s">
        <v>40</v>
      </c>
      <c r="D105" s="199" t="s">
        <v>143</v>
      </c>
      <c r="E105" s="199" t="s">
        <v>45</v>
      </c>
      <c r="F105" s="200" t="s">
        <v>575</v>
      </c>
      <c r="G105" s="199" t="s">
        <v>180</v>
      </c>
      <c r="H105" s="209">
        <v>600</v>
      </c>
      <c r="I105" s="210">
        <v>300</v>
      </c>
      <c r="J105" s="199" t="s">
        <v>179</v>
      </c>
      <c r="K105" s="199" t="s">
        <v>43</v>
      </c>
      <c r="M105">
        <f t="shared" si="0"/>
        <v>120</v>
      </c>
    </row>
    <row r="106" spans="1:13" x14ac:dyDescent="0.25">
      <c r="A106" s="197">
        <v>24</v>
      </c>
      <c r="B106" s="79" t="s">
        <v>576</v>
      </c>
      <c r="C106" s="199" t="s">
        <v>40</v>
      </c>
      <c r="D106" s="199"/>
      <c r="E106" s="199" t="s">
        <v>577</v>
      </c>
      <c r="F106" s="200" t="s">
        <v>578</v>
      </c>
      <c r="G106" s="199" t="s">
        <v>42</v>
      </c>
      <c r="H106" s="209">
        <v>1000</v>
      </c>
      <c r="I106" s="210">
        <v>200</v>
      </c>
      <c r="J106" s="199" t="s">
        <v>179</v>
      </c>
      <c r="K106" s="199" t="s">
        <v>43</v>
      </c>
      <c r="M106">
        <f t="shared" si="0"/>
        <v>200</v>
      </c>
    </row>
    <row r="107" spans="1:13" x14ac:dyDescent="0.25">
      <c r="A107" s="197">
        <v>24</v>
      </c>
      <c r="B107" s="79" t="s">
        <v>341</v>
      </c>
      <c r="C107" s="199" t="s">
        <v>40</v>
      </c>
      <c r="D107" s="199" t="s">
        <v>342</v>
      </c>
      <c r="E107" s="199" t="s">
        <v>47</v>
      </c>
      <c r="F107" s="200" t="s">
        <v>343</v>
      </c>
      <c r="G107" s="199" t="s">
        <v>163</v>
      </c>
      <c r="H107" s="209">
        <v>2000</v>
      </c>
      <c r="I107" s="210">
        <v>2000</v>
      </c>
      <c r="J107" s="199" t="s">
        <v>179</v>
      </c>
      <c r="K107" s="199" t="s">
        <v>43</v>
      </c>
      <c r="M107">
        <f t="shared" si="0"/>
        <v>400</v>
      </c>
    </row>
    <row r="108" spans="1:13" x14ac:dyDescent="0.25">
      <c r="A108" s="197">
        <v>24</v>
      </c>
      <c r="B108" s="79" t="s">
        <v>579</v>
      </c>
      <c r="C108" s="199" t="s">
        <v>48</v>
      </c>
      <c r="D108" s="199" t="s">
        <v>469</v>
      </c>
      <c r="E108" s="199" t="s">
        <v>49</v>
      </c>
      <c r="F108" s="200" t="s">
        <v>580</v>
      </c>
      <c r="G108" s="199" t="s">
        <v>42</v>
      </c>
      <c r="H108" s="209">
        <v>2000</v>
      </c>
      <c r="I108" s="210">
        <v>400</v>
      </c>
      <c r="J108" s="199" t="s">
        <v>179</v>
      </c>
      <c r="K108" s="199" t="s">
        <v>43</v>
      </c>
      <c r="M108">
        <f t="shared" si="0"/>
        <v>400</v>
      </c>
    </row>
    <row r="109" spans="1:13" x14ac:dyDescent="0.25">
      <c r="A109" s="197">
        <v>24</v>
      </c>
      <c r="B109" s="79" t="s">
        <v>581</v>
      </c>
      <c r="C109" s="199" t="s">
        <v>48</v>
      </c>
      <c r="D109" s="199" t="s">
        <v>76</v>
      </c>
      <c r="E109" s="199" t="s">
        <v>44</v>
      </c>
      <c r="F109" s="200" t="s">
        <v>582</v>
      </c>
      <c r="G109" s="199" t="s">
        <v>163</v>
      </c>
      <c r="H109" s="209">
        <v>200</v>
      </c>
      <c r="I109" s="210">
        <v>200</v>
      </c>
      <c r="J109" s="199" t="s">
        <v>179</v>
      </c>
      <c r="K109" s="199" t="s">
        <v>43</v>
      </c>
      <c r="M109">
        <f t="shared" si="0"/>
        <v>40</v>
      </c>
    </row>
    <row r="110" spans="1:13" x14ac:dyDescent="0.25">
      <c r="A110" s="197">
        <v>24</v>
      </c>
      <c r="B110" s="79" t="s">
        <v>581</v>
      </c>
      <c r="C110" s="199" t="s">
        <v>48</v>
      </c>
      <c r="D110" s="199" t="s">
        <v>76</v>
      </c>
      <c r="E110" s="199" t="s">
        <v>44</v>
      </c>
      <c r="F110" s="200" t="s">
        <v>582</v>
      </c>
      <c r="G110" s="199" t="s">
        <v>180</v>
      </c>
      <c r="H110" s="209">
        <v>50</v>
      </c>
      <c r="I110" s="210">
        <v>25</v>
      </c>
      <c r="J110" s="199" t="s">
        <v>179</v>
      </c>
      <c r="K110" s="199" t="s">
        <v>43</v>
      </c>
      <c r="M110">
        <f t="shared" si="0"/>
        <v>10</v>
      </c>
    </row>
    <row r="111" spans="1:13" x14ac:dyDescent="0.25">
      <c r="A111" s="197">
        <v>24</v>
      </c>
      <c r="B111" s="79" t="s">
        <v>583</v>
      </c>
      <c r="C111" s="199" t="s">
        <v>40</v>
      </c>
      <c r="D111" s="199" t="s">
        <v>584</v>
      </c>
      <c r="E111" s="199" t="s">
        <v>50</v>
      </c>
      <c r="F111" s="200" t="s">
        <v>585</v>
      </c>
      <c r="G111" s="199" t="s">
        <v>42</v>
      </c>
      <c r="H111" s="209">
        <v>300</v>
      </c>
      <c r="I111" s="210">
        <v>60</v>
      </c>
      <c r="J111" s="199" t="s">
        <v>179</v>
      </c>
      <c r="K111" s="199" t="s">
        <v>43</v>
      </c>
      <c r="M111">
        <f t="shared" ref="M111:M114" si="1">H111/5</f>
        <v>60</v>
      </c>
    </row>
    <row r="112" spans="1:13" x14ac:dyDescent="0.25">
      <c r="A112" s="197">
        <v>24</v>
      </c>
      <c r="B112" s="79" t="s">
        <v>583</v>
      </c>
      <c r="C112" s="199" t="s">
        <v>40</v>
      </c>
      <c r="D112" s="199" t="s">
        <v>584</v>
      </c>
      <c r="E112" s="199" t="s">
        <v>50</v>
      </c>
      <c r="F112" s="200" t="s">
        <v>585</v>
      </c>
      <c r="G112" s="199" t="s">
        <v>180</v>
      </c>
      <c r="H112" s="209">
        <v>100</v>
      </c>
      <c r="I112" s="210">
        <v>50</v>
      </c>
      <c r="J112" s="199" t="s">
        <v>179</v>
      </c>
      <c r="K112" s="199" t="s">
        <v>43</v>
      </c>
      <c r="M112">
        <f t="shared" si="1"/>
        <v>20</v>
      </c>
    </row>
    <row r="113" spans="1:16" x14ac:dyDescent="0.25">
      <c r="A113" s="197">
        <v>24</v>
      </c>
      <c r="B113" s="79" t="s">
        <v>586</v>
      </c>
      <c r="C113" s="199" t="s">
        <v>40</v>
      </c>
      <c r="D113" s="199" t="s">
        <v>60</v>
      </c>
      <c r="E113" s="199" t="s">
        <v>50</v>
      </c>
      <c r="F113" s="200" t="s">
        <v>587</v>
      </c>
      <c r="G113" s="199" t="s">
        <v>42</v>
      </c>
      <c r="H113" s="209">
        <v>250</v>
      </c>
      <c r="I113" s="210">
        <v>50</v>
      </c>
      <c r="J113" s="199" t="s">
        <v>179</v>
      </c>
      <c r="K113" s="199" t="s">
        <v>43</v>
      </c>
      <c r="M113">
        <f t="shared" si="1"/>
        <v>50</v>
      </c>
    </row>
    <row r="114" spans="1:16" x14ac:dyDescent="0.25">
      <c r="A114" s="197">
        <v>24</v>
      </c>
      <c r="B114" s="79" t="s">
        <v>586</v>
      </c>
      <c r="C114" s="199" t="s">
        <v>40</v>
      </c>
      <c r="D114" s="199" t="s">
        <v>60</v>
      </c>
      <c r="E114" s="199" t="s">
        <v>50</v>
      </c>
      <c r="F114" s="200" t="s">
        <v>587</v>
      </c>
      <c r="G114" s="199" t="s">
        <v>180</v>
      </c>
      <c r="H114" s="209">
        <v>200</v>
      </c>
      <c r="I114" s="210">
        <v>100</v>
      </c>
      <c r="J114" s="199" t="s">
        <v>179</v>
      </c>
      <c r="K114" s="199" t="s">
        <v>43</v>
      </c>
      <c r="M114">
        <f t="shared" si="1"/>
        <v>40</v>
      </c>
    </row>
    <row r="115" spans="1:16" x14ac:dyDescent="0.25">
      <c r="A115" s="197"/>
      <c r="B115" s="79"/>
      <c r="C115" s="199"/>
      <c r="D115" s="199"/>
      <c r="E115" s="199"/>
      <c r="F115" s="200"/>
      <c r="G115" s="199"/>
      <c r="H115" s="209"/>
      <c r="I115" s="210"/>
      <c r="J115" s="199"/>
      <c r="K115" s="199"/>
      <c r="M115">
        <f>SUM(M12:M110)</f>
        <v>25934</v>
      </c>
    </row>
    <row r="116" spans="1:16" x14ac:dyDescent="0.25">
      <c r="H116" s="25"/>
      <c r="I116" s="90"/>
    </row>
    <row r="118" spans="1:16" x14ac:dyDescent="0.25">
      <c r="I118" s="92" t="s">
        <v>19</v>
      </c>
      <c r="J118" s="26"/>
    </row>
    <row r="119" spans="1:16" ht="16.5" customHeight="1" x14ac:dyDescent="0.25">
      <c r="B119" t="s">
        <v>20</v>
      </c>
      <c r="E119" t="s">
        <v>21</v>
      </c>
      <c r="I119" s="81" t="s">
        <v>114</v>
      </c>
      <c r="J119" s="97">
        <v>88</v>
      </c>
      <c r="P119" s="25"/>
    </row>
    <row r="120" spans="1:16" x14ac:dyDescent="0.25">
      <c r="I120" s="81" t="s">
        <v>115</v>
      </c>
      <c r="J120" s="97"/>
      <c r="K120" s="57"/>
    </row>
    <row r="121" spans="1:16" x14ac:dyDescent="0.25">
      <c r="I121" s="81" t="s">
        <v>165</v>
      </c>
      <c r="J121" s="99">
        <v>111750</v>
      </c>
      <c r="K121" s="57"/>
    </row>
    <row r="122" spans="1:16" x14ac:dyDescent="0.25">
      <c r="I122" s="81" t="s">
        <v>567</v>
      </c>
      <c r="J122" s="99">
        <v>3000</v>
      </c>
    </row>
    <row r="123" spans="1:16" x14ac:dyDescent="0.25">
      <c r="B123" s="93" t="s">
        <v>538</v>
      </c>
      <c r="E123" s="533" t="s">
        <v>22</v>
      </c>
      <c r="F123" s="533"/>
      <c r="G123" s="533"/>
      <c r="H123" s="533"/>
      <c r="I123" s="81" t="s">
        <v>116</v>
      </c>
      <c r="J123" s="99">
        <v>12350</v>
      </c>
    </row>
    <row r="124" spans="1:16" x14ac:dyDescent="0.25">
      <c r="B124" t="s">
        <v>183</v>
      </c>
      <c r="E124" s="522" t="s">
        <v>185</v>
      </c>
      <c r="F124" s="522"/>
      <c r="G124" s="522"/>
      <c r="H124" s="522"/>
      <c r="I124" s="81" t="s">
        <v>117</v>
      </c>
      <c r="J124" s="97">
        <v>820</v>
      </c>
    </row>
    <row r="125" spans="1:16" x14ac:dyDescent="0.25">
      <c r="I125" s="81" t="s">
        <v>119</v>
      </c>
      <c r="J125" s="99">
        <v>2700</v>
      </c>
    </row>
    <row r="126" spans="1:16" x14ac:dyDescent="0.25">
      <c r="I126" s="94" t="s">
        <v>113</v>
      </c>
      <c r="J126" s="97">
        <v>0</v>
      </c>
    </row>
    <row r="127" spans="1:16" x14ac:dyDescent="0.25">
      <c r="I127" s="81" t="s">
        <v>23</v>
      </c>
      <c r="J127" s="98"/>
    </row>
    <row r="128" spans="1:16" x14ac:dyDescent="0.25">
      <c r="I128" s="95" t="s">
        <v>111</v>
      </c>
      <c r="J128" s="99" t="s">
        <v>588</v>
      </c>
    </row>
    <row r="129" spans="2:10" x14ac:dyDescent="0.25">
      <c r="B129" s="27"/>
      <c r="E129" s="27"/>
      <c r="F129" s="27"/>
      <c r="G129" s="27"/>
      <c r="I129" s="95" t="s">
        <v>112</v>
      </c>
      <c r="J129" s="58"/>
    </row>
    <row r="130" spans="2:10" x14ac:dyDescent="0.25">
      <c r="I130" s="81"/>
      <c r="J130" s="26"/>
    </row>
    <row r="131" spans="2:10" x14ac:dyDescent="0.25">
      <c r="I131" s="81"/>
      <c r="J131" s="26"/>
    </row>
    <row r="132" spans="2:10" x14ac:dyDescent="0.25">
      <c r="I132" s="81"/>
      <c r="J132" s="58"/>
    </row>
    <row r="133" spans="2:10" x14ac:dyDescent="0.25">
      <c r="I133" s="81"/>
      <c r="J133" s="58"/>
    </row>
    <row r="153" spans="12:12" x14ac:dyDescent="0.25">
      <c r="L153" s="25"/>
    </row>
    <row r="176" spans="12:12" x14ac:dyDescent="0.25">
      <c r="L176" s="25"/>
    </row>
    <row r="303" spans="12:12" x14ac:dyDescent="0.25">
      <c r="L303" s="25"/>
    </row>
  </sheetData>
  <mergeCells count="8">
    <mergeCell ref="E123:H123"/>
    <mergeCell ref="E124:H124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O30"/>
  <sheetViews>
    <sheetView view="pageBreakPreview" zoomScale="96" zoomScaleNormal="100" zoomScaleSheetLayoutView="96" workbookViewId="0">
      <selection activeCell="B14" sqref="B14:B15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0.570312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</row>
    <row r="2" spans="1:15" ht="18" x14ac:dyDescent="0.25">
      <c r="A2" s="524" t="s">
        <v>203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</row>
    <row r="3" spans="1:15" x14ac:dyDescent="0.25">
      <c r="A3" s="183"/>
      <c r="B3" s="1"/>
      <c r="C3" s="28"/>
      <c r="D3" s="1"/>
      <c r="E3" s="1"/>
      <c r="G3" s="1"/>
      <c r="H3" s="28"/>
      <c r="I3" s="25"/>
      <c r="J3" s="29"/>
      <c r="K3" s="526" t="s">
        <v>385</v>
      </c>
      <c r="L3" s="536"/>
    </row>
    <row r="4" spans="1:15" x14ac:dyDescent="0.25">
      <c r="A4" s="183"/>
      <c r="B4" s="1"/>
      <c r="C4" s="28"/>
      <c r="D4" s="1"/>
      <c r="E4" s="1"/>
      <c r="G4" s="1"/>
      <c r="H4" s="28"/>
      <c r="I4" s="25"/>
      <c r="J4" s="29"/>
      <c r="K4" s="31" t="s">
        <v>37</v>
      </c>
      <c r="L4" s="100">
        <v>2</v>
      </c>
    </row>
    <row r="5" spans="1:15" x14ac:dyDescent="0.25">
      <c r="A5" s="183"/>
      <c r="B5" s="1"/>
      <c r="C5" s="28"/>
      <c r="D5" s="1"/>
      <c r="E5" s="1"/>
      <c r="G5" s="1"/>
      <c r="H5" s="28"/>
      <c r="I5" s="25"/>
      <c r="J5" s="29"/>
      <c r="K5" s="31" t="s">
        <v>38</v>
      </c>
      <c r="L5" s="100">
        <v>2</v>
      </c>
    </row>
    <row r="6" spans="1:15" ht="18" x14ac:dyDescent="0.25">
      <c r="A6" s="528" t="s">
        <v>122</v>
      </c>
      <c r="B6" s="528"/>
      <c r="C6" s="32"/>
      <c r="D6" s="1"/>
      <c r="E6" s="4"/>
      <c r="F6" s="2"/>
      <c r="G6" s="1"/>
      <c r="H6" s="28"/>
      <c r="I6" s="25"/>
      <c r="J6" s="29"/>
      <c r="K6" s="5" t="s">
        <v>39</v>
      </c>
      <c r="L6" s="33"/>
    </row>
    <row r="7" spans="1:15" x14ac:dyDescent="0.25">
      <c r="A7" s="6"/>
      <c r="B7" s="7"/>
      <c r="C7" s="34" t="s">
        <v>24</v>
      </c>
      <c r="D7" s="8"/>
      <c r="E7" s="8"/>
      <c r="F7" s="35" t="s">
        <v>25</v>
      </c>
      <c r="G7" s="34" t="s">
        <v>26</v>
      </c>
      <c r="H7" s="529" t="s">
        <v>27</v>
      </c>
      <c r="I7" s="530"/>
      <c r="J7" s="36"/>
      <c r="K7" s="531" t="s">
        <v>2</v>
      </c>
      <c r="L7" s="532"/>
    </row>
    <row r="8" spans="1:15" x14ac:dyDescent="0.25">
      <c r="A8" s="519" t="s">
        <v>28</v>
      </c>
      <c r="B8" s="520"/>
      <c r="C8" s="35" t="s">
        <v>29</v>
      </c>
      <c r="D8" s="184" t="s">
        <v>5</v>
      </c>
      <c r="E8" s="9" t="s">
        <v>6</v>
      </c>
      <c r="F8" s="35" t="s">
        <v>30</v>
      </c>
      <c r="G8" s="37" t="s">
        <v>31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7"/>
      <c r="B9" s="14"/>
      <c r="C9" s="35" t="s">
        <v>32</v>
      </c>
      <c r="D9" s="15"/>
      <c r="E9" s="14"/>
      <c r="F9" s="35" t="s">
        <v>33</v>
      </c>
      <c r="G9" s="37" t="s">
        <v>34</v>
      </c>
      <c r="H9" s="40" t="s">
        <v>11</v>
      </c>
      <c r="I9" s="39" t="s">
        <v>12</v>
      </c>
      <c r="J9" s="41"/>
      <c r="K9" s="184" t="s">
        <v>13</v>
      </c>
      <c r="L9" s="184" t="s">
        <v>14</v>
      </c>
    </row>
    <row r="10" spans="1:15" x14ac:dyDescent="0.25">
      <c r="A10" s="18"/>
      <c r="B10" s="19"/>
      <c r="C10" s="42"/>
      <c r="D10" s="20"/>
      <c r="E10" s="20"/>
      <c r="F10" s="43" t="s">
        <v>35</v>
      </c>
      <c r="G10" s="22"/>
      <c r="H10" s="44"/>
      <c r="I10" s="45" t="s">
        <v>36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x14ac:dyDescent="0.25">
      <c r="A12" s="219">
        <v>6</v>
      </c>
      <c r="B12" s="220" t="s">
        <v>350</v>
      </c>
      <c r="C12" s="49"/>
      <c r="D12" s="48"/>
      <c r="E12" s="48"/>
      <c r="F12" s="23"/>
      <c r="G12" s="220" t="s">
        <v>351</v>
      </c>
      <c r="H12" s="220" t="s">
        <v>352</v>
      </c>
      <c r="I12" s="221">
        <v>25000</v>
      </c>
      <c r="J12" s="194" t="s">
        <v>255</v>
      </c>
      <c r="K12" s="79"/>
      <c r="L12" s="145" t="s">
        <v>43</v>
      </c>
    </row>
    <row r="13" spans="1:15" x14ac:dyDescent="0.25">
      <c r="A13" s="219">
        <v>18</v>
      </c>
      <c r="B13" s="220" t="s">
        <v>375</v>
      </c>
      <c r="C13" s="49"/>
      <c r="D13" s="48"/>
      <c r="E13" s="48"/>
      <c r="F13" s="23"/>
      <c r="G13" s="220" t="s">
        <v>376</v>
      </c>
      <c r="H13" s="220" t="s">
        <v>42</v>
      </c>
      <c r="I13" s="221">
        <v>11700</v>
      </c>
      <c r="J13" s="194" t="s">
        <v>255</v>
      </c>
      <c r="K13" s="79"/>
      <c r="L13" s="145" t="s">
        <v>43</v>
      </c>
    </row>
    <row r="14" spans="1:15" ht="15" customHeight="1" x14ac:dyDescent="0.25">
      <c r="A14" s="189">
        <v>20</v>
      </c>
      <c r="B14" s="145" t="s">
        <v>310</v>
      </c>
      <c r="C14" s="190"/>
      <c r="D14" s="145"/>
      <c r="E14" s="145"/>
      <c r="F14" s="191"/>
      <c r="G14" s="145" t="s">
        <v>311</v>
      </c>
      <c r="H14" s="192" t="s">
        <v>187</v>
      </c>
      <c r="I14" s="193">
        <v>2000</v>
      </c>
      <c r="J14" s="194" t="s">
        <v>255</v>
      </c>
      <c r="K14" s="79"/>
      <c r="L14" s="145" t="s">
        <v>43</v>
      </c>
      <c r="M14" s="132"/>
    </row>
    <row r="15" spans="1:15" ht="17.25" customHeight="1" x14ac:dyDescent="0.25">
      <c r="A15" s="189">
        <v>20</v>
      </c>
      <c r="B15" s="145" t="s">
        <v>310</v>
      </c>
      <c r="C15" s="190"/>
      <c r="D15" s="145"/>
      <c r="E15" s="145"/>
      <c r="F15" s="191"/>
      <c r="G15" s="145" t="s">
        <v>311</v>
      </c>
      <c r="H15" s="192" t="s">
        <v>42</v>
      </c>
      <c r="I15" s="195">
        <v>1000</v>
      </c>
      <c r="J15" s="194" t="s">
        <v>255</v>
      </c>
      <c r="K15" s="79"/>
      <c r="L15" s="145" t="s">
        <v>43</v>
      </c>
      <c r="M15" s="132"/>
      <c r="O15" s="57"/>
    </row>
    <row r="16" spans="1:15" ht="18" customHeight="1" x14ac:dyDescent="0.25">
      <c r="A16" s="189">
        <v>26</v>
      </c>
      <c r="B16" s="224" t="s">
        <v>381</v>
      </c>
      <c r="C16" s="79"/>
      <c r="D16" s="79"/>
      <c r="E16" s="79"/>
      <c r="F16" s="223"/>
      <c r="G16" s="192" t="s">
        <v>382</v>
      </c>
      <c r="H16" s="224" t="s">
        <v>42</v>
      </c>
      <c r="I16" s="195">
        <v>31280</v>
      </c>
      <c r="J16" s="194" t="s">
        <v>255</v>
      </c>
      <c r="K16" s="79"/>
      <c r="L16" s="145" t="s">
        <v>43</v>
      </c>
      <c r="O16" s="57"/>
    </row>
    <row r="17" spans="1:15" ht="16.5" customHeight="1" x14ac:dyDescent="0.25">
      <c r="A17" s="222"/>
      <c r="B17" s="179"/>
      <c r="C17" s="79"/>
      <c r="D17" s="79"/>
      <c r="E17" s="79"/>
      <c r="F17" s="223"/>
      <c r="G17" s="79"/>
      <c r="H17" s="224"/>
      <c r="I17" s="195"/>
      <c r="J17" s="225"/>
      <c r="K17" s="79"/>
      <c r="L17" s="79"/>
      <c r="O17" s="57"/>
    </row>
    <row r="18" spans="1:15" x14ac:dyDescent="0.25">
      <c r="A18" s="222"/>
      <c r="B18" s="79"/>
      <c r="C18" s="190"/>
      <c r="D18" s="79"/>
      <c r="E18" s="79"/>
      <c r="F18" s="223"/>
      <c r="G18" s="79"/>
      <c r="H18" s="107"/>
      <c r="I18" s="195"/>
      <c r="J18" s="190"/>
      <c r="K18" s="79"/>
      <c r="L18" s="79"/>
      <c r="O18" s="57"/>
    </row>
    <row r="19" spans="1:15" x14ac:dyDescent="0.25">
      <c r="I19" s="26"/>
      <c r="J19" s="26"/>
    </row>
    <row r="20" spans="1:15" x14ac:dyDescent="0.25">
      <c r="I20" s="51" t="s">
        <v>19</v>
      </c>
      <c r="J20" s="26"/>
    </row>
    <row r="21" spans="1:15" x14ac:dyDescent="0.25">
      <c r="I21" s="26" t="s">
        <v>114</v>
      </c>
      <c r="J21" s="26"/>
    </row>
    <row r="22" spans="1:15" x14ac:dyDescent="0.25">
      <c r="B22" t="s">
        <v>20</v>
      </c>
      <c r="E22" t="s">
        <v>21</v>
      </c>
      <c r="I22" s="26" t="s">
        <v>115</v>
      </c>
      <c r="J22" s="99">
        <v>3</v>
      </c>
    </row>
    <row r="23" spans="1:15" x14ac:dyDescent="0.25">
      <c r="I23" s="26" t="s">
        <v>184</v>
      </c>
      <c r="J23" s="99">
        <v>45980</v>
      </c>
    </row>
    <row r="24" spans="1:15" x14ac:dyDescent="0.25">
      <c r="I24" s="26" t="s">
        <v>116</v>
      </c>
      <c r="J24" s="99">
        <v>0</v>
      </c>
    </row>
    <row r="25" spans="1:15" x14ac:dyDescent="0.25">
      <c r="I25" s="26" t="s">
        <v>118</v>
      </c>
      <c r="J25" s="97">
        <v>0</v>
      </c>
    </row>
    <row r="26" spans="1:15" x14ac:dyDescent="0.25">
      <c r="B26" s="27" t="s">
        <v>181</v>
      </c>
      <c r="E26" s="521" t="s">
        <v>22</v>
      </c>
      <c r="F26" s="521"/>
      <c r="G26" s="521"/>
      <c r="H26" s="521"/>
      <c r="I26" s="26" t="s">
        <v>119</v>
      </c>
      <c r="J26" s="99">
        <v>25000</v>
      </c>
      <c r="L26" s="57"/>
    </row>
    <row r="27" spans="1:15" x14ac:dyDescent="0.25">
      <c r="B27" t="s">
        <v>182</v>
      </c>
      <c r="E27" s="522" t="s">
        <v>185</v>
      </c>
      <c r="F27" s="522"/>
      <c r="G27" s="522"/>
      <c r="H27" s="522"/>
      <c r="I27" s="26" t="s">
        <v>120</v>
      </c>
      <c r="J27" s="97">
        <v>0</v>
      </c>
      <c r="L27" s="57"/>
    </row>
    <row r="28" spans="1:15" x14ac:dyDescent="0.25">
      <c r="I28" s="26" t="s">
        <v>23</v>
      </c>
      <c r="J28" s="98"/>
    </row>
    <row r="29" spans="1:15" x14ac:dyDescent="0.25">
      <c r="I29" s="3" t="s">
        <v>121</v>
      </c>
      <c r="J29" s="99"/>
    </row>
    <row r="30" spans="1:15" x14ac:dyDescent="0.25">
      <c r="I30" s="3" t="s">
        <v>91</v>
      </c>
      <c r="J30" s="99"/>
    </row>
  </sheetData>
  <mergeCells count="9">
    <mergeCell ref="A8:B8"/>
    <mergeCell ref="E26:H26"/>
    <mergeCell ref="E27:H27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Q288"/>
  <sheetViews>
    <sheetView view="pageBreakPreview" topLeftCell="A101" zoomScale="106" zoomScaleNormal="100" zoomScaleSheetLayoutView="106" workbookViewId="0">
      <selection activeCell="Q19" sqref="Q19"/>
    </sheetView>
  </sheetViews>
  <sheetFormatPr defaultRowHeight="15" x14ac:dyDescent="0.25"/>
  <cols>
    <col min="1" max="1" width="4.7109375" style="183" customWidth="1"/>
    <col min="2" max="2" width="25" customWidth="1"/>
    <col min="3" max="3" width="7.28515625" customWidth="1"/>
    <col min="4" max="4" width="17.710937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style="91" customWidth="1"/>
    <col min="10" max="10" width="9.5703125" customWidth="1"/>
    <col min="11" max="11" width="17.85546875" customWidth="1"/>
    <col min="16" max="16" width="15.42578125" customWidth="1"/>
  </cols>
  <sheetData>
    <row r="1" spans="1:16" ht="23.25" x14ac:dyDescent="0.35">
      <c r="A1" s="523" t="s">
        <v>0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</row>
    <row r="2" spans="1:16" ht="18" x14ac:dyDescent="0.25">
      <c r="A2" s="524" t="s">
        <v>203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</row>
    <row r="3" spans="1:16" x14ac:dyDescent="0.25">
      <c r="B3" s="1"/>
      <c r="C3" s="3"/>
      <c r="D3" s="1"/>
      <c r="E3" s="1"/>
      <c r="G3" s="3"/>
      <c r="H3" s="67"/>
      <c r="I3" s="81"/>
      <c r="J3" s="82" t="s">
        <v>384</v>
      </c>
      <c r="K3" s="83"/>
    </row>
    <row r="4" spans="1:16" x14ac:dyDescent="0.25">
      <c r="B4" s="1"/>
      <c r="C4" s="3"/>
      <c r="D4" s="1"/>
      <c r="E4" s="1"/>
      <c r="G4" s="3"/>
      <c r="H4" s="67"/>
      <c r="I4" s="84"/>
      <c r="J4" s="76" t="s">
        <v>93</v>
      </c>
      <c r="K4" s="96">
        <v>62</v>
      </c>
    </row>
    <row r="5" spans="1:16" x14ac:dyDescent="0.25">
      <c r="B5" s="1"/>
      <c r="C5" s="3"/>
      <c r="D5" s="1"/>
      <c r="E5" s="1"/>
      <c r="G5" s="3"/>
      <c r="H5" s="67"/>
      <c r="I5" s="84"/>
      <c r="J5" s="76" t="s">
        <v>95</v>
      </c>
      <c r="K5" s="96">
        <v>11</v>
      </c>
    </row>
    <row r="6" spans="1:16" x14ac:dyDescent="0.25">
      <c r="A6" s="534" t="s">
        <v>123</v>
      </c>
      <c r="B6" s="534"/>
      <c r="C6" s="3"/>
      <c r="D6" s="1"/>
      <c r="E6" s="4"/>
      <c r="G6" s="3"/>
      <c r="H6" s="67"/>
      <c r="I6" s="81"/>
      <c r="J6" s="80" t="s">
        <v>383</v>
      </c>
      <c r="K6" s="85"/>
    </row>
    <row r="7" spans="1:16" x14ac:dyDescent="0.25">
      <c r="A7" s="6"/>
      <c r="B7" s="7"/>
      <c r="C7" s="64"/>
      <c r="D7" s="8"/>
      <c r="E7" s="8"/>
      <c r="F7" s="529" t="s">
        <v>1</v>
      </c>
      <c r="G7" s="535"/>
      <c r="H7" s="530"/>
      <c r="I7" s="86"/>
      <c r="J7" s="531" t="s">
        <v>2</v>
      </c>
      <c r="K7" s="532"/>
      <c r="P7" s="25"/>
    </row>
    <row r="8" spans="1:16" x14ac:dyDescent="0.25">
      <c r="A8" s="519" t="s">
        <v>3</v>
      </c>
      <c r="B8" s="520"/>
      <c r="C8" s="17" t="s">
        <v>4</v>
      </c>
      <c r="D8" s="184" t="s">
        <v>5</v>
      </c>
      <c r="E8" s="9" t="s">
        <v>6</v>
      </c>
      <c r="F8" s="10" t="s">
        <v>7</v>
      </c>
      <c r="G8" s="65"/>
      <c r="H8" s="11" t="s">
        <v>8</v>
      </c>
      <c r="I8" s="60" t="s">
        <v>9</v>
      </c>
      <c r="J8" s="77"/>
      <c r="K8" s="13"/>
    </row>
    <row r="9" spans="1:16" x14ac:dyDescent="0.25">
      <c r="A9" s="87"/>
      <c r="B9" s="14"/>
      <c r="C9" s="65"/>
      <c r="D9" s="15"/>
      <c r="E9" s="14"/>
      <c r="F9" s="16" t="s">
        <v>10</v>
      </c>
      <c r="G9" s="17" t="s">
        <v>11</v>
      </c>
      <c r="H9" s="11" t="s">
        <v>12</v>
      </c>
      <c r="I9" s="88"/>
      <c r="J9" s="184" t="s">
        <v>13</v>
      </c>
      <c r="K9" s="184" t="s">
        <v>14</v>
      </c>
    </row>
    <row r="10" spans="1:16" x14ac:dyDescent="0.25">
      <c r="A10" s="18"/>
      <c r="B10" s="19"/>
      <c r="C10" s="66"/>
      <c r="D10" s="20"/>
      <c r="E10" s="20"/>
      <c r="F10" s="21"/>
      <c r="G10" s="68"/>
      <c r="H10" s="69" t="s">
        <v>15</v>
      </c>
      <c r="I10" s="89"/>
      <c r="J10" s="21"/>
      <c r="K10" s="22" t="s">
        <v>16</v>
      </c>
    </row>
    <row r="11" spans="1:16" x14ac:dyDescent="0.25">
      <c r="A11" s="47" t="s">
        <v>17</v>
      </c>
      <c r="B11" s="23"/>
      <c r="C11" s="23"/>
      <c r="D11" s="23"/>
      <c r="E11" s="23"/>
      <c r="F11" s="23"/>
      <c r="G11" s="23"/>
      <c r="H11" s="23"/>
      <c r="I11" s="61"/>
      <c r="J11" s="23"/>
      <c r="K11" s="23"/>
      <c r="P11" s="448">
        <f>SUM(I12:I66,I68:I99)</f>
        <v>39985</v>
      </c>
    </row>
    <row r="12" spans="1:16" x14ac:dyDescent="0.25">
      <c r="A12" s="198">
        <v>4</v>
      </c>
      <c r="B12" s="199" t="s">
        <v>204</v>
      </c>
      <c r="C12" s="199" t="s">
        <v>40</v>
      </c>
      <c r="D12" s="199" t="s">
        <v>143</v>
      </c>
      <c r="E12" s="199" t="s">
        <v>45</v>
      </c>
      <c r="F12" s="200" t="s">
        <v>205</v>
      </c>
      <c r="G12" s="79" t="s">
        <v>42</v>
      </c>
      <c r="H12" s="201">
        <v>500</v>
      </c>
      <c r="I12" s="202">
        <v>100</v>
      </c>
      <c r="J12" s="199" t="s">
        <v>179</v>
      </c>
      <c r="K12" s="199" t="s">
        <v>43</v>
      </c>
      <c r="M12">
        <f>H12/5</f>
        <v>100</v>
      </c>
      <c r="O12" s="25"/>
    </row>
    <row r="13" spans="1:16" x14ac:dyDescent="0.25">
      <c r="A13" s="198">
        <v>4</v>
      </c>
      <c r="B13" s="199" t="s">
        <v>204</v>
      </c>
      <c r="C13" s="199" t="s">
        <v>40</v>
      </c>
      <c r="D13" s="199" t="s">
        <v>143</v>
      </c>
      <c r="E13" s="199" t="s">
        <v>45</v>
      </c>
      <c r="F13" s="200" t="s">
        <v>205</v>
      </c>
      <c r="G13" s="79" t="s">
        <v>187</v>
      </c>
      <c r="H13" s="201">
        <v>300</v>
      </c>
      <c r="I13" s="202">
        <v>60</v>
      </c>
      <c r="J13" s="199" t="s">
        <v>179</v>
      </c>
      <c r="K13" s="199" t="s">
        <v>43</v>
      </c>
      <c r="M13">
        <f t="shared" ref="M13:M99" si="0">H13/5</f>
        <v>60</v>
      </c>
      <c r="O13" s="25"/>
    </row>
    <row r="14" spans="1:16" x14ac:dyDescent="0.25">
      <c r="A14" s="198">
        <v>4</v>
      </c>
      <c r="B14" s="199" t="s">
        <v>204</v>
      </c>
      <c r="C14" s="199" t="s">
        <v>40</v>
      </c>
      <c r="D14" s="199" t="s">
        <v>143</v>
      </c>
      <c r="E14" s="199" t="s">
        <v>45</v>
      </c>
      <c r="F14" s="200" t="s">
        <v>205</v>
      </c>
      <c r="G14" s="79" t="s">
        <v>163</v>
      </c>
      <c r="H14" s="201">
        <v>500</v>
      </c>
      <c r="I14" s="202">
        <v>500</v>
      </c>
      <c r="J14" s="199" t="s">
        <v>179</v>
      </c>
      <c r="K14" s="199" t="s">
        <v>43</v>
      </c>
      <c r="M14">
        <f t="shared" si="0"/>
        <v>100</v>
      </c>
      <c r="O14" s="25"/>
      <c r="P14" t="s">
        <v>2751</v>
      </c>
    </row>
    <row r="15" spans="1:16" x14ac:dyDescent="0.25">
      <c r="A15" s="203">
        <v>4</v>
      </c>
      <c r="B15" s="199" t="s">
        <v>206</v>
      </c>
      <c r="C15" s="199" t="s">
        <v>48</v>
      </c>
      <c r="D15" s="199" t="s">
        <v>145</v>
      </c>
      <c r="E15" s="199" t="s">
        <v>56</v>
      </c>
      <c r="F15" s="200" t="s">
        <v>207</v>
      </c>
      <c r="G15" s="79" t="s">
        <v>163</v>
      </c>
      <c r="H15" s="201">
        <v>500</v>
      </c>
      <c r="I15" s="204">
        <v>500</v>
      </c>
      <c r="J15" s="199" t="s">
        <v>179</v>
      </c>
      <c r="K15" s="199" t="s">
        <v>43</v>
      </c>
      <c r="M15">
        <f t="shared" si="0"/>
        <v>100</v>
      </c>
      <c r="P15" s="135" t="s">
        <v>2752</v>
      </c>
    </row>
    <row r="16" spans="1:16" x14ac:dyDescent="0.25">
      <c r="A16" s="198">
        <v>4</v>
      </c>
      <c r="B16" s="199" t="s">
        <v>208</v>
      </c>
      <c r="C16" s="199" t="s">
        <v>40</v>
      </c>
      <c r="D16" s="199" t="s">
        <v>145</v>
      </c>
      <c r="E16" s="199" t="s">
        <v>75</v>
      </c>
      <c r="F16" s="200"/>
      <c r="G16" s="79" t="s">
        <v>42</v>
      </c>
      <c r="H16" s="201">
        <v>500</v>
      </c>
      <c r="I16" s="202">
        <v>100</v>
      </c>
      <c r="J16" s="199" t="s">
        <v>179</v>
      </c>
      <c r="K16" s="199" t="s">
        <v>43</v>
      </c>
      <c r="M16">
        <f t="shared" si="0"/>
        <v>100</v>
      </c>
      <c r="P16" t="s">
        <v>1402</v>
      </c>
    </row>
    <row r="17" spans="1:17" x14ac:dyDescent="0.25">
      <c r="A17" s="198">
        <v>4</v>
      </c>
      <c r="B17" s="199" t="s">
        <v>208</v>
      </c>
      <c r="C17" s="199" t="s">
        <v>40</v>
      </c>
      <c r="D17" s="199" t="s">
        <v>145</v>
      </c>
      <c r="E17" s="199" t="s">
        <v>75</v>
      </c>
      <c r="F17" s="200"/>
      <c r="G17" s="79" t="s">
        <v>187</v>
      </c>
      <c r="H17" s="201">
        <v>100</v>
      </c>
      <c r="I17" s="202">
        <v>20</v>
      </c>
      <c r="J17" s="199" t="s">
        <v>179</v>
      </c>
      <c r="K17" s="199" t="s">
        <v>43</v>
      </c>
      <c r="M17">
        <f t="shared" si="0"/>
        <v>20</v>
      </c>
      <c r="O17" s="57"/>
      <c r="P17" t="s">
        <v>1401</v>
      </c>
    </row>
    <row r="18" spans="1:17" x14ac:dyDescent="0.25">
      <c r="A18" s="198">
        <v>4</v>
      </c>
      <c r="B18" s="199" t="s">
        <v>208</v>
      </c>
      <c r="C18" s="199" t="s">
        <v>40</v>
      </c>
      <c r="D18" s="199" t="s">
        <v>145</v>
      </c>
      <c r="E18" s="199" t="s">
        <v>75</v>
      </c>
      <c r="F18" s="200"/>
      <c r="G18" s="79" t="s">
        <v>180</v>
      </c>
      <c r="H18" s="201">
        <v>50</v>
      </c>
      <c r="I18" s="202">
        <v>25</v>
      </c>
      <c r="J18" s="199" t="s">
        <v>179</v>
      </c>
      <c r="K18" s="199" t="s">
        <v>43</v>
      </c>
      <c r="M18">
        <f t="shared" si="0"/>
        <v>10</v>
      </c>
      <c r="Q18" s="25"/>
    </row>
    <row r="19" spans="1:17" x14ac:dyDescent="0.25">
      <c r="A19" s="198">
        <v>4</v>
      </c>
      <c r="B19" s="199" t="s">
        <v>209</v>
      </c>
      <c r="C19" s="199" t="s">
        <v>48</v>
      </c>
      <c r="D19" s="199" t="s">
        <v>150</v>
      </c>
      <c r="E19" s="199" t="s">
        <v>71</v>
      </c>
      <c r="F19" s="200" t="s">
        <v>210</v>
      </c>
      <c r="G19" s="79" t="s">
        <v>163</v>
      </c>
      <c r="H19" s="201">
        <v>600</v>
      </c>
      <c r="I19" s="202">
        <v>600</v>
      </c>
      <c r="J19" s="199" t="s">
        <v>179</v>
      </c>
      <c r="K19" s="199" t="s">
        <v>43</v>
      </c>
      <c r="M19">
        <f t="shared" si="0"/>
        <v>120</v>
      </c>
      <c r="O19" s="25"/>
    </row>
    <row r="20" spans="1:17" x14ac:dyDescent="0.25">
      <c r="A20" s="198">
        <v>4</v>
      </c>
      <c r="B20" s="199" t="s">
        <v>209</v>
      </c>
      <c r="C20" s="199" t="s">
        <v>48</v>
      </c>
      <c r="D20" s="199" t="s">
        <v>150</v>
      </c>
      <c r="E20" s="199" t="s">
        <v>71</v>
      </c>
      <c r="F20" s="200" t="s">
        <v>210</v>
      </c>
      <c r="G20" s="79" t="s">
        <v>180</v>
      </c>
      <c r="H20" s="201">
        <v>20</v>
      </c>
      <c r="I20" s="202">
        <v>10</v>
      </c>
      <c r="J20" s="199" t="s">
        <v>179</v>
      </c>
      <c r="K20" s="199" t="s">
        <v>43</v>
      </c>
      <c r="M20">
        <f t="shared" si="0"/>
        <v>4</v>
      </c>
    </row>
    <row r="21" spans="1:17" x14ac:dyDescent="0.25">
      <c r="A21" s="198">
        <v>4</v>
      </c>
      <c r="B21" s="199" t="s">
        <v>211</v>
      </c>
      <c r="C21" s="199" t="s">
        <v>48</v>
      </c>
      <c r="D21" s="199" t="s">
        <v>159</v>
      </c>
      <c r="E21" s="199" t="s">
        <v>51</v>
      </c>
      <c r="F21" s="200" t="s">
        <v>186</v>
      </c>
      <c r="G21" s="79" t="s">
        <v>162</v>
      </c>
      <c r="H21" s="201">
        <v>40</v>
      </c>
      <c r="I21" s="202">
        <v>200</v>
      </c>
      <c r="J21" s="199" t="s">
        <v>179</v>
      </c>
      <c r="K21" s="199" t="s">
        <v>43</v>
      </c>
      <c r="M21">
        <f t="shared" si="0"/>
        <v>8</v>
      </c>
    </row>
    <row r="22" spans="1:17" x14ac:dyDescent="0.25">
      <c r="A22" s="198">
        <v>4</v>
      </c>
      <c r="B22" s="199" t="s">
        <v>212</v>
      </c>
      <c r="C22" s="199" t="s">
        <v>40</v>
      </c>
      <c r="D22" s="199" t="s">
        <v>145</v>
      </c>
      <c r="E22" s="199" t="s">
        <v>75</v>
      </c>
      <c r="F22" s="200" t="s">
        <v>213</v>
      </c>
      <c r="G22" s="79" t="s">
        <v>42</v>
      </c>
      <c r="H22" s="201">
        <v>500</v>
      </c>
      <c r="I22" s="202">
        <v>100</v>
      </c>
      <c r="J22" s="199" t="s">
        <v>179</v>
      </c>
      <c r="K22" s="199" t="s">
        <v>43</v>
      </c>
      <c r="M22">
        <f t="shared" si="0"/>
        <v>100</v>
      </c>
    </row>
    <row r="23" spans="1:17" x14ac:dyDescent="0.25">
      <c r="A23" s="198">
        <v>4</v>
      </c>
      <c r="B23" s="199" t="s">
        <v>212</v>
      </c>
      <c r="C23" s="199" t="s">
        <v>40</v>
      </c>
      <c r="D23" s="199" t="s">
        <v>145</v>
      </c>
      <c r="E23" s="199" t="s">
        <v>75</v>
      </c>
      <c r="F23" s="200" t="s">
        <v>213</v>
      </c>
      <c r="G23" s="79" t="s">
        <v>187</v>
      </c>
      <c r="H23" s="201">
        <v>100</v>
      </c>
      <c r="I23" s="202">
        <v>20</v>
      </c>
      <c r="J23" s="199" t="s">
        <v>179</v>
      </c>
      <c r="K23" s="199" t="s">
        <v>43</v>
      </c>
      <c r="M23">
        <f t="shared" si="0"/>
        <v>20</v>
      </c>
    </row>
    <row r="24" spans="1:17" x14ac:dyDescent="0.25">
      <c r="A24" s="198">
        <v>4</v>
      </c>
      <c r="B24" s="199" t="s">
        <v>212</v>
      </c>
      <c r="C24" s="199" t="s">
        <v>40</v>
      </c>
      <c r="D24" s="199" t="s">
        <v>145</v>
      </c>
      <c r="E24" s="199" t="s">
        <v>75</v>
      </c>
      <c r="F24" s="200" t="s">
        <v>213</v>
      </c>
      <c r="G24" s="79" t="s">
        <v>180</v>
      </c>
      <c r="H24" s="201">
        <v>200</v>
      </c>
      <c r="I24" s="202">
        <v>100</v>
      </c>
      <c r="J24" s="199" t="s">
        <v>179</v>
      </c>
      <c r="K24" s="199" t="s">
        <v>43</v>
      </c>
      <c r="M24">
        <f t="shared" si="0"/>
        <v>40</v>
      </c>
      <c r="P24" s="25"/>
    </row>
    <row r="25" spans="1:17" x14ac:dyDescent="0.25">
      <c r="A25" s="203">
        <v>4</v>
      </c>
      <c r="B25" s="205" t="s">
        <v>214</v>
      </c>
      <c r="C25" s="205" t="s">
        <v>40</v>
      </c>
      <c r="D25" s="205" t="s">
        <v>153</v>
      </c>
      <c r="E25" s="205" t="s">
        <v>57</v>
      </c>
      <c r="F25" s="206" t="s">
        <v>215</v>
      </c>
      <c r="G25" s="79" t="s">
        <v>187</v>
      </c>
      <c r="H25" s="207">
        <v>1000</v>
      </c>
      <c r="I25" s="204">
        <v>200</v>
      </c>
      <c r="J25" s="199" t="s">
        <v>179</v>
      </c>
      <c r="K25" s="199" t="s">
        <v>43</v>
      </c>
      <c r="M25">
        <f t="shared" si="0"/>
        <v>200</v>
      </c>
      <c r="P25" s="25"/>
    </row>
    <row r="26" spans="1:17" x14ac:dyDescent="0.25">
      <c r="A26" s="198">
        <v>4</v>
      </c>
      <c r="B26" s="205" t="s">
        <v>216</v>
      </c>
      <c r="C26" s="205" t="s">
        <v>40</v>
      </c>
      <c r="D26" s="205" t="s">
        <v>217</v>
      </c>
      <c r="E26" s="205" t="s">
        <v>51</v>
      </c>
      <c r="F26" s="206"/>
      <c r="G26" s="208" t="s">
        <v>187</v>
      </c>
      <c r="H26" s="207">
        <v>1500</v>
      </c>
      <c r="I26" s="204">
        <v>300</v>
      </c>
      <c r="J26" s="199" t="s">
        <v>179</v>
      </c>
      <c r="K26" s="199" t="s">
        <v>43</v>
      </c>
      <c r="M26">
        <f t="shared" si="0"/>
        <v>300</v>
      </c>
      <c r="P26" s="25"/>
    </row>
    <row r="27" spans="1:17" x14ac:dyDescent="0.25">
      <c r="A27" s="198">
        <v>4</v>
      </c>
      <c r="B27" s="199" t="s">
        <v>218</v>
      </c>
      <c r="C27" s="199" t="s">
        <v>40</v>
      </c>
      <c r="D27" s="199" t="s">
        <v>152</v>
      </c>
      <c r="E27" s="199" t="s">
        <v>52</v>
      </c>
      <c r="F27" s="200" t="s">
        <v>219</v>
      </c>
      <c r="G27" s="79" t="s">
        <v>42</v>
      </c>
      <c r="H27" s="201">
        <v>2000</v>
      </c>
      <c r="I27" s="202">
        <v>400</v>
      </c>
      <c r="J27" s="199" t="s">
        <v>179</v>
      </c>
      <c r="K27" s="199" t="s">
        <v>43</v>
      </c>
      <c r="M27">
        <f t="shared" si="0"/>
        <v>400</v>
      </c>
    </row>
    <row r="28" spans="1:17" x14ac:dyDescent="0.25">
      <c r="A28" s="198">
        <v>4</v>
      </c>
      <c r="B28" s="199" t="s">
        <v>220</v>
      </c>
      <c r="C28" s="199" t="s">
        <v>40</v>
      </c>
      <c r="D28" s="199" t="s">
        <v>156</v>
      </c>
      <c r="E28" s="199" t="s">
        <v>44</v>
      </c>
      <c r="F28" s="200" t="s">
        <v>221</v>
      </c>
      <c r="G28" s="79" t="s">
        <v>187</v>
      </c>
      <c r="H28" s="201">
        <v>1500</v>
      </c>
      <c r="I28" s="202">
        <v>300</v>
      </c>
      <c r="J28" s="199" t="s">
        <v>179</v>
      </c>
      <c r="K28" s="199" t="s">
        <v>43</v>
      </c>
      <c r="M28">
        <f t="shared" si="0"/>
        <v>300</v>
      </c>
      <c r="P28" s="25"/>
    </row>
    <row r="29" spans="1:17" x14ac:dyDescent="0.25">
      <c r="A29" s="198">
        <v>4</v>
      </c>
      <c r="B29" s="199" t="s">
        <v>222</v>
      </c>
      <c r="C29" s="199" t="s">
        <v>40</v>
      </c>
      <c r="D29" s="199" t="s">
        <v>146</v>
      </c>
      <c r="E29" s="199" t="s">
        <v>57</v>
      </c>
      <c r="F29" s="200" t="s">
        <v>223</v>
      </c>
      <c r="G29" s="79" t="s">
        <v>187</v>
      </c>
      <c r="H29" s="201">
        <v>500</v>
      </c>
      <c r="I29" s="202">
        <v>100</v>
      </c>
      <c r="J29" s="199" t="s">
        <v>179</v>
      </c>
      <c r="K29" s="199" t="s">
        <v>43</v>
      </c>
      <c r="M29">
        <f t="shared" si="0"/>
        <v>100</v>
      </c>
    </row>
    <row r="30" spans="1:17" x14ac:dyDescent="0.25">
      <c r="A30" s="198">
        <v>4</v>
      </c>
      <c r="B30" s="199" t="s">
        <v>161</v>
      </c>
      <c r="C30" s="199" t="s">
        <v>40</v>
      </c>
      <c r="D30" s="199" t="s">
        <v>76</v>
      </c>
      <c r="E30" s="199" t="s">
        <v>44</v>
      </c>
      <c r="F30" s="200" t="s">
        <v>224</v>
      </c>
      <c r="G30" s="79" t="s">
        <v>163</v>
      </c>
      <c r="H30" s="201">
        <v>1500</v>
      </c>
      <c r="I30" s="202">
        <v>1500</v>
      </c>
      <c r="J30" s="199" t="s">
        <v>179</v>
      </c>
      <c r="K30" s="199" t="s">
        <v>43</v>
      </c>
      <c r="M30">
        <f t="shared" si="0"/>
        <v>300</v>
      </c>
    </row>
    <row r="31" spans="1:17" x14ac:dyDescent="0.25">
      <c r="A31" s="198">
        <v>4</v>
      </c>
      <c r="B31" s="199" t="s">
        <v>225</v>
      </c>
      <c r="C31" s="199" t="s">
        <v>40</v>
      </c>
      <c r="D31" s="199" t="s">
        <v>63</v>
      </c>
      <c r="E31" s="199" t="s">
        <v>65</v>
      </c>
      <c r="F31" s="200"/>
      <c r="G31" s="79" t="s">
        <v>163</v>
      </c>
      <c r="H31" s="201">
        <v>500</v>
      </c>
      <c r="I31" s="202">
        <v>70</v>
      </c>
      <c r="J31" s="199" t="s">
        <v>179</v>
      </c>
      <c r="K31" s="199" t="s">
        <v>43</v>
      </c>
      <c r="M31">
        <f t="shared" si="0"/>
        <v>100</v>
      </c>
    </row>
    <row r="32" spans="1:17" x14ac:dyDescent="0.25">
      <c r="A32" s="198">
        <v>4</v>
      </c>
      <c r="B32" s="199" t="s">
        <v>226</v>
      </c>
      <c r="C32" s="199" t="s">
        <v>40</v>
      </c>
      <c r="D32" s="199" t="s">
        <v>158</v>
      </c>
      <c r="E32" s="199" t="s">
        <v>57</v>
      </c>
      <c r="F32" s="200" t="s">
        <v>227</v>
      </c>
      <c r="G32" s="79" t="s">
        <v>163</v>
      </c>
      <c r="H32" s="201">
        <v>300</v>
      </c>
      <c r="I32" s="202">
        <v>300</v>
      </c>
      <c r="J32" s="199" t="s">
        <v>179</v>
      </c>
      <c r="K32" s="199" t="s">
        <v>43</v>
      </c>
      <c r="M32">
        <f t="shared" si="0"/>
        <v>60</v>
      </c>
    </row>
    <row r="33" spans="1:13" x14ac:dyDescent="0.25">
      <c r="A33" s="198">
        <v>4</v>
      </c>
      <c r="B33" s="199" t="s">
        <v>228</v>
      </c>
      <c r="C33" s="199" t="s">
        <v>40</v>
      </c>
      <c r="D33" s="199" t="s">
        <v>142</v>
      </c>
      <c r="E33" s="199" t="s">
        <v>57</v>
      </c>
      <c r="F33" s="200" t="s">
        <v>229</v>
      </c>
      <c r="G33" s="79" t="s">
        <v>163</v>
      </c>
      <c r="H33" s="201">
        <v>1000</v>
      </c>
      <c r="I33" s="202">
        <v>1000</v>
      </c>
      <c r="J33" s="199" t="s">
        <v>179</v>
      </c>
      <c r="K33" s="199" t="s">
        <v>43</v>
      </c>
      <c r="M33">
        <f t="shared" si="0"/>
        <v>200</v>
      </c>
    </row>
    <row r="34" spans="1:13" x14ac:dyDescent="0.25">
      <c r="A34" s="198">
        <v>4</v>
      </c>
      <c r="B34" s="199" t="s">
        <v>228</v>
      </c>
      <c r="C34" s="199" t="s">
        <v>40</v>
      </c>
      <c r="D34" s="199" t="s">
        <v>142</v>
      </c>
      <c r="E34" s="199" t="s">
        <v>57</v>
      </c>
      <c r="F34" s="200" t="s">
        <v>229</v>
      </c>
      <c r="G34" s="79" t="s">
        <v>180</v>
      </c>
      <c r="H34" s="201">
        <v>500</v>
      </c>
      <c r="I34" s="202">
        <v>250</v>
      </c>
      <c r="J34" s="199" t="s">
        <v>179</v>
      </c>
      <c r="K34" s="199" t="s">
        <v>43</v>
      </c>
      <c r="M34">
        <f t="shared" si="0"/>
        <v>100</v>
      </c>
    </row>
    <row r="35" spans="1:13" x14ac:dyDescent="0.25">
      <c r="A35" s="198">
        <v>5</v>
      </c>
      <c r="B35" s="199" t="s">
        <v>230</v>
      </c>
      <c r="C35" s="199" t="s">
        <v>40</v>
      </c>
      <c r="D35" s="199"/>
      <c r="E35" s="199" t="s">
        <v>64</v>
      </c>
      <c r="F35" s="200"/>
      <c r="G35" s="79" t="s">
        <v>42</v>
      </c>
      <c r="H35" s="201">
        <v>200</v>
      </c>
      <c r="I35" s="202">
        <v>40</v>
      </c>
      <c r="J35" s="199" t="s">
        <v>179</v>
      </c>
      <c r="K35" s="199" t="s">
        <v>43</v>
      </c>
      <c r="M35">
        <f t="shared" si="0"/>
        <v>40</v>
      </c>
    </row>
    <row r="36" spans="1:13" x14ac:dyDescent="0.25">
      <c r="A36" s="198">
        <v>5</v>
      </c>
      <c r="B36" s="199" t="s">
        <v>231</v>
      </c>
      <c r="C36" s="199" t="s">
        <v>40</v>
      </c>
      <c r="D36" s="199" t="s">
        <v>144</v>
      </c>
      <c r="E36" s="199" t="s">
        <v>53</v>
      </c>
      <c r="F36" s="200" t="s">
        <v>232</v>
      </c>
      <c r="G36" s="79" t="s">
        <v>163</v>
      </c>
      <c r="H36" s="201">
        <v>160</v>
      </c>
      <c r="I36" s="202">
        <v>160</v>
      </c>
      <c r="J36" s="199" t="s">
        <v>179</v>
      </c>
      <c r="K36" s="199" t="s">
        <v>43</v>
      </c>
      <c r="M36">
        <f t="shared" si="0"/>
        <v>32</v>
      </c>
    </row>
    <row r="37" spans="1:13" x14ac:dyDescent="0.25">
      <c r="A37" s="198">
        <v>5</v>
      </c>
      <c r="B37" s="199" t="s">
        <v>233</v>
      </c>
      <c r="C37" s="199" t="s">
        <v>40</v>
      </c>
      <c r="D37" s="199" t="s">
        <v>144</v>
      </c>
      <c r="E37" s="199" t="s">
        <v>57</v>
      </c>
      <c r="F37" s="200" t="s">
        <v>234</v>
      </c>
      <c r="G37" s="79" t="s">
        <v>187</v>
      </c>
      <c r="H37" s="201">
        <v>3000</v>
      </c>
      <c r="I37" s="202">
        <v>600</v>
      </c>
      <c r="J37" s="199" t="s">
        <v>179</v>
      </c>
      <c r="K37" s="199" t="s">
        <v>43</v>
      </c>
      <c r="M37">
        <f t="shared" si="0"/>
        <v>600</v>
      </c>
    </row>
    <row r="38" spans="1:13" x14ac:dyDescent="0.25">
      <c r="A38" s="198">
        <v>5</v>
      </c>
      <c r="B38" s="199" t="s">
        <v>235</v>
      </c>
      <c r="C38" s="199" t="s">
        <v>40</v>
      </c>
      <c r="D38" s="199" t="s">
        <v>160</v>
      </c>
      <c r="E38" s="199" t="s">
        <v>44</v>
      </c>
      <c r="F38" s="200" t="s">
        <v>236</v>
      </c>
      <c r="G38" s="199" t="s">
        <v>180</v>
      </c>
      <c r="H38" s="209">
        <v>200</v>
      </c>
      <c r="I38" s="210">
        <v>100</v>
      </c>
      <c r="J38" s="199" t="s">
        <v>179</v>
      </c>
      <c r="K38" s="199" t="s">
        <v>43</v>
      </c>
      <c r="M38">
        <f t="shared" si="0"/>
        <v>40</v>
      </c>
    </row>
    <row r="39" spans="1:13" x14ac:dyDescent="0.25">
      <c r="A39" s="198">
        <v>5</v>
      </c>
      <c r="B39" s="199" t="s">
        <v>237</v>
      </c>
      <c r="C39" s="199" t="s">
        <v>40</v>
      </c>
      <c r="D39" s="199" t="s">
        <v>238</v>
      </c>
      <c r="E39" s="199" t="s">
        <v>67</v>
      </c>
      <c r="F39" s="200"/>
      <c r="G39" s="199" t="s">
        <v>187</v>
      </c>
      <c r="H39" s="209">
        <v>1000</v>
      </c>
      <c r="I39" s="210">
        <v>200</v>
      </c>
      <c r="J39" s="199" t="s">
        <v>179</v>
      </c>
      <c r="K39" s="199" t="s">
        <v>43</v>
      </c>
      <c r="M39">
        <f t="shared" si="0"/>
        <v>200</v>
      </c>
    </row>
    <row r="40" spans="1:13" x14ac:dyDescent="0.25">
      <c r="A40" s="198">
        <v>5</v>
      </c>
      <c r="B40" s="199" t="s">
        <v>239</v>
      </c>
      <c r="C40" s="199" t="s">
        <v>40</v>
      </c>
      <c r="D40" s="199" t="s">
        <v>151</v>
      </c>
      <c r="E40" s="199" t="s">
        <v>52</v>
      </c>
      <c r="F40" s="200" t="s">
        <v>240</v>
      </c>
      <c r="G40" s="199" t="s">
        <v>187</v>
      </c>
      <c r="H40" s="209">
        <v>1000</v>
      </c>
      <c r="I40" s="210">
        <v>200</v>
      </c>
      <c r="J40" s="199" t="s">
        <v>179</v>
      </c>
      <c r="K40" s="199" t="s">
        <v>43</v>
      </c>
      <c r="M40">
        <f t="shared" si="0"/>
        <v>200</v>
      </c>
    </row>
    <row r="41" spans="1:13" x14ac:dyDescent="0.25">
      <c r="A41" s="198">
        <v>5</v>
      </c>
      <c r="B41" s="199" t="s">
        <v>241</v>
      </c>
      <c r="C41" s="199" t="s">
        <v>40</v>
      </c>
      <c r="D41" s="199" t="s">
        <v>178</v>
      </c>
      <c r="E41" s="199" t="s">
        <v>62</v>
      </c>
      <c r="F41" s="200" t="s">
        <v>164</v>
      </c>
      <c r="G41" s="199" t="s">
        <v>163</v>
      </c>
      <c r="H41" s="209">
        <v>1000</v>
      </c>
      <c r="I41" s="210">
        <v>1000</v>
      </c>
      <c r="J41" s="199" t="s">
        <v>179</v>
      </c>
      <c r="K41" s="199" t="s">
        <v>43</v>
      </c>
      <c r="M41">
        <f t="shared" si="0"/>
        <v>200</v>
      </c>
    </row>
    <row r="42" spans="1:13" x14ac:dyDescent="0.25">
      <c r="A42" s="198">
        <v>5</v>
      </c>
      <c r="B42" s="199" t="s">
        <v>242</v>
      </c>
      <c r="C42" s="199" t="s">
        <v>40</v>
      </c>
      <c r="D42" s="199" t="s">
        <v>149</v>
      </c>
      <c r="E42" s="199" t="s">
        <v>60</v>
      </c>
      <c r="F42" s="200" t="s">
        <v>243</v>
      </c>
      <c r="G42" s="199" t="s">
        <v>187</v>
      </c>
      <c r="H42" s="209">
        <v>1000</v>
      </c>
      <c r="I42" s="210">
        <v>200</v>
      </c>
      <c r="J42" s="199" t="s">
        <v>179</v>
      </c>
      <c r="K42" s="199" t="s">
        <v>43</v>
      </c>
      <c r="M42">
        <f t="shared" si="0"/>
        <v>200</v>
      </c>
    </row>
    <row r="43" spans="1:13" x14ac:dyDescent="0.25">
      <c r="A43" s="198">
        <v>5</v>
      </c>
      <c r="B43" s="199" t="s">
        <v>244</v>
      </c>
      <c r="C43" s="199" t="s">
        <v>48</v>
      </c>
      <c r="D43" s="199" t="s">
        <v>141</v>
      </c>
      <c r="E43" s="199" t="s">
        <v>45</v>
      </c>
      <c r="F43" s="200" t="s">
        <v>245</v>
      </c>
      <c r="G43" s="199" t="s">
        <v>187</v>
      </c>
      <c r="H43" s="209">
        <v>3000</v>
      </c>
      <c r="I43" s="210">
        <v>600</v>
      </c>
      <c r="J43" s="199" t="s">
        <v>179</v>
      </c>
      <c r="K43" s="199" t="s">
        <v>43</v>
      </c>
      <c r="M43">
        <f t="shared" si="0"/>
        <v>600</v>
      </c>
    </row>
    <row r="44" spans="1:13" x14ac:dyDescent="0.25">
      <c r="A44" s="198">
        <v>5</v>
      </c>
      <c r="B44" s="199" t="s">
        <v>246</v>
      </c>
      <c r="C44" s="199" t="s">
        <v>40</v>
      </c>
      <c r="D44" s="199" t="s">
        <v>67</v>
      </c>
      <c r="E44" s="199" t="s">
        <v>60</v>
      </c>
      <c r="F44" s="200" t="s">
        <v>247</v>
      </c>
      <c r="G44" s="199" t="s">
        <v>163</v>
      </c>
      <c r="H44" s="209">
        <v>200</v>
      </c>
      <c r="I44" s="210">
        <v>200</v>
      </c>
      <c r="J44" s="199" t="s">
        <v>179</v>
      </c>
      <c r="K44" s="199" t="s">
        <v>43</v>
      </c>
      <c r="M44">
        <f t="shared" si="0"/>
        <v>40</v>
      </c>
    </row>
    <row r="45" spans="1:13" x14ac:dyDescent="0.25">
      <c r="A45" s="198">
        <v>5</v>
      </c>
      <c r="B45" s="199" t="s">
        <v>248</v>
      </c>
      <c r="C45" s="199" t="s">
        <v>40</v>
      </c>
      <c r="D45" s="199" t="s">
        <v>155</v>
      </c>
      <c r="E45" s="199" t="s">
        <v>49</v>
      </c>
      <c r="F45" s="200" t="s">
        <v>249</v>
      </c>
      <c r="G45" s="199" t="s">
        <v>163</v>
      </c>
      <c r="H45" s="209">
        <v>500</v>
      </c>
      <c r="I45" s="210">
        <v>500</v>
      </c>
      <c r="J45" s="199" t="s">
        <v>179</v>
      </c>
      <c r="K45" s="199" t="s">
        <v>43</v>
      </c>
      <c r="M45">
        <f t="shared" si="0"/>
        <v>100</v>
      </c>
    </row>
    <row r="46" spans="1:13" x14ac:dyDescent="0.25">
      <c r="A46" s="198">
        <v>5</v>
      </c>
      <c r="B46" s="199" t="s">
        <v>250</v>
      </c>
      <c r="C46" s="199" t="s">
        <v>48</v>
      </c>
      <c r="D46" s="199" t="s">
        <v>157</v>
      </c>
      <c r="E46" s="199" t="s">
        <v>50</v>
      </c>
      <c r="F46" s="200" t="s">
        <v>251</v>
      </c>
      <c r="G46" s="199" t="s">
        <v>42</v>
      </c>
      <c r="H46" s="209">
        <v>800</v>
      </c>
      <c r="I46" s="210">
        <v>160</v>
      </c>
      <c r="J46" s="199" t="s">
        <v>179</v>
      </c>
      <c r="K46" s="199" t="s">
        <v>43</v>
      </c>
      <c r="M46">
        <f t="shared" si="0"/>
        <v>160</v>
      </c>
    </row>
    <row r="47" spans="1:13" x14ac:dyDescent="0.25">
      <c r="A47" s="203">
        <v>9</v>
      </c>
      <c r="B47" s="205" t="s">
        <v>256</v>
      </c>
      <c r="C47" s="205" t="s">
        <v>40</v>
      </c>
      <c r="D47" s="205" t="s">
        <v>257</v>
      </c>
      <c r="E47" s="205" t="s">
        <v>73</v>
      </c>
      <c r="F47" s="206"/>
      <c r="G47" s="205" t="s">
        <v>187</v>
      </c>
      <c r="H47" s="211">
        <v>50</v>
      </c>
      <c r="I47" s="210">
        <v>10</v>
      </c>
      <c r="J47" s="199" t="s">
        <v>179</v>
      </c>
      <c r="K47" s="199" t="s">
        <v>43</v>
      </c>
      <c r="M47">
        <f t="shared" si="0"/>
        <v>10</v>
      </c>
    </row>
    <row r="48" spans="1:13" x14ac:dyDescent="0.25">
      <c r="A48" s="203">
        <v>9</v>
      </c>
      <c r="B48" s="205" t="s">
        <v>256</v>
      </c>
      <c r="C48" s="205" t="s">
        <v>40</v>
      </c>
      <c r="D48" s="205" t="s">
        <v>257</v>
      </c>
      <c r="E48" s="205" t="s">
        <v>73</v>
      </c>
      <c r="F48" s="206"/>
      <c r="G48" s="205" t="s">
        <v>163</v>
      </c>
      <c r="H48" s="211">
        <v>50</v>
      </c>
      <c r="I48" s="210">
        <v>50</v>
      </c>
      <c r="J48" s="199" t="s">
        <v>179</v>
      </c>
      <c r="K48" s="199" t="s">
        <v>43</v>
      </c>
      <c r="M48">
        <f t="shared" si="0"/>
        <v>10</v>
      </c>
    </row>
    <row r="49" spans="1:17" x14ac:dyDescent="0.25">
      <c r="A49" s="203">
        <v>9</v>
      </c>
      <c r="B49" s="205" t="s">
        <v>258</v>
      </c>
      <c r="C49" s="205" t="s">
        <v>48</v>
      </c>
      <c r="D49" s="205" t="s">
        <v>143</v>
      </c>
      <c r="E49" s="205" t="s">
        <v>45</v>
      </c>
      <c r="F49" s="206"/>
      <c r="G49" s="205" t="s">
        <v>187</v>
      </c>
      <c r="H49" s="211">
        <v>1000</v>
      </c>
      <c r="I49" s="210">
        <v>200</v>
      </c>
      <c r="J49" s="199" t="s">
        <v>179</v>
      </c>
      <c r="K49" s="199" t="s">
        <v>43</v>
      </c>
      <c r="M49">
        <f t="shared" si="0"/>
        <v>200</v>
      </c>
    </row>
    <row r="50" spans="1:17" x14ac:dyDescent="0.25">
      <c r="A50" s="203">
        <v>9</v>
      </c>
      <c r="B50" s="205" t="s">
        <v>259</v>
      </c>
      <c r="C50" s="205" t="s">
        <v>40</v>
      </c>
      <c r="D50" s="205" t="s">
        <v>260</v>
      </c>
      <c r="E50" s="205" t="s">
        <v>49</v>
      </c>
      <c r="F50" s="206" t="s">
        <v>261</v>
      </c>
      <c r="G50" s="205" t="s">
        <v>163</v>
      </c>
      <c r="H50" s="211">
        <v>500</v>
      </c>
      <c r="I50" s="210">
        <v>500</v>
      </c>
      <c r="J50" s="199" t="s">
        <v>179</v>
      </c>
      <c r="K50" s="199" t="s">
        <v>43</v>
      </c>
      <c r="M50">
        <f t="shared" si="0"/>
        <v>100</v>
      </c>
    </row>
    <row r="51" spans="1:17" x14ac:dyDescent="0.25">
      <c r="A51" s="203">
        <v>9</v>
      </c>
      <c r="B51" s="205" t="s">
        <v>262</v>
      </c>
      <c r="C51" s="205" t="s">
        <v>40</v>
      </c>
      <c r="D51" s="205" t="s">
        <v>263</v>
      </c>
      <c r="E51" s="205" t="s">
        <v>53</v>
      </c>
      <c r="F51" s="206" t="s">
        <v>264</v>
      </c>
      <c r="G51" s="205" t="s">
        <v>163</v>
      </c>
      <c r="H51" s="211">
        <v>1000</v>
      </c>
      <c r="I51" s="210">
        <v>1000</v>
      </c>
      <c r="J51" s="199" t="s">
        <v>179</v>
      </c>
      <c r="K51" s="199" t="s">
        <v>43</v>
      </c>
      <c r="M51">
        <f t="shared" si="0"/>
        <v>200</v>
      </c>
    </row>
    <row r="52" spans="1:17" x14ac:dyDescent="0.25">
      <c r="A52" s="203">
        <v>9</v>
      </c>
      <c r="B52" s="205" t="s">
        <v>265</v>
      </c>
      <c r="C52" s="205" t="s">
        <v>40</v>
      </c>
      <c r="D52" s="205" t="s">
        <v>266</v>
      </c>
      <c r="E52" s="205" t="s">
        <v>64</v>
      </c>
      <c r="F52" s="206" t="s">
        <v>267</v>
      </c>
      <c r="G52" s="205" t="s">
        <v>163</v>
      </c>
      <c r="H52" s="211">
        <v>3000</v>
      </c>
      <c r="I52" s="210">
        <v>3000</v>
      </c>
      <c r="J52" s="199" t="s">
        <v>179</v>
      </c>
      <c r="K52" s="199" t="s">
        <v>43</v>
      </c>
      <c r="M52">
        <f t="shared" si="0"/>
        <v>600</v>
      </c>
    </row>
    <row r="53" spans="1:17" x14ac:dyDescent="0.25">
      <c r="A53" s="203">
        <v>9</v>
      </c>
      <c r="B53" s="205" t="s">
        <v>268</v>
      </c>
      <c r="C53" s="205" t="s">
        <v>40</v>
      </c>
      <c r="D53" s="205" t="s">
        <v>269</v>
      </c>
      <c r="E53" s="205" t="s">
        <v>53</v>
      </c>
      <c r="F53" s="206" t="s">
        <v>270</v>
      </c>
      <c r="G53" s="205" t="s">
        <v>163</v>
      </c>
      <c r="H53" s="211">
        <v>5000</v>
      </c>
      <c r="I53" s="210">
        <v>5000</v>
      </c>
      <c r="J53" s="199" t="s">
        <v>179</v>
      </c>
      <c r="K53" s="199" t="s">
        <v>43</v>
      </c>
      <c r="M53">
        <f t="shared" si="0"/>
        <v>1000</v>
      </c>
    </row>
    <row r="54" spans="1:17" x14ac:dyDescent="0.25">
      <c r="A54" s="203">
        <v>9</v>
      </c>
      <c r="B54" s="205" t="s">
        <v>271</v>
      </c>
      <c r="C54" s="205" t="s">
        <v>48</v>
      </c>
      <c r="D54" s="205" t="s">
        <v>272</v>
      </c>
      <c r="E54" s="205" t="s">
        <v>44</v>
      </c>
      <c r="F54" s="206" t="s">
        <v>273</v>
      </c>
      <c r="G54" s="205" t="s">
        <v>187</v>
      </c>
      <c r="H54" s="211">
        <v>3000</v>
      </c>
      <c r="I54" s="210">
        <v>600</v>
      </c>
      <c r="J54" s="199" t="s">
        <v>179</v>
      </c>
      <c r="K54" s="199" t="s">
        <v>43</v>
      </c>
      <c r="M54">
        <f t="shared" si="0"/>
        <v>600</v>
      </c>
    </row>
    <row r="55" spans="1:17" x14ac:dyDescent="0.25">
      <c r="A55" s="203">
        <v>9</v>
      </c>
      <c r="B55" s="205" t="s">
        <v>274</v>
      </c>
      <c r="C55" s="205" t="s">
        <v>40</v>
      </c>
      <c r="D55" s="205" t="s">
        <v>144</v>
      </c>
      <c r="E55" s="205" t="s">
        <v>57</v>
      </c>
      <c r="F55" s="206" t="s">
        <v>275</v>
      </c>
      <c r="G55" s="205" t="s">
        <v>163</v>
      </c>
      <c r="H55" s="211">
        <v>4000</v>
      </c>
      <c r="I55" s="210">
        <v>4000</v>
      </c>
      <c r="J55" s="199" t="s">
        <v>179</v>
      </c>
      <c r="K55" s="199" t="s">
        <v>43</v>
      </c>
      <c r="M55">
        <f t="shared" si="0"/>
        <v>800</v>
      </c>
    </row>
    <row r="56" spans="1:17" x14ac:dyDescent="0.25">
      <c r="A56" s="203">
        <v>9</v>
      </c>
      <c r="B56" s="205" t="s">
        <v>276</v>
      </c>
      <c r="C56" s="205" t="s">
        <v>40</v>
      </c>
      <c r="D56" s="205" t="s">
        <v>158</v>
      </c>
      <c r="E56" s="205" t="s">
        <v>57</v>
      </c>
      <c r="F56" s="206" t="s">
        <v>277</v>
      </c>
      <c r="G56" s="205" t="s">
        <v>163</v>
      </c>
      <c r="H56" s="211">
        <v>200</v>
      </c>
      <c r="I56" s="210">
        <v>200</v>
      </c>
      <c r="J56" s="199" t="s">
        <v>179</v>
      </c>
      <c r="K56" s="199" t="s">
        <v>43</v>
      </c>
      <c r="M56">
        <f t="shared" si="0"/>
        <v>40</v>
      </c>
    </row>
    <row r="57" spans="1:17" x14ac:dyDescent="0.25">
      <c r="A57" s="203">
        <v>10</v>
      </c>
      <c r="B57" s="205" t="s">
        <v>278</v>
      </c>
      <c r="C57" s="205" t="s">
        <v>40</v>
      </c>
      <c r="D57" s="205" t="s">
        <v>279</v>
      </c>
      <c r="E57" s="205" t="s">
        <v>82</v>
      </c>
      <c r="F57" s="206" t="s">
        <v>280</v>
      </c>
      <c r="G57" s="205" t="s">
        <v>163</v>
      </c>
      <c r="H57" s="211">
        <v>2000</v>
      </c>
      <c r="I57" s="210">
        <v>2000</v>
      </c>
      <c r="J57" s="199" t="s">
        <v>179</v>
      </c>
      <c r="K57" s="199" t="s">
        <v>43</v>
      </c>
      <c r="M57">
        <f t="shared" si="0"/>
        <v>400</v>
      </c>
    </row>
    <row r="58" spans="1:17" x14ac:dyDescent="0.25">
      <c r="A58" s="203">
        <v>10</v>
      </c>
      <c r="B58" s="205" t="s">
        <v>281</v>
      </c>
      <c r="C58" s="205" t="s">
        <v>40</v>
      </c>
      <c r="D58" s="205" t="s">
        <v>282</v>
      </c>
      <c r="E58" s="205" t="s">
        <v>52</v>
      </c>
      <c r="F58" s="206" t="s">
        <v>283</v>
      </c>
      <c r="G58" s="205" t="s">
        <v>187</v>
      </c>
      <c r="H58" s="211">
        <v>500</v>
      </c>
      <c r="I58" s="210">
        <v>100</v>
      </c>
      <c r="J58" s="199" t="s">
        <v>179</v>
      </c>
      <c r="K58" s="199" t="s">
        <v>43</v>
      </c>
      <c r="M58">
        <f t="shared" si="0"/>
        <v>100</v>
      </c>
    </row>
    <row r="59" spans="1:17" x14ac:dyDescent="0.25">
      <c r="A59" s="203">
        <v>10</v>
      </c>
      <c r="B59" s="205" t="s">
        <v>284</v>
      </c>
      <c r="C59" s="205" t="s">
        <v>40</v>
      </c>
      <c r="D59" s="205" t="s">
        <v>285</v>
      </c>
      <c r="E59" s="205" t="s">
        <v>83</v>
      </c>
      <c r="F59" s="206" t="s">
        <v>286</v>
      </c>
      <c r="G59" s="205" t="s">
        <v>187</v>
      </c>
      <c r="H59" s="211">
        <v>1000</v>
      </c>
      <c r="I59" s="210">
        <v>200</v>
      </c>
      <c r="J59" s="199" t="s">
        <v>179</v>
      </c>
      <c r="K59" s="199" t="s">
        <v>43</v>
      </c>
      <c r="M59">
        <f t="shared" si="0"/>
        <v>200</v>
      </c>
    </row>
    <row r="60" spans="1:17" x14ac:dyDescent="0.25">
      <c r="A60" s="203">
        <v>11</v>
      </c>
      <c r="B60" s="205" t="s">
        <v>287</v>
      </c>
      <c r="C60" s="205" t="s">
        <v>40</v>
      </c>
      <c r="D60" s="205" t="s">
        <v>288</v>
      </c>
      <c r="E60" s="205" t="s">
        <v>53</v>
      </c>
      <c r="F60" s="206" t="s">
        <v>289</v>
      </c>
      <c r="G60" s="205" t="s">
        <v>163</v>
      </c>
      <c r="H60" s="211">
        <v>1000</v>
      </c>
      <c r="I60" s="210">
        <v>1000</v>
      </c>
      <c r="J60" s="199" t="s">
        <v>179</v>
      </c>
      <c r="K60" s="199" t="s">
        <v>43</v>
      </c>
      <c r="M60">
        <f t="shared" si="0"/>
        <v>200</v>
      </c>
    </row>
    <row r="61" spans="1:17" x14ac:dyDescent="0.25">
      <c r="A61" s="203">
        <v>11</v>
      </c>
      <c r="B61" s="205" t="s">
        <v>290</v>
      </c>
      <c r="C61" s="205" t="s">
        <v>40</v>
      </c>
      <c r="D61" s="205" t="s">
        <v>291</v>
      </c>
      <c r="E61" s="205" t="s">
        <v>45</v>
      </c>
      <c r="F61" s="206" t="s">
        <v>292</v>
      </c>
      <c r="G61" s="205" t="s">
        <v>187</v>
      </c>
      <c r="H61" s="211">
        <v>150</v>
      </c>
      <c r="I61" s="210">
        <v>30</v>
      </c>
      <c r="J61" s="199" t="s">
        <v>179</v>
      </c>
      <c r="K61" s="199" t="s">
        <v>43</v>
      </c>
      <c r="M61">
        <f t="shared" si="0"/>
        <v>30</v>
      </c>
    </row>
    <row r="62" spans="1:17" x14ac:dyDescent="0.25">
      <c r="A62" s="198">
        <v>12</v>
      </c>
      <c r="B62" s="199" t="s">
        <v>293</v>
      </c>
      <c r="C62" s="199" t="s">
        <v>40</v>
      </c>
      <c r="D62" s="199" t="s">
        <v>294</v>
      </c>
      <c r="E62" s="199" t="s">
        <v>52</v>
      </c>
      <c r="F62" s="200" t="s">
        <v>295</v>
      </c>
      <c r="G62" s="199" t="s">
        <v>187</v>
      </c>
      <c r="H62" s="209">
        <v>3000</v>
      </c>
      <c r="I62" s="210">
        <v>600</v>
      </c>
      <c r="J62" s="199" t="s">
        <v>179</v>
      </c>
      <c r="K62" s="199" t="s">
        <v>43</v>
      </c>
      <c r="M62">
        <f t="shared" si="0"/>
        <v>600</v>
      </c>
      <c r="Q62">
        <v>100</v>
      </c>
    </row>
    <row r="63" spans="1:17" x14ac:dyDescent="0.25">
      <c r="A63" s="198">
        <v>12</v>
      </c>
      <c r="B63" s="199" t="s">
        <v>296</v>
      </c>
      <c r="C63" s="199" t="s">
        <v>40</v>
      </c>
      <c r="D63" s="199" t="s">
        <v>297</v>
      </c>
      <c r="E63" s="199" t="s">
        <v>46</v>
      </c>
      <c r="F63" s="200"/>
      <c r="G63" s="199" t="s">
        <v>187</v>
      </c>
      <c r="H63" s="209">
        <v>600</v>
      </c>
      <c r="I63" s="210">
        <v>120</v>
      </c>
      <c r="J63" s="199" t="s">
        <v>179</v>
      </c>
      <c r="K63" s="199" t="s">
        <v>43</v>
      </c>
      <c r="M63">
        <f t="shared" si="0"/>
        <v>120</v>
      </c>
    </row>
    <row r="64" spans="1:17" x14ac:dyDescent="0.25">
      <c r="A64" s="198">
        <v>12</v>
      </c>
      <c r="B64" s="79" t="s">
        <v>298</v>
      </c>
      <c r="C64" s="199" t="s">
        <v>40</v>
      </c>
      <c r="D64" s="199" t="s">
        <v>299</v>
      </c>
      <c r="E64" s="199" t="s">
        <v>45</v>
      </c>
      <c r="F64" s="200" t="s">
        <v>300</v>
      </c>
      <c r="G64" s="199" t="s">
        <v>187</v>
      </c>
      <c r="H64" s="209">
        <v>500</v>
      </c>
      <c r="I64" s="210">
        <v>100</v>
      </c>
      <c r="J64" s="199" t="s">
        <v>179</v>
      </c>
      <c r="K64" s="199" t="s">
        <v>43</v>
      </c>
      <c r="M64">
        <f t="shared" si="0"/>
        <v>100</v>
      </c>
    </row>
    <row r="65" spans="1:13" x14ac:dyDescent="0.25">
      <c r="A65" s="198">
        <v>12</v>
      </c>
      <c r="B65" s="79" t="s">
        <v>301</v>
      </c>
      <c r="C65" s="199" t="s">
        <v>40</v>
      </c>
      <c r="D65" s="199" t="s">
        <v>302</v>
      </c>
      <c r="E65" s="199" t="s">
        <v>57</v>
      </c>
      <c r="F65" s="200"/>
      <c r="G65" s="199" t="s">
        <v>42</v>
      </c>
      <c r="H65" s="209">
        <v>3000</v>
      </c>
      <c r="I65" s="210">
        <v>600</v>
      </c>
      <c r="J65" s="199" t="s">
        <v>179</v>
      </c>
      <c r="K65" s="199" t="s">
        <v>43</v>
      </c>
    </row>
    <row r="66" spans="1:13" x14ac:dyDescent="0.25">
      <c r="A66" s="230">
        <v>12</v>
      </c>
      <c r="B66" s="79" t="s">
        <v>303</v>
      </c>
      <c r="C66" s="199" t="s">
        <v>40</v>
      </c>
      <c r="D66" s="199" t="s">
        <v>304</v>
      </c>
      <c r="E66" s="199" t="s">
        <v>65</v>
      </c>
      <c r="F66" s="200"/>
      <c r="G66" s="199" t="s">
        <v>163</v>
      </c>
      <c r="H66" s="209">
        <v>1500</v>
      </c>
      <c r="I66" s="210">
        <v>1500</v>
      </c>
      <c r="J66" s="199" t="s">
        <v>179</v>
      </c>
      <c r="K66" s="199" t="s">
        <v>43</v>
      </c>
      <c r="M66">
        <f t="shared" si="0"/>
        <v>300</v>
      </c>
    </row>
    <row r="67" spans="1:13" x14ac:dyDescent="0.25">
      <c r="A67" s="196">
        <v>17</v>
      </c>
      <c r="B67" s="212" t="s">
        <v>307</v>
      </c>
      <c r="C67" s="213" t="s">
        <v>48</v>
      </c>
      <c r="D67" s="213" t="s">
        <v>308</v>
      </c>
      <c r="E67" s="213" t="s">
        <v>59</v>
      </c>
      <c r="F67" s="214" t="s">
        <v>309</v>
      </c>
      <c r="G67" s="213" t="s">
        <v>42</v>
      </c>
      <c r="H67" s="215">
        <v>1000</v>
      </c>
      <c r="I67" s="216" t="s">
        <v>255</v>
      </c>
      <c r="J67" s="213" t="s">
        <v>179</v>
      </c>
      <c r="K67" s="213" t="s">
        <v>43</v>
      </c>
      <c r="M67">
        <f t="shared" si="0"/>
        <v>200</v>
      </c>
    </row>
    <row r="68" spans="1:13" x14ac:dyDescent="0.25">
      <c r="A68" s="197">
        <v>23</v>
      </c>
      <c r="B68" s="79" t="s">
        <v>312</v>
      </c>
      <c r="C68" s="199" t="s">
        <v>40</v>
      </c>
      <c r="D68" s="199" t="s">
        <v>313</v>
      </c>
      <c r="E68" s="199" t="s">
        <v>50</v>
      </c>
      <c r="F68" s="200"/>
      <c r="G68" s="199" t="s">
        <v>187</v>
      </c>
      <c r="H68" s="209">
        <v>100</v>
      </c>
      <c r="I68" s="210">
        <v>20</v>
      </c>
      <c r="J68" s="199" t="s">
        <v>179</v>
      </c>
      <c r="K68" s="199" t="s">
        <v>43</v>
      </c>
      <c r="M68">
        <f t="shared" si="0"/>
        <v>20</v>
      </c>
    </row>
    <row r="69" spans="1:13" x14ac:dyDescent="0.25">
      <c r="A69" s="197">
        <v>23</v>
      </c>
      <c r="B69" s="79" t="s">
        <v>314</v>
      </c>
      <c r="C69" s="199" t="s">
        <v>48</v>
      </c>
      <c r="D69" s="199" t="s">
        <v>315</v>
      </c>
      <c r="E69" s="199" t="s">
        <v>45</v>
      </c>
      <c r="F69" s="200" t="s">
        <v>316</v>
      </c>
      <c r="G69" s="199" t="s">
        <v>42</v>
      </c>
      <c r="H69" s="209">
        <v>200</v>
      </c>
      <c r="I69" s="210">
        <v>40</v>
      </c>
      <c r="J69" s="199" t="s">
        <v>179</v>
      </c>
      <c r="K69" s="199" t="s">
        <v>43</v>
      </c>
      <c r="M69">
        <f t="shared" si="0"/>
        <v>40</v>
      </c>
    </row>
    <row r="70" spans="1:13" x14ac:dyDescent="0.25">
      <c r="A70" s="197">
        <v>23</v>
      </c>
      <c r="B70" s="79" t="s">
        <v>314</v>
      </c>
      <c r="C70" s="199" t="s">
        <v>48</v>
      </c>
      <c r="D70" s="199" t="s">
        <v>315</v>
      </c>
      <c r="E70" s="199" t="s">
        <v>45</v>
      </c>
      <c r="F70" s="200" t="s">
        <v>316</v>
      </c>
      <c r="G70" s="199" t="s">
        <v>162</v>
      </c>
      <c r="H70" s="209">
        <v>30</v>
      </c>
      <c r="I70" s="210">
        <v>150</v>
      </c>
      <c r="J70" s="199" t="s">
        <v>179</v>
      </c>
      <c r="K70" s="199" t="s">
        <v>43</v>
      </c>
      <c r="M70">
        <f t="shared" si="0"/>
        <v>6</v>
      </c>
    </row>
    <row r="71" spans="1:13" x14ac:dyDescent="0.25">
      <c r="A71" s="197">
        <v>23</v>
      </c>
      <c r="B71" s="79" t="s">
        <v>317</v>
      </c>
      <c r="C71" s="199" t="s">
        <v>48</v>
      </c>
      <c r="D71" s="199" t="s">
        <v>318</v>
      </c>
      <c r="E71" s="199" t="s">
        <v>44</v>
      </c>
      <c r="F71" s="200"/>
      <c r="G71" s="199" t="s">
        <v>187</v>
      </c>
      <c r="H71" s="209">
        <v>200</v>
      </c>
      <c r="I71" s="210">
        <v>40</v>
      </c>
      <c r="J71" s="199" t="s">
        <v>179</v>
      </c>
      <c r="K71" s="199" t="s">
        <v>43</v>
      </c>
      <c r="M71">
        <f t="shared" si="0"/>
        <v>40</v>
      </c>
    </row>
    <row r="72" spans="1:13" x14ac:dyDescent="0.25">
      <c r="A72" s="197">
        <v>23</v>
      </c>
      <c r="B72" s="79" t="s">
        <v>317</v>
      </c>
      <c r="C72" s="199" t="s">
        <v>48</v>
      </c>
      <c r="D72" s="199" t="s">
        <v>318</v>
      </c>
      <c r="E72" s="199" t="s">
        <v>44</v>
      </c>
      <c r="F72" s="200"/>
      <c r="G72" s="199" t="s">
        <v>163</v>
      </c>
      <c r="H72" s="209">
        <v>150</v>
      </c>
      <c r="I72" s="210">
        <v>150</v>
      </c>
      <c r="J72" s="199" t="s">
        <v>179</v>
      </c>
      <c r="K72" s="199" t="s">
        <v>43</v>
      </c>
      <c r="M72">
        <f t="shared" si="0"/>
        <v>30</v>
      </c>
    </row>
    <row r="73" spans="1:13" x14ac:dyDescent="0.25">
      <c r="A73" s="197">
        <v>23</v>
      </c>
      <c r="B73" s="79" t="s">
        <v>319</v>
      </c>
      <c r="C73" s="199" t="s">
        <v>40</v>
      </c>
      <c r="D73" s="199" t="s">
        <v>320</v>
      </c>
      <c r="E73" s="199" t="s">
        <v>59</v>
      </c>
      <c r="F73" s="200"/>
      <c r="G73" s="199" t="s">
        <v>187</v>
      </c>
      <c r="H73" s="209">
        <v>500</v>
      </c>
      <c r="I73" s="210">
        <v>100</v>
      </c>
      <c r="J73" s="199" t="s">
        <v>179</v>
      </c>
      <c r="K73" s="199" t="s">
        <v>43</v>
      </c>
      <c r="M73">
        <f t="shared" si="0"/>
        <v>100</v>
      </c>
    </row>
    <row r="74" spans="1:13" x14ac:dyDescent="0.25">
      <c r="A74" s="197">
        <v>23</v>
      </c>
      <c r="B74" s="79" t="s">
        <v>321</v>
      </c>
      <c r="C74" s="199" t="s">
        <v>40</v>
      </c>
      <c r="D74" s="199" t="s">
        <v>322</v>
      </c>
      <c r="E74" s="199" t="s">
        <v>51</v>
      </c>
      <c r="F74" s="200" t="s">
        <v>323</v>
      </c>
      <c r="G74" s="199" t="s">
        <v>162</v>
      </c>
      <c r="H74" s="209">
        <v>30</v>
      </c>
      <c r="I74" s="210">
        <v>150</v>
      </c>
      <c r="J74" s="199" t="s">
        <v>179</v>
      </c>
      <c r="K74" s="199" t="s">
        <v>43</v>
      </c>
      <c r="M74">
        <f t="shared" si="0"/>
        <v>6</v>
      </c>
    </row>
    <row r="75" spans="1:13" x14ac:dyDescent="0.25">
      <c r="A75" s="197">
        <v>23</v>
      </c>
      <c r="B75" s="79" t="s">
        <v>324</v>
      </c>
      <c r="C75" s="199" t="s">
        <v>40</v>
      </c>
      <c r="D75" s="199" t="s">
        <v>325</v>
      </c>
      <c r="E75" s="199" t="s">
        <v>56</v>
      </c>
      <c r="F75" s="200" t="s">
        <v>326</v>
      </c>
      <c r="G75" s="199" t="s">
        <v>42</v>
      </c>
      <c r="H75" s="209">
        <v>5000</v>
      </c>
      <c r="I75" s="210">
        <v>1000</v>
      </c>
      <c r="J75" s="199" t="s">
        <v>179</v>
      </c>
      <c r="K75" s="199" t="s">
        <v>43</v>
      </c>
      <c r="M75">
        <f t="shared" si="0"/>
        <v>1000</v>
      </c>
    </row>
    <row r="76" spans="1:13" x14ac:dyDescent="0.25">
      <c r="A76" s="197">
        <v>24</v>
      </c>
      <c r="B76" s="79" t="s">
        <v>312</v>
      </c>
      <c r="C76" s="199" t="s">
        <v>40</v>
      </c>
      <c r="D76" s="199" t="s">
        <v>313</v>
      </c>
      <c r="E76" s="199" t="s">
        <v>50</v>
      </c>
      <c r="F76" s="200"/>
      <c r="G76" s="199" t="s">
        <v>187</v>
      </c>
      <c r="H76" s="209">
        <v>500</v>
      </c>
      <c r="I76" s="210">
        <v>100</v>
      </c>
      <c r="J76" s="199" t="s">
        <v>179</v>
      </c>
      <c r="K76" s="199" t="s">
        <v>43</v>
      </c>
      <c r="M76">
        <f t="shared" si="0"/>
        <v>100</v>
      </c>
    </row>
    <row r="77" spans="1:13" x14ac:dyDescent="0.25">
      <c r="A77" s="197">
        <v>24</v>
      </c>
      <c r="B77" s="79" t="s">
        <v>327</v>
      </c>
      <c r="C77" s="199" t="s">
        <v>40</v>
      </c>
      <c r="D77" s="199" t="s">
        <v>328</v>
      </c>
      <c r="E77" s="199" t="s">
        <v>61</v>
      </c>
      <c r="F77" s="200" t="s">
        <v>329</v>
      </c>
      <c r="G77" s="199" t="s">
        <v>163</v>
      </c>
      <c r="H77" s="209">
        <v>100</v>
      </c>
      <c r="I77" s="210">
        <v>100</v>
      </c>
      <c r="J77" s="199" t="s">
        <v>179</v>
      </c>
      <c r="K77" s="199" t="s">
        <v>43</v>
      </c>
      <c r="M77">
        <f t="shared" si="0"/>
        <v>20</v>
      </c>
    </row>
    <row r="78" spans="1:13" x14ac:dyDescent="0.25">
      <c r="A78" s="197">
        <v>24</v>
      </c>
      <c r="B78" s="79" t="s">
        <v>330</v>
      </c>
      <c r="C78" s="199" t="s">
        <v>40</v>
      </c>
      <c r="D78" s="199" t="s">
        <v>318</v>
      </c>
      <c r="E78" s="199" t="s">
        <v>44</v>
      </c>
      <c r="F78" s="200" t="s">
        <v>331</v>
      </c>
      <c r="G78" s="199" t="s">
        <v>42</v>
      </c>
      <c r="H78" s="209">
        <v>1000</v>
      </c>
      <c r="I78" s="210">
        <v>200</v>
      </c>
      <c r="J78" s="199" t="s">
        <v>179</v>
      </c>
      <c r="K78" s="199" t="s">
        <v>43</v>
      </c>
      <c r="M78">
        <f t="shared" si="0"/>
        <v>200</v>
      </c>
    </row>
    <row r="79" spans="1:13" x14ac:dyDescent="0.25">
      <c r="A79" s="197">
        <v>24</v>
      </c>
      <c r="B79" s="79" t="s">
        <v>330</v>
      </c>
      <c r="C79" s="199" t="s">
        <v>40</v>
      </c>
      <c r="D79" s="199" t="s">
        <v>318</v>
      </c>
      <c r="E79" s="199" t="s">
        <v>44</v>
      </c>
      <c r="F79" s="200" t="s">
        <v>331</v>
      </c>
      <c r="G79" s="199" t="s">
        <v>163</v>
      </c>
      <c r="H79" s="209">
        <v>120</v>
      </c>
      <c r="I79" s="210">
        <v>120</v>
      </c>
      <c r="J79" s="199" t="s">
        <v>179</v>
      </c>
      <c r="K79" s="199" t="s">
        <v>43</v>
      </c>
      <c r="M79">
        <f t="shared" si="0"/>
        <v>24</v>
      </c>
    </row>
    <row r="80" spans="1:13" x14ac:dyDescent="0.25">
      <c r="A80" s="197">
        <v>24</v>
      </c>
      <c r="B80" s="79" t="s">
        <v>330</v>
      </c>
      <c r="C80" s="199" t="s">
        <v>40</v>
      </c>
      <c r="D80" s="199" t="s">
        <v>318</v>
      </c>
      <c r="E80" s="199" t="s">
        <v>44</v>
      </c>
      <c r="F80" s="200" t="s">
        <v>331</v>
      </c>
      <c r="G80" s="199" t="s">
        <v>162</v>
      </c>
      <c r="H80" s="209">
        <v>56</v>
      </c>
      <c r="I80" s="210">
        <v>280</v>
      </c>
      <c r="J80" s="199" t="s">
        <v>179</v>
      </c>
      <c r="K80" s="199" t="s">
        <v>43</v>
      </c>
      <c r="M80">
        <f t="shared" si="0"/>
        <v>11.2</v>
      </c>
    </row>
    <row r="81" spans="1:13" x14ac:dyDescent="0.25">
      <c r="A81" s="197">
        <v>24</v>
      </c>
      <c r="B81" s="79" t="s">
        <v>332</v>
      </c>
      <c r="C81" s="199" t="s">
        <v>40</v>
      </c>
      <c r="D81" s="199" t="s">
        <v>333</v>
      </c>
      <c r="E81" s="199" t="s">
        <v>58</v>
      </c>
      <c r="F81" s="200" t="s">
        <v>334</v>
      </c>
      <c r="G81" s="199" t="s">
        <v>42</v>
      </c>
      <c r="H81" s="209">
        <v>1500</v>
      </c>
      <c r="I81" s="210">
        <v>300</v>
      </c>
      <c r="J81" s="199" t="s">
        <v>179</v>
      </c>
      <c r="K81" s="199" t="s">
        <v>43</v>
      </c>
      <c r="M81">
        <f t="shared" si="0"/>
        <v>300</v>
      </c>
    </row>
    <row r="82" spans="1:13" x14ac:dyDescent="0.25">
      <c r="A82" s="197">
        <v>24</v>
      </c>
      <c r="B82" s="79" t="s">
        <v>335</v>
      </c>
      <c r="C82" s="199" t="s">
        <v>40</v>
      </c>
      <c r="D82" s="199" t="s">
        <v>336</v>
      </c>
      <c r="E82" s="199" t="s">
        <v>50</v>
      </c>
      <c r="F82" s="200" t="s">
        <v>337</v>
      </c>
      <c r="G82" s="199" t="s">
        <v>42</v>
      </c>
      <c r="H82" s="209">
        <v>2500</v>
      </c>
      <c r="I82" s="210">
        <v>500</v>
      </c>
      <c r="J82" s="199" t="s">
        <v>179</v>
      </c>
      <c r="K82" s="199" t="s">
        <v>43</v>
      </c>
      <c r="M82">
        <f t="shared" si="0"/>
        <v>500</v>
      </c>
    </row>
    <row r="83" spans="1:13" x14ac:dyDescent="0.25">
      <c r="A83" s="197">
        <v>24</v>
      </c>
      <c r="B83" s="79" t="s">
        <v>338</v>
      </c>
      <c r="C83" s="199" t="s">
        <v>40</v>
      </c>
      <c r="D83" s="199" t="s">
        <v>339</v>
      </c>
      <c r="E83" s="199" t="s">
        <v>72</v>
      </c>
      <c r="F83" s="200" t="s">
        <v>340</v>
      </c>
      <c r="G83" s="199" t="s">
        <v>162</v>
      </c>
      <c r="H83" s="209">
        <v>40</v>
      </c>
      <c r="I83" s="210">
        <v>200</v>
      </c>
      <c r="J83" s="199" t="s">
        <v>179</v>
      </c>
      <c r="K83" s="199" t="s">
        <v>43</v>
      </c>
      <c r="M83">
        <f t="shared" si="0"/>
        <v>8</v>
      </c>
    </row>
    <row r="84" spans="1:13" x14ac:dyDescent="0.25">
      <c r="A84" s="197">
        <v>24</v>
      </c>
      <c r="B84" s="79" t="s">
        <v>341</v>
      </c>
      <c r="C84" s="199" t="s">
        <v>40</v>
      </c>
      <c r="D84" s="199" t="s">
        <v>342</v>
      </c>
      <c r="E84" s="199" t="s">
        <v>47</v>
      </c>
      <c r="F84" s="200" t="s">
        <v>343</v>
      </c>
      <c r="G84" s="199" t="s">
        <v>42</v>
      </c>
      <c r="H84" s="209">
        <v>2100</v>
      </c>
      <c r="I84" s="210">
        <v>420</v>
      </c>
      <c r="J84" s="199" t="s">
        <v>179</v>
      </c>
      <c r="K84" s="199" t="s">
        <v>43</v>
      </c>
      <c r="M84">
        <f t="shared" si="0"/>
        <v>420</v>
      </c>
    </row>
    <row r="85" spans="1:13" x14ac:dyDescent="0.25">
      <c r="A85" s="197">
        <v>24</v>
      </c>
      <c r="B85" s="79" t="s">
        <v>344</v>
      </c>
      <c r="C85" s="199" t="s">
        <v>40</v>
      </c>
      <c r="D85" s="199" t="s">
        <v>145</v>
      </c>
      <c r="E85" s="199" t="s">
        <v>50</v>
      </c>
      <c r="F85" s="200" t="s">
        <v>345</v>
      </c>
      <c r="G85" s="199" t="s">
        <v>162</v>
      </c>
      <c r="H85" s="209">
        <v>50</v>
      </c>
      <c r="I85" s="210">
        <v>250</v>
      </c>
      <c r="J85" s="199" t="s">
        <v>179</v>
      </c>
      <c r="K85" s="199" t="s">
        <v>43</v>
      </c>
      <c r="M85">
        <f t="shared" si="0"/>
        <v>10</v>
      </c>
    </row>
    <row r="86" spans="1:13" x14ac:dyDescent="0.25">
      <c r="A86" s="197">
        <v>24</v>
      </c>
      <c r="B86" s="79" t="s">
        <v>346</v>
      </c>
      <c r="C86" s="199" t="s">
        <v>40</v>
      </c>
      <c r="D86" s="199" t="s">
        <v>144</v>
      </c>
      <c r="E86" s="199" t="s">
        <v>50</v>
      </c>
      <c r="F86" s="200" t="s">
        <v>347</v>
      </c>
      <c r="G86" s="199" t="s">
        <v>162</v>
      </c>
      <c r="H86" s="209">
        <v>60</v>
      </c>
      <c r="I86" s="210">
        <v>300</v>
      </c>
      <c r="J86" s="199" t="s">
        <v>179</v>
      </c>
      <c r="K86" s="199" t="s">
        <v>43</v>
      </c>
      <c r="M86">
        <f t="shared" si="0"/>
        <v>12</v>
      </c>
    </row>
    <row r="87" spans="1:13" x14ac:dyDescent="0.25">
      <c r="A87" s="230">
        <v>24</v>
      </c>
      <c r="B87" s="79" t="s">
        <v>348</v>
      </c>
      <c r="C87" s="199" t="s">
        <v>40</v>
      </c>
      <c r="D87" s="199" t="s">
        <v>142</v>
      </c>
      <c r="E87" s="199" t="s">
        <v>57</v>
      </c>
      <c r="F87" s="200"/>
      <c r="G87" s="199" t="s">
        <v>42</v>
      </c>
      <c r="H87" s="209">
        <v>3000</v>
      </c>
      <c r="I87" s="210">
        <v>600</v>
      </c>
      <c r="J87" s="199" t="s">
        <v>179</v>
      </c>
      <c r="K87" s="199" t="s">
        <v>43</v>
      </c>
      <c r="M87">
        <f t="shared" si="0"/>
        <v>600</v>
      </c>
    </row>
    <row r="88" spans="1:13" x14ac:dyDescent="0.25">
      <c r="A88" s="197">
        <v>25</v>
      </c>
      <c r="B88" s="79" t="s">
        <v>353</v>
      </c>
      <c r="C88" s="199" t="s">
        <v>40</v>
      </c>
      <c r="D88" s="199" t="s">
        <v>144</v>
      </c>
      <c r="E88" s="199" t="s">
        <v>57</v>
      </c>
      <c r="F88" s="200"/>
      <c r="G88" s="199" t="s">
        <v>42</v>
      </c>
      <c r="H88" s="209">
        <v>6000</v>
      </c>
      <c r="I88" s="210">
        <v>1200</v>
      </c>
      <c r="J88" s="199" t="s">
        <v>179</v>
      </c>
      <c r="K88" s="199" t="s">
        <v>43</v>
      </c>
      <c r="M88">
        <f t="shared" si="0"/>
        <v>1200</v>
      </c>
    </row>
    <row r="89" spans="1:13" x14ac:dyDescent="0.25">
      <c r="A89" s="197">
        <v>25</v>
      </c>
      <c r="B89" s="79" t="s">
        <v>354</v>
      </c>
      <c r="C89" s="199" t="s">
        <v>40</v>
      </c>
      <c r="D89" s="199"/>
      <c r="E89" s="199" t="s">
        <v>59</v>
      </c>
      <c r="F89" s="200" t="s">
        <v>355</v>
      </c>
      <c r="G89" s="199" t="s">
        <v>42</v>
      </c>
      <c r="H89" s="209">
        <v>100</v>
      </c>
      <c r="I89" s="210">
        <v>20</v>
      </c>
      <c r="J89" s="199" t="s">
        <v>179</v>
      </c>
      <c r="K89" s="199" t="s">
        <v>43</v>
      </c>
      <c r="M89">
        <f t="shared" si="0"/>
        <v>20</v>
      </c>
    </row>
    <row r="90" spans="1:13" x14ac:dyDescent="0.25">
      <c r="A90" s="197">
        <v>25</v>
      </c>
      <c r="B90" s="79" t="s">
        <v>356</v>
      </c>
      <c r="C90" s="199" t="s">
        <v>40</v>
      </c>
      <c r="D90" s="199" t="s">
        <v>357</v>
      </c>
      <c r="E90" s="199" t="s">
        <v>65</v>
      </c>
      <c r="F90" s="200" t="s">
        <v>358</v>
      </c>
      <c r="G90" s="199" t="s">
        <v>42</v>
      </c>
      <c r="H90" s="209">
        <v>100</v>
      </c>
      <c r="I90" s="210">
        <v>20</v>
      </c>
      <c r="J90" s="199" t="s">
        <v>179</v>
      </c>
      <c r="K90" s="199" t="s">
        <v>43</v>
      </c>
      <c r="M90">
        <f t="shared" si="0"/>
        <v>20</v>
      </c>
    </row>
    <row r="91" spans="1:13" x14ac:dyDescent="0.25">
      <c r="A91" s="197">
        <v>25</v>
      </c>
      <c r="B91" s="79" t="s">
        <v>359</v>
      </c>
      <c r="C91" s="199" t="s">
        <v>40</v>
      </c>
      <c r="D91" s="199" t="s">
        <v>142</v>
      </c>
      <c r="E91" s="199" t="s">
        <v>57</v>
      </c>
      <c r="F91" s="200"/>
      <c r="G91" s="199" t="s">
        <v>162</v>
      </c>
      <c r="H91" s="209">
        <v>70</v>
      </c>
      <c r="I91" s="210">
        <v>350</v>
      </c>
      <c r="J91" s="199" t="s">
        <v>179</v>
      </c>
      <c r="K91" s="199" t="s">
        <v>43</v>
      </c>
      <c r="M91">
        <f t="shared" si="0"/>
        <v>14</v>
      </c>
    </row>
    <row r="92" spans="1:13" x14ac:dyDescent="0.25">
      <c r="A92" s="197">
        <v>25</v>
      </c>
      <c r="B92" s="79" t="s">
        <v>360</v>
      </c>
      <c r="C92" s="199" t="s">
        <v>40</v>
      </c>
      <c r="D92" s="199" t="s">
        <v>144</v>
      </c>
      <c r="E92" s="199" t="s">
        <v>57</v>
      </c>
      <c r="F92" s="200" t="s">
        <v>361</v>
      </c>
      <c r="G92" s="199" t="s">
        <v>162</v>
      </c>
      <c r="H92" s="209">
        <v>20</v>
      </c>
      <c r="I92" s="210">
        <v>100</v>
      </c>
      <c r="J92" s="199" t="s">
        <v>179</v>
      </c>
      <c r="K92" s="199" t="s">
        <v>43</v>
      </c>
      <c r="M92">
        <f t="shared" si="0"/>
        <v>4</v>
      </c>
    </row>
    <row r="93" spans="1:13" x14ac:dyDescent="0.25">
      <c r="A93" s="197">
        <v>25</v>
      </c>
      <c r="B93" s="79" t="s">
        <v>362</v>
      </c>
      <c r="C93" s="199" t="s">
        <v>40</v>
      </c>
      <c r="D93" s="199" t="s">
        <v>363</v>
      </c>
      <c r="E93" s="199" t="s">
        <v>72</v>
      </c>
      <c r="F93" s="200" t="s">
        <v>364</v>
      </c>
      <c r="G93" s="199" t="s">
        <v>42</v>
      </c>
      <c r="H93" s="209">
        <v>1500</v>
      </c>
      <c r="I93" s="210">
        <v>300</v>
      </c>
      <c r="J93" s="199" t="s">
        <v>179</v>
      </c>
      <c r="K93" s="199" t="s">
        <v>43</v>
      </c>
      <c r="M93">
        <f t="shared" si="0"/>
        <v>300</v>
      </c>
    </row>
    <row r="94" spans="1:13" x14ac:dyDescent="0.25">
      <c r="A94" s="197">
        <v>25</v>
      </c>
      <c r="B94" s="79" t="s">
        <v>365</v>
      </c>
      <c r="C94" s="199" t="s">
        <v>40</v>
      </c>
      <c r="D94" s="199" t="s">
        <v>366</v>
      </c>
      <c r="E94" s="199" t="s">
        <v>57</v>
      </c>
      <c r="F94" s="200" t="s">
        <v>367</v>
      </c>
      <c r="G94" s="199" t="s">
        <v>42</v>
      </c>
      <c r="H94" s="209">
        <v>1000</v>
      </c>
      <c r="I94" s="210">
        <v>200</v>
      </c>
      <c r="J94" s="199" t="s">
        <v>179</v>
      </c>
      <c r="K94" s="199" t="s">
        <v>43</v>
      </c>
      <c r="M94">
        <f t="shared" si="0"/>
        <v>200</v>
      </c>
    </row>
    <row r="95" spans="1:13" x14ac:dyDescent="0.25">
      <c r="A95" s="197">
        <v>25</v>
      </c>
      <c r="B95" s="79" t="s">
        <v>365</v>
      </c>
      <c r="C95" s="199" t="s">
        <v>40</v>
      </c>
      <c r="D95" s="199" t="s">
        <v>366</v>
      </c>
      <c r="E95" s="199" t="s">
        <v>57</v>
      </c>
      <c r="F95" s="200" t="s">
        <v>367</v>
      </c>
      <c r="G95" s="199" t="s">
        <v>162</v>
      </c>
      <c r="H95" s="209">
        <v>20</v>
      </c>
      <c r="I95" s="210">
        <v>100</v>
      </c>
      <c r="J95" s="199" t="s">
        <v>179</v>
      </c>
      <c r="K95" s="199" t="s">
        <v>43</v>
      </c>
      <c r="M95">
        <f t="shared" si="0"/>
        <v>4</v>
      </c>
    </row>
    <row r="96" spans="1:13" x14ac:dyDescent="0.25">
      <c r="A96" s="197">
        <v>25</v>
      </c>
      <c r="B96" s="79" t="s">
        <v>368</v>
      </c>
      <c r="C96" s="199" t="s">
        <v>40</v>
      </c>
      <c r="D96" s="199" t="s">
        <v>369</v>
      </c>
      <c r="E96" s="199" t="s">
        <v>52</v>
      </c>
      <c r="F96" s="200" t="s">
        <v>370</v>
      </c>
      <c r="G96" s="199" t="s">
        <v>42</v>
      </c>
      <c r="H96" s="209">
        <v>2000</v>
      </c>
      <c r="I96" s="210">
        <v>400</v>
      </c>
      <c r="J96" s="199" t="s">
        <v>179</v>
      </c>
      <c r="K96" s="199" t="s">
        <v>43</v>
      </c>
      <c r="M96">
        <f t="shared" si="0"/>
        <v>400</v>
      </c>
    </row>
    <row r="97" spans="1:16" x14ac:dyDescent="0.25">
      <c r="A97" s="197">
        <v>25</v>
      </c>
      <c r="B97" s="79" t="s">
        <v>371</v>
      </c>
      <c r="C97" s="199" t="s">
        <v>40</v>
      </c>
      <c r="D97" s="199" t="s">
        <v>372</v>
      </c>
      <c r="E97" s="199" t="s">
        <v>44</v>
      </c>
      <c r="F97" s="200" t="s">
        <v>373</v>
      </c>
      <c r="G97" s="199" t="s">
        <v>42</v>
      </c>
      <c r="H97" s="209">
        <v>2000</v>
      </c>
      <c r="I97" s="210">
        <v>400</v>
      </c>
      <c r="J97" s="199" t="s">
        <v>179</v>
      </c>
      <c r="K97" s="199" t="s">
        <v>43</v>
      </c>
      <c r="M97">
        <f t="shared" si="0"/>
        <v>400</v>
      </c>
    </row>
    <row r="98" spans="1:16" x14ac:dyDescent="0.25">
      <c r="A98" s="197">
        <v>26</v>
      </c>
      <c r="B98" s="79" t="s">
        <v>377</v>
      </c>
      <c r="C98" s="199" t="s">
        <v>48</v>
      </c>
      <c r="D98" s="199" t="s">
        <v>378</v>
      </c>
      <c r="E98" s="199" t="s">
        <v>85</v>
      </c>
      <c r="F98" s="200"/>
      <c r="G98" s="199" t="s">
        <v>162</v>
      </c>
      <c r="H98" s="209">
        <v>30</v>
      </c>
      <c r="I98" s="210">
        <v>150</v>
      </c>
      <c r="J98" s="199" t="s">
        <v>179</v>
      </c>
      <c r="K98" s="199" t="s">
        <v>43</v>
      </c>
      <c r="M98">
        <f t="shared" si="0"/>
        <v>6</v>
      </c>
    </row>
    <row r="99" spans="1:16" x14ac:dyDescent="0.25">
      <c r="A99" s="197">
        <v>26</v>
      </c>
      <c r="B99" s="79" t="s">
        <v>379</v>
      </c>
      <c r="C99" s="199" t="s">
        <v>40</v>
      </c>
      <c r="D99" s="199" t="s">
        <v>380</v>
      </c>
      <c r="E99" s="199" t="s">
        <v>45</v>
      </c>
      <c r="F99" s="200"/>
      <c r="G99" s="199" t="s">
        <v>42</v>
      </c>
      <c r="H99" s="209">
        <v>1000</v>
      </c>
      <c r="I99" s="210">
        <v>200</v>
      </c>
      <c r="J99" s="199" t="s">
        <v>179</v>
      </c>
      <c r="K99" s="199" t="s">
        <v>43</v>
      </c>
      <c r="M99">
        <f t="shared" si="0"/>
        <v>200</v>
      </c>
    </row>
    <row r="100" spans="1:16" x14ac:dyDescent="0.25">
      <c r="A100" s="197"/>
      <c r="B100" s="79"/>
      <c r="C100" s="199"/>
      <c r="D100" s="199"/>
      <c r="E100" s="199"/>
      <c r="F100" s="200"/>
      <c r="G100" s="199"/>
      <c r="H100" s="209"/>
      <c r="I100" s="210"/>
      <c r="J100" s="199"/>
      <c r="K100" s="199"/>
    </row>
    <row r="101" spans="1:16" x14ac:dyDescent="0.25">
      <c r="A101" s="197"/>
      <c r="B101" s="79"/>
      <c r="C101" s="199"/>
      <c r="D101" s="199"/>
      <c r="E101" s="199"/>
      <c r="F101" s="200"/>
      <c r="G101" s="199"/>
      <c r="H101" s="209"/>
      <c r="I101" s="210"/>
      <c r="J101" s="199"/>
      <c r="K101" s="199"/>
      <c r="M101">
        <f>SUM(M12:M99)</f>
        <v>17279.2</v>
      </c>
    </row>
    <row r="102" spans="1:16" x14ac:dyDescent="0.25">
      <c r="H102" s="25"/>
      <c r="I102" s="90"/>
    </row>
    <row r="104" spans="1:16" x14ac:dyDescent="0.25">
      <c r="I104" s="92" t="s">
        <v>19</v>
      </c>
      <c r="J104" s="26"/>
    </row>
    <row r="105" spans="1:16" ht="16.5" customHeight="1" x14ac:dyDescent="0.25">
      <c r="B105" t="s">
        <v>20</v>
      </c>
      <c r="E105" t="s">
        <v>21</v>
      </c>
      <c r="I105" s="81" t="s">
        <v>114</v>
      </c>
      <c r="J105" s="97">
        <v>72</v>
      </c>
      <c r="P105" s="25"/>
    </row>
    <row r="106" spans="1:16" x14ac:dyDescent="0.25">
      <c r="I106" s="81" t="s">
        <v>115</v>
      </c>
      <c r="J106" s="97">
        <v>1</v>
      </c>
      <c r="K106" s="57"/>
    </row>
    <row r="107" spans="1:16" x14ac:dyDescent="0.25">
      <c r="I107" s="81" t="s">
        <v>165</v>
      </c>
      <c r="J107" s="99">
        <v>49800</v>
      </c>
    </row>
    <row r="108" spans="1:16" x14ac:dyDescent="0.25">
      <c r="B108" s="93" t="s">
        <v>181</v>
      </c>
      <c r="E108" s="533" t="s">
        <v>22</v>
      </c>
      <c r="F108" s="533"/>
      <c r="G108" s="533"/>
      <c r="H108" s="533"/>
      <c r="I108" s="81" t="s">
        <v>116</v>
      </c>
      <c r="J108" s="99">
        <v>970</v>
      </c>
    </row>
    <row r="109" spans="1:16" x14ac:dyDescent="0.25">
      <c r="B109" t="s">
        <v>183</v>
      </c>
      <c r="E109" s="522" t="s">
        <v>185</v>
      </c>
      <c r="F109" s="522"/>
      <c r="G109" s="522"/>
      <c r="H109" s="522"/>
      <c r="I109" s="81" t="s">
        <v>117</v>
      </c>
      <c r="J109" s="97">
        <v>446</v>
      </c>
    </row>
    <row r="110" spans="1:16" x14ac:dyDescent="0.25">
      <c r="I110" s="81" t="s">
        <v>119</v>
      </c>
      <c r="J110" s="99">
        <v>7130</v>
      </c>
    </row>
    <row r="111" spans="1:16" x14ac:dyDescent="0.25">
      <c r="I111" s="94" t="s">
        <v>113</v>
      </c>
      <c r="J111" s="97">
        <v>0</v>
      </c>
    </row>
    <row r="112" spans="1:16" x14ac:dyDescent="0.25">
      <c r="I112" s="81" t="s">
        <v>23</v>
      </c>
      <c r="J112" s="98"/>
    </row>
    <row r="113" spans="2:10" x14ac:dyDescent="0.25">
      <c r="I113" s="95" t="s">
        <v>111</v>
      </c>
      <c r="J113" s="99" t="s">
        <v>387</v>
      </c>
    </row>
    <row r="114" spans="2:10" x14ac:dyDescent="0.25">
      <c r="B114" s="27"/>
      <c r="E114" s="27"/>
      <c r="F114" s="27"/>
      <c r="G114" s="27"/>
      <c r="I114" s="95" t="s">
        <v>112</v>
      </c>
      <c r="J114" s="58"/>
    </row>
    <row r="115" spans="2:10" x14ac:dyDescent="0.25">
      <c r="I115" s="81"/>
      <c r="J115" s="26"/>
    </row>
    <row r="116" spans="2:10" x14ac:dyDescent="0.25">
      <c r="I116" s="81"/>
      <c r="J116" s="26"/>
    </row>
    <row r="117" spans="2:10" x14ac:dyDescent="0.25">
      <c r="I117" s="81"/>
      <c r="J117" s="58"/>
    </row>
    <row r="118" spans="2:10" x14ac:dyDescent="0.25">
      <c r="I118" s="81"/>
      <c r="J118" s="58"/>
    </row>
    <row r="138" spans="12:12" x14ac:dyDescent="0.25">
      <c r="L138" s="25"/>
    </row>
    <row r="161" spans="12:12" x14ac:dyDescent="0.25">
      <c r="L161" s="25"/>
    </row>
    <row r="288" spans="12:12" x14ac:dyDescent="0.25">
      <c r="L288" s="25"/>
    </row>
  </sheetData>
  <mergeCells count="8">
    <mergeCell ref="E108:H108"/>
    <mergeCell ref="E109:H109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0"/>
  <sheetViews>
    <sheetView tabSelected="1" workbookViewId="0">
      <selection activeCell="I25" sqref="I25"/>
    </sheetView>
  </sheetViews>
  <sheetFormatPr defaultRowHeight="15" x14ac:dyDescent="0.25"/>
  <cols>
    <col min="1" max="1" width="26.5703125" customWidth="1"/>
    <col min="2" max="2" width="11" customWidth="1"/>
    <col min="3" max="3" width="25" customWidth="1"/>
    <col min="6" max="6" width="18.28515625" customWidth="1"/>
    <col min="9" max="9" width="26" customWidth="1"/>
    <col min="10" max="10" width="28.5703125" customWidth="1"/>
    <col min="11" max="11" width="25.5703125" customWidth="1"/>
    <col min="12" max="12" width="16.5703125" customWidth="1"/>
  </cols>
  <sheetData>
    <row r="1" spans="1:12" ht="35.25" customHeight="1" x14ac:dyDescent="0.25">
      <c r="A1" s="562" t="s">
        <v>680</v>
      </c>
      <c r="B1" s="562"/>
      <c r="C1" s="562"/>
      <c r="D1" s="562"/>
      <c r="E1" s="562"/>
      <c r="F1" s="562"/>
    </row>
    <row r="2" spans="1:12" x14ac:dyDescent="0.25">
      <c r="I2" s="575" t="s">
        <v>863</v>
      </c>
      <c r="J2" s="575"/>
      <c r="K2" s="575"/>
      <c r="L2" s="575"/>
    </row>
    <row r="3" spans="1:12" x14ac:dyDescent="0.25">
      <c r="A3" t="s">
        <v>681</v>
      </c>
      <c r="I3" s="575"/>
      <c r="J3" s="575"/>
      <c r="K3" s="575"/>
      <c r="L3" s="575"/>
    </row>
    <row r="4" spans="1:12" ht="15.75" thickBot="1" x14ac:dyDescent="0.3"/>
    <row r="5" spans="1:12" ht="32.25" customHeight="1" thickBot="1" x14ac:dyDescent="0.3">
      <c r="A5" s="258" t="s">
        <v>102</v>
      </c>
      <c r="B5" s="565" t="s">
        <v>682</v>
      </c>
      <c r="C5" s="565"/>
      <c r="D5" s="565" t="s">
        <v>683</v>
      </c>
      <c r="E5" s="565"/>
      <c r="F5" s="259" t="s">
        <v>691</v>
      </c>
      <c r="I5" s="275" t="s">
        <v>102</v>
      </c>
      <c r="J5" s="275" t="s">
        <v>682</v>
      </c>
      <c r="K5" s="275" t="s">
        <v>683</v>
      </c>
      <c r="L5" s="259" t="s">
        <v>691</v>
      </c>
    </row>
    <row r="6" spans="1:12" ht="30" customHeight="1" x14ac:dyDescent="0.25">
      <c r="A6" s="256" t="s">
        <v>684</v>
      </c>
      <c r="B6" s="566" t="s">
        <v>685</v>
      </c>
      <c r="C6" s="566"/>
      <c r="D6" s="567">
        <v>11700</v>
      </c>
      <c r="E6" s="567"/>
      <c r="F6" s="563" t="s">
        <v>690</v>
      </c>
      <c r="I6" s="286" t="s">
        <v>788</v>
      </c>
      <c r="J6" s="287" t="s">
        <v>594</v>
      </c>
      <c r="K6" s="287">
        <v>900</v>
      </c>
      <c r="L6" s="570" t="s">
        <v>864</v>
      </c>
    </row>
    <row r="7" spans="1:12" ht="30" customHeight="1" x14ac:dyDescent="0.25">
      <c r="A7" s="257" t="s">
        <v>686</v>
      </c>
      <c r="B7" s="568" t="s">
        <v>687</v>
      </c>
      <c r="C7" s="568"/>
      <c r="D7" s="569">
        <v>31280</v>
      </c>
      <c r="E7" s="569"/>
      <c r="F7" s="563"/>
      <c r="I7" s="286" t="s">
        <v>788</v>
      </c>
      <c r="J7" s="288" t="s">
        <v>597</v>
      </c>
      <c r="K7" s="289">
        <v>1380</v>
      </c>
      <c r="L7" s="571"/>
    </row>
    <row r="8" spans="1:12" ht="29.25" customHeight="1" x14ac:dyDescent="0.25">
      <c r="A8" s="257" t="s">
        <v>688</v>
      </c>
      <c r="B8" s="568" t="s">
        <v>689</v>
      </c>
      <c r="C8" s="568"/>
      <c r="D8" s="569">
        <v>6000</v>
      </c>
      <c r="E8" s="569"/>
      <c r="F8" s="563"/>
      <c r="I8" s="286" t="s">
        <v>788</v>
      </c>
      <c r="J8" s="288" t="s">
        <v>599</v>
      </c>
      <c r="K8" s="289">
        <v>2490</v>
      </c>
      <c r="L8" s="571"/>
    </row>
    <row r="9" spans="1:12" ht="31.5" customHeight="1" x14ac:dyDescent="0.25">
      <c r="A9" s="255" t="s">
        <v>788</v>
      </c>
      <c r="B9" s="564" t="s">
        <v>594</v>
      </c>
      <c r="C9" s="564"/>
      <c r="D9" s="559">
        <v>900</v>
      </c>
      <c r="E9" s="559"/>
      <c r="F9" s="556" t="s">
        <v>785</v>
      </c>
      <c r="I9" s="286" t="s">
        <v>788</v>
      </c>
      <c r="J9" s="288" t="s">
        <v>601</v>
      </c>
      <c r="K9" s="288">
        <v>948</v>
      </c>
      <c r="L9" s="571"/>
    </row>
    <row r="10" spans="1:12" ht="28.5" customHeight="1" x14ac:dyDescent="0.25">
      <c r="A10" s="255" t="s">
        <v>788</v>
      </c>
      <c r="B10" s="564" t="s">
        <v>597</v>
      </c>
      <c r="C10" s="564"/>
      <c r="D10" s="559">
        <v>1380</v>
      </c>
      <c r="E10" s="559"/>
      <c r="F10" s="557"/>
      <c r="I10" s="286" t="s">
        <v>788</v>
      </c>
      <c r="J10" s="288" t="s">
        <v>604</v>
      </c>
      <c r="K10" s="288">
        <v>936</v>
      </c>
      <c r="L10" s="571"/>
    </row>
    <row r="11" spans="1:12" ht="29.25" customHeight="1" x14ac:dyDescent="0.25">
      <c r="A11" s="255" t="s">
        <v>788</v>
      </c>
      <c r="B11" s="564" t="s">
        <v>599</v>
      </c>
      <c r="C11" s="564"/>
      <c r="D11" s="559">
        <v>2490</v>
      </c>
      <c r="E11" s="559"/>
      <c r="F11" s="557"/>
      <c r="I11" s="286" t="s">
        <v>788</v>
      </c>
      <c r="J11" s="288" t="s">
        <v>606</v>
      </c>
      <c r="K11" s="289">
        <v>2880</v>
      </c>
      <c r="L11" s="571"/>
    </row>
    <row r="12" spans="1:12" ht="29.25" customHeight="1" x14ac:dyDescent="0.25">
      <c r="A12" s="255" t="s">
        <v>788</v>
      </c>
      <c r="B12" s="564" t="s">
        <v>601</v>
      </c>
      <c r="C12" s="564"/>
      <c r="D12" s="559">
        <v>948</v>
      </c>
      <c r="E12" s="559"/>
      <c r="F12" s="557"/>
      <c r="I12" s="286" t="s">
        <v>786</v>
      </c>
      <c r="J12" s="288" t="s">
        <v>341</v>
      </c>
      <c r="K12" s="289">
        <v>3600</v>
      </c>
      <c r="L12" s="571"/>
    </row>
    <row r="13" spans="1:12" ht="28.5" customHeight="1" x14ac:dyDescent="0.25">
      <c r="A13" s="255" t="s">
        <v>788</v>
      </c>
      <c r="B13" s="564" t="s">
        <v>604</v>
      </c>
      <c r="C13" s="564"/>
      <c r="D13" s="559">
        <v>936</v>
      </c>
      <c r="E13" s="559"/>
      <c r="F13" s="557"/>
      <c r="I13" s="286" t="s">
        <v>787</v>
      </c>
      <c r="J13" s="288" t="s">
        <v>608</v>
      </c>
      <c r="K13" s="289">
        <v>6840</v>
      </c>
      <c r="L13" s="571"/>
    </row>
    <row r="14" spans="1:12" ht="28.5" customHeight="1" x14ac:dyDescent="0.25">
      <c r="A14" s="255" t="s">
        <v>788</v>
      </c>
      <c r="B14" s="564" t="s">
        <v>606</v>
      </c>
      <c r="C14" s="564"/>
      <c r="D14" s="559">
        <v>2880</v>
      </c>
      <c r="E14" s="559"/>
      <c r="F14" s="557"/>
      <c r="I14" s="286" t="s">
        <v>789</v>
      </c>
      <c r="J14" s="288" t="s">
        <v>644</v>
      </c>
      <c r="K14" s="289">
        <v>1998</v>
      </c>
      <c r="L14" s="571"/>
    </row>
    <row r="15" spans="1:12" ht="30" customHeight="1" x14ac:dyDescent="0.25">
      <c r="A15" s="255" t="s">
        <v>786</v>
      </c>
      <c r="B15" s="564" t="s">
        <v>341</v>
      </c>
      <c r="C15" s="564"/>
      <c r="D15" s="559">
        <v>3600</v>
      </c>
      <c r="E15" s="559"/>
      <c r="F15" s="557"/>
      <c r="I15" s="286" t="s">
        <v>789</v>
      </c>
      <c r="J15" s="288" t="s">
        <v>861</v>
      </c>
      <c r="K15" s="289">
        <v>1020</v>
      </c>
      <c r="L15" s="571"/>
    </row>
    <row r="16" spans="1:12" ht="28.5" customHeight="1" x14ac:dyDescent="0.25">
      <c r="A16" s="255" t="s">
        <v>787</v>
      </c>
      <c r="B16" s="564" t="s">
        <v>608</v>
      </c>
      <c r="C16" s="564"/>
      <c r="D16" s="559">
        <v>6840</v>
      </c>
      <c r="E16" s="559"/>
      <c r="F16" s="557"/>
      <c r="I16" s="286" t="s">
        <v>790</v>
      </c>
      <c r="J16" s="288" t="s">
        <v>784</v>
      </c>
      <c r="K16" s="289">
        <v>9000</v>
      </c>
      <c r="L16" s="571"/>
    </row>
    <row r="17" spans="1:12" ht="28.5" customHeight="1" x14ac:dyDescent="0.25">
      <c r="A17" s="255" t="s">
        <v>789</v>
      </c>
      <c r="B17" s="554" t="s">
        <v>644</v>
      </c>
      <c r="C17" s="554"/>
      <c r="D17" s="555">
        <v>1998</v>
      </c>
      <c r="E17" s="555"/>
      <c r="F17" s="557"/>
      <c r="I17" s="286" t="s">
        <v>790</v>
      </c>
      <c r="J17" s="288" t="s">
        <v>747</v>
      </c>
      <c r="K17" s="289">
        <v>2268</v>
      </c>
      <c r="L17" s="572"/>
    </row>
    <row r="18" spans="1:12" ht="26.25" customHeight="1" x14ac:dyDescent="0.25">
      <c r="A18" s="255" t="s">
        <v>789</v>
      </c>
      <c r="B18" s="560" t="s">
        <v>647</v>
      </c>
      <c r="C18" s="560"/>
      <c r="D18" s="561">
        <v>1020</v>
      </c>
      <c r="E18" s="561"/>
      <c r="F18" s="557"/>
      <c r="I18" s="286" t="s">
        <v>862</v>
      </c>
      <c r="J18" s="288" t="s">
        <v>808</v>
      </c>
      <c r="K18" s="289">
        <v>6000</v>
      </c>
      <c r="L18" s="573" t="s">
        <v>865</v>
      </c>
    </row>
    <row r="19" spans="1:12" ht="30" customHeight="1" x14ac:dyDescent="0.25">
      <c r="A19" s="255" t="s">
        <v>790</v>
      </c>
      <c r="B19" s="554" t="s">
        <v>784</v>
      </c>
      <c r="C19" s="554"/>
      <c r="D19" s="555">
        <v>9000</v>
      </c>
      <c r="E19" s="555"/>
      <c r="F19" s="557"/>
      <c r="I19" s="286" t="s">
        <v>862</v>
      </c>
      <c r="J19" s="288" t="s">
        <v>810</v>
      </c>
      <c r="K19" s="289">
        <v>2070</v>
      </c>
      <c r="L19" s="574"/>
    </row>
    <row r="20" spans="1:12" ht="32.25" customHeight="1" x14ac:dyDescent="0.25">
      <c r="A20" s="255" t="s">
        <v>790</v>
      </c>
      <c r="B20" s="554" t="s">
        <v>747</v>
      </c>
      <c r="C20" s="554"/>
      <c r="D20" s="555">
        <v>2268</v>
      </c>
      <c r="E20" s="555"/>
      <c r="F20" s="558"/>
    </row>
  </sheetData>
  <mergeCells count="38">
    <mergeCell ref="L6:L17"/>
    <mergeCell ref="L18:L19"/>
    <mergeCell ref="I2:L3"/>
    <mergeCell ref="B10:C10"/>
    <mergeCell ref="D8:E8"/>
    <mergeCell ref="D9:E9"/>
    <mergeCell ref="B8:C8"/>
    <mergeCell ref="B16:C16"/>
    <mergeCell ref="B11:C11"/>
    <mergeCell ref="B12:C12"/>
    <mergeCell ref="B13:C13"/>
    <mergeCell ref="B14:C14"/>
    <mergeCell ref="B15:C15"/>
    <mergeCell ref="B19:C19"/>
    <mergeCell ref="A1:F1"/>
    <mergeCell ref="F6:F8"/>
    <mergeCell ref="B9:C9"/>
    <mergeCell ref="B5:C5"/>
    <mergeCell ref="D5:E5"/>
    <mergeCell ref="B6:C6"/>
    <mergeCell ref="D6:E6"/>
    <mergeCell ref="B7:C7"/>
    <mergeCell ref="D7:E7"/>
    <mergeCell ref="B20:C20"/>
    <mergeCell ref="D19:E19"/>
    <mergeCell ref="D20:E20"/>
    <mergeCell ref="F9:F20"/>
    <mergeCell ref="D16:E16"/>
    <mergeCell ref="B17:C17"/>
    <mergeCell ref="B18:C18"/>
    <mergeCell ref="D17:E17"/>
    <mergeCell ref="D18:E18"/>
    <mergeCell ref="D10:E10"/>
    <mergeCell ref="D11:E11"/>
    <mergeCell ref="D12:E12"/>
    <mergeCell ref="D13:E13"/>
    <mergeCell ref="D14:E14"/>
    <mergeCell ref="D15:E15"/>
  </mergeCells>
  <pageMargins left="0.7" right="0.7" top="0.75" bottom="0.75" header="0.3" footer="0.3"/>
  <pageSetup scale="42" fitToHeight="0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27"/>
  <sheetViews>
    <sheetView view="pageBreakPreview" zoomScale="73" zoomScaleNormal="84" zoomScaleSheetLayoutView="73" workbookViewId="0">
      <selection activeCell="G19" sqref="G19"/>
    </sheetView>
  </sheetViews>
  <sheetFormatPr defaultRowHeight="15" x14ac:dyDescent="0.25"/>
  <cols>
    <col min="1" max="1" width="16" customWidth="1"/>
    <col min="2" max="3" width="15" customWidth="1"/>
    <col min="4" max="5" width="17.7109375" customWidth="1"/>
    <col min="6" max="6" width="12.28515625" customWidth="1"/>
    <col min="7" max="7" width="13" customWidth="1"/>
    <col min="8" max="8" width="18.28515625" customWidth="1"/>
    <col min="9" max="9" width="17.28515625" customWidth="1"/>
    <col min="10" max="10" width="11.42578125" customWidth="1"/>
    <col min="11" max="11" width="13.42578125" customWidth="1"/>
    <col min="12" max="12" width="18" customWidth="1"/>
    <col min="13" max="13" width="17.5703125" customWidth="1"/>
    <col min="14" max="14" width="11.85546875" customWidth="1"/>
    <col min="15" max="15" width="13.7109375" customWidth="1"/>
    <col min="16" max="16" width="17.7109375" customWidth="1"/>
    <col min="17" max="17" width="17.28515625" customWidth="1"/>
    <col min="18" max="18" width="11.5703125" customWidth="1"/>
    <col min="19" max="19" width="13.42578125" customWidth="1"/>
    <col min="20" max="20" width="18.85546875" customWidth="1"/>
    <col min="21" max="21" width="17" customWidth="1"/>
    <col min="22" max="22" width="19.42578125" customWidth="1"/>
    <col min="23" max="23" width="19.85546875" customWidth="1"/>
  </cols>
  <sheetData>
    <row r="1" spans="1:23" ht="26.25" x14ac:dyDescent="0.4">
      <c r="A1" s="578" t="s">
        <v>173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  <c r="U1" s="578"/>
      <c r="V1" s="578"/>
    </row>
    <row r="2" spans="1:23" ht="15.75" thickBot="1" x14ac:dyDescent="0.3"/>
    <row r="3" spans="1:23" ht="39.75" customHeight="1" x14ac:dyDescent="0.25">
      <c r="A3" s="579" t="s">
        <v>170</v>
      </c>
      <c r="B3" s="581" t="s">
        <v>99</v>
      </c>
      <c r="C3" s="582"/>
      <c r="D3" s="582"/>
      <c r="E3" s="583"/>
      <c r="F3" s="584" t="s">
        <v>101</v>
      </c>
      <c r="G3" s="585"/>
      <c r="H3" s="585"/>
      <c r="I3" s="586"/>
      <c r="J3" s="587" t="s">
        <v>98</v>
      </c>
      <c r="K3" s="588"/>
      <c r="L3" s="588"/>
      <c r="M3" s="589"/>
      <c r="N3" s="590" t="s">
        <v>109</v>
      </c>
      <c r="O3" s="591"/>
      <c r="P3" s="591"/>
      <c r="Q3" s="592"/>
      <c r="R3" s="593" t="s">
        <v>138</v>
      </c>
      <c r="S3" s="594"/>
      <c r="T3" s="594"/>
      <c r="U3" s="595"/>
      <c r="V3" s="177" t="s">
        <v>148</v>
      </c>
      <c r="W3" s="576" t="s">
        <v>177</v>
      </c>
    </row>
    <row r="4" spans="1:23" ht="63.75" customHeight="1" thickBot="1" x14ac:dyDescent="0.3">
      <c r="A4" s="580"/>
      <c r="B4" s="175" t="s">
        <v>97</v>
      </c>
      <c r="C4" s="173" t="s">
        <v>96</v>
      </c>
      <c r="D4" s="174" t="s">
        <v>171</v>
      </c>
      <c r="E4" s="176" t="s">
        <v>172</v>
      </c>
      <c r="F4" s="175" t="s">
        <v>97</v>
      </c>
      <c r="G4" s="173" t="s">
        <v>96</v>
      </c>
      <c r="H4" s="174" t="s">
        <v>171</v>
      </c>
      <c r="I4" s="176" t="s">
        <v>172</v>
      </c>
      <c r="J4" s="175" t="s">
        <v>97</v>
      </c>
      <c r="K4" s="173" t="s">
        <v>96</v>
      </c>
      <c r="L4" s="174" t="s">
        <v>171</v>
      </c>
      <c r="M4" s="176" t="s">
        <v>172</v>
      </c>
      <c r="N4" s="175" t="s">
        <v>97</v>
      </c>
      <c r="O4" s="173" t="s">
        <v>96</v>
      </c>
      <c r="P4" s="174" t="s">
        <v>171</v>
      </c>
      <c r="Q4" s="176" t="s">
        <v>172</v>
      </c>
      <c r="R4" s="175" t="s">
        <v>97</v>
      </c>
      <c r="S4" s="173" t="s">
        <v>96</v>
      </c>
      <c r="T4" s="174" t="s">
        <v>171</v>
      </c>
      <c r="U4" s="176" t="s">
        <v>172</v>
      </c>
      <c r="V4" s="178" t="s">
        <v>171</v>
      </c>
      <c r="W4" s="577"/>
    </row>
    <row r="5" spans="1:23" ht="63.75" customHeight="1" x14ac:dyDescent="0.25">
      <c r="A5" s="168" t="s">
        <v>174</v>
      </c>
      <c r="B5" s="169">
        <v>5466839</v>
      </c>
      <c r="C5" s="169">
        <v>1287092</v>
      </c>
      <c r="D5" s="169">
        <f>B5+C5</f>
        <v>6753931</v>
      </c>
      <c r="E5" s="170">
        <f>D5+E12</f>
        <v>8104717.2000000002</v>
      </c>
      <c r="F5" s="169">
        <v>17578</v>
      </c>
      <c r="G5" s="169">
        <v>0</v>
      </c>
      <c r="H5" s="169">
        <f>F5+G5</f>
        <v>17578</v>
      </c>
      <c r="I5" s="170">
        <f>H5+I12</f>
        <v>21093.599999999999</v>
      </c>
      <c r="J5" s="169">
        <v>2250</v>
      </c>
      <c r="K5" s="169">
        <v>0</v>
      </c>
      <c r="L5" s="169">
        <f>J5+K5</f>
        <v>2250</v>
      </c>
      <c r="M5" s="170">
        <f>L5+M12</f>
        <v>2700</v>
      </c>
      <c r="N5" s="169">
        <v>0</v>
      </c>
      <c r="O5" s="169">
        <v>0</v>
      </c>
      <c r="P5" s="169">
        <f>N5+O5</f>
        <v>0</v>
      </c>
      <c r="Q5" s="170">
        <f>P5+Q12</f>
        <v>0</v>
      </c>
      <c r="R5" s="169">
        <v>41650</v>
      </c>
      <c r="S5" s="169">
        <v>84000</v>
      </c>
      <c r="T5" s="169">
        <f>R5+S5</f>
        <v>125650</v>
      </c>
      <c r="U5" s="171">
        <f>T5+U12</f>
        <v>150780</v>
      </c>
      <c r="V5" s="172">
        <v>15239</v>
      </c>
      <c r="W5" s="165">
        <v>1933</v>
      </c>
    </row>
    <row r="6" spans="1:23" ht="63.75" customHeight="1" x14ac:dyDescent="0.25">
      <c r="A6" s="160" t="s">
        <v>175</v>
      </c>
      <c r="B6" s="161">
        <v>5517875</v>
      </c>
      <c r="C6" s="161">
        <v>1489619</v>
      </c>
      <c r="D6" s="161">
        <f t="shared" ref="D6:D7" si="0">B6+C6</f>
        <v>7007494</v>
      </c>
      <c r="E6" s="162">
        <f>D6+E13</f>
        <v>8408992.8000000007</v>
      </c>
      <c r="F6" s="161">
        <v>15053</v>
      </c>
      <c r="G6" s="161">
        <v>844</v>
      </c>
      <c r="H6" s="161">
        <f t="shared" ref="H6:H7" si="1">F6+G6</f>
        <v>15897</v>
      </c>
      <c r="I6" s="162">
        <f>H6+I13</f>
        <v>19076.400000000001</v>
      </c>
      <c r="J6" s="161">
        <v>10580</v>
      </c>
      <c r="K6" s="161">
        <v>9500</v>
      </c>
      <c r="L6" s="161">
        <f t="shared" ref="L6:L7" si="2">J6+K6</f>
        <v>20080</v>
      </c>
      <c r="M6" s="162">
        <f>L6+M13</f>
        <v>24096</v>
      </c>
      <c r="N6" s="161">
        <v>28960</v>
      </c>
      <c r="O6" s="161">
        <v>13640</v>
      </c>
      <c r="P6" s="161">
        <f t="shared" ref="P6" si="3">N6+O6</f>
        <v>42600</v>
      </c>
      <c r="Q6" s="180">
        <f>P6+Q13</f>
        <v>51120</v>
      </c>
      <c r="R6" s="161">
        <v>30800</v>
      </c>
      <c r="S6" s="161">
        <v>75153</v>
      </c>
      <c r="T6" s="161">
        <f t="shared" ref="T6:T7" si="4">R6+S6</f>
        <v>105953</v>
      </c>
      <c r="U6" s="163">
        <f>T6+U13</f>
        <v>127143.6</v>
      </c>
      <c r="V6" s="164">
        <v>12250</v>
      </c>
      <c r="W6" s="165">
        <v>3251</v>
      </c>
    </row>
    <row r="7" spans="1:23" ht="63.75" customHeight="1" x14ac:dyDescent="0.25">
      <c r="A7" s="160" t="s">
        <v>176</v>
      </c>
      <c r="B7" s="161">
        <v>4997870</v>
      </c>
      <c r="C7" s="161">
        <v>1207180</v>
      </c>
      <c r="D7" s="161">
        <f t="shared" si="0"/>
        <v>6205050</v>
      </c>
      <c r="E7" s="162">
        <f>D7+E14</f>
        <v>7446060</v>
      </c>
      <c r="F7" s="161">
        <v>8756</v>
      </c>
      <c r="G7" s="161">
        <v>1123</v>
      </c>
      <c r="H7" s="161">
        <f t="shared" si="1"/>
        <v>9879</v>
      </c>
      <c r="I7" s="162">
        <f>H7+I14</f>
        <v>11854.8</v>
      </c>
      <c r="J7" s="161">
        <v>12400</v>
      </c>
      <c r="K7" s="161">
        <v>0</v>
      </c>
      <c r="L7" s="161">
        <f t="shared" si="2"/>
        <v>12400</v>
      </c>
      <c r="M7" s="162">
        <f>L7+M14</f>
        <v>14880</v>
      </c>
      <c r="N7" s="161">
        <v>53650</v>
      </c>
      <c r="O7" s="161">
        <v>37675</v>
      </c>
      <c r="P7" s="161">
        <v>103675</v>
      </c>
      <c r="Q7" s="180">
        <f>P7+Q14</f>
        <v>124410</v>
      </c>
      <c r="R7" s="161">
        <v>24200</v>
      </c>
      <c r="S7" s="161">
        <v>118745</v>
      </c>
      <c r="T7" s="161">
        <f t="shared" si="4"/>
        <v>142945</v>
      </c>
      <c r="U7" s="163">
        <f>T7+U14</f>
        <v>171534</v>
      </c>
      <c r="V7" s="164">
        <v>23508</v>
      </c>
      <c r="W7" s="165">
        <v>2626</v>
      </c>
    </row>
    <row r="8" spans="1:23" ht="63.75" customHeight="1" x14ac:dyDescent="0.25">
      <c r="A8" s="166" t="s">
        <v>188</v>
      </c>
      <c r="B8" s="161">
        <v>1118700</v>
      </c>
      <c r="C8" s="161">
        <v>265470</v>
      </c>
      <c r="D8" s="161">
        <f t="shared" ref="D8" si="5">B8+C8</f>
        <v>1384170</v>
      </c>
      <c r="E8" s="162">
        <f>D8+E15</f>
        <v>1661004</v>
      </c>
      <c r="F8" s="161">
        <v>1806</v>
      </c>
      <c r="G8" s="161">
        <v>22</v>
      </c>
      <c r="H8" s="161">
        <f t="shared" ref="H8" si="6">F8+G8</f>
        <v>1828</v>
      </c>
      <c r="I8" s="162">
        <f>H8+I15</f>
        <v>2193.6</v>
      </c>
      <c r="J8" s="161">
        <v>0</v>
      </c>
      <c r="K8" s="161">
        <v>1000</v>
      </c>
      <c r="L8" s="161">
        <f t="shared" ref="L8" si="7">J8+K8</f>
        <v>1000</v>
      </c>
      <c r="M8" s="162">
        <f>L8+M15</f>
        <v>1200</v>
      </c>
      <c r="N8" s="161">
        <v>60420</v>
      </c>
      <c r="O8" s="161">
        <v>15125</v>
      </c>
      <c r="P8" s="161">
        <f t="shared" ref="P8" si="8">N8+O8</f>
        <v>75545</v>
      </c>
      <c r="Q8" s="162">
        <f>P8+Q15</f>
        <v>90654</v>
      </c>
      <c r="R8" s="161">
        <v>12100</v>
      </c>
      <c r="S8" s="161">
        <v>90850</v>
      </c>
      <c r="T8" s="161">
        <f t="shared" ref="T8" si="9">R8+S8</f>
        <v>102950</v>
      </c>
      <c r="U8" s="163">
        <f>T8+U15</f>
        <v>123540</v>
      </c>
      <c r="V8" s="164">
        <v>32526</v>
      </c>
      <c r="W8" s="167">
        <v>229</v>
      </c>
    </row>
    <row r="9" spans="1:23" ht="63.75" customHeight="1" x14ac:dyDescent="0.25">
      <c r="A9" s="166" t="s">
        <v>189</v>
      </c>
      <c r="B9" s="161"/>
      <c r="C9" s="161"/>
      <c r="D9" s="161"/>
      <c r="E9" s="162"/>
      <c r="F9" s="161"/>
      <c r="G9" s="161"/>
      <c r="H9" s="161"/>
      <c r="I9" s="162"/>
      <c r="J9" s="161"/>
      <c r="K9" s="161"/>
      <c r="L9" s="161"/>
      <c r="M9" s="162"/>
      <c r="N9" s="161"/>
      <c r="O9" s="161"/>
      <c r="P9" s="161"/>
      <c r="Q9" s="162"/>
      <c r="R9" s="161"/>
      <c r="S9" s="161"/>
      <c r="T9" s="161"/>
      <c r="U9" s="163"/>
      <c r="V9" s="164"/>
      <c r="W9" s="167"/>
    </row>
    <row r="10" spans="1:23" ht="31.5" customHeight="1" x14ac:dyDescent="0.25"/>
    <row r="12" spans="1:23" ht="35.25" customHeight="1" x14ac:dyDescent="0.25">
      <c r="E12" s="57">
        <f>D5*0.2</f>
        <v>1350786.2000000002</v>
      </c>
      <c r="I12" s="57">
        <f>H5*0.2</f>
        <v>3515.6000000000004</v>
      </c>
      <c r="M12" s="78">
        <f>L5*0.2</f>
        <v>450</v>
      </c>
      <c r="Q12" s="74">
        <f>P5*0.2</f>
        <v>0</v>
      </c>
      <c r="U12" s="78">
        <f>T5*0.2</f>
        <v>25130</v>
      </c>
    </row>
    <row r="13" spans="1:23" x14ac:dyDescent="0.25">
      <c r="E13" s="57">
        <f>D6*0.2</f>
        <v>1401498.8</v>
      </c>
      <c r="I13" s="57">
        <f>H6*0.2</f>
        <v>3179.4</v>
      </c>
      <c r="M13" s="78">
        <f>L6*0.2</f>
        <v>4016</v>
      </c>
      <c r="Q13" s="74">
        <f>P6*0.2</f>
        <v>8520</v>
      </c>
      <c r="U13" s="78">
        <f>T6*0.2</f>
        <v>21190.600000000002</v>
      </c>
    </row>
    <row r="14" spans="1:23" x14ac:dyDescent="0.25">
      <c r="E14" s="57">
        <f>D7*0.2</f>
        <v>1241010</v>
      </c>
      <c r="I14" s="57">
        <f>H7*0.2</f>
        <v>1975.8000000000002</v>
      </c>
      <c r="M14" s="78">
        <f>L7*0.2</f>
        <v>2480</v>
      </c>
      <c r="Q14" s="74">
        <f>P7*0.2</f>
        <v>20735</v>
      </c>
      <c r="U14" s="78">
        <f>T7*0.2</f>
        <v>28589</v>
      </c>
    </row>
    <row r="15" spans="1:23" x14ac:dyDescent="0.25">
      <c r="E15" s="57">
        <f>D8*0.2</f>
        <v>276834</v>
      </c>
      <c r="I15" s="57">
        <f>H8*0.2</f>
        <v>365.6</v>
      </c>
      <c r="M15" s="78">
        <f>L8*0.2</f>
        <v>200</v>
      </c>
      <c r="Q15" s="74">
        <f>P8*0.2</f>
        <v>15109</v>
      </c>
      <c r="U15" s="78">
        <f>T8*0.2</f>
        <v>20590</v>
      </c>
    </row>
    <row r="20" spans="5:5" x14ac:dyDescent="0.25">
      <c r="E20" s="135"/>
    </row>
    <row r="27" spans="5:5" x14ac:dyDescent="0.25">
      <c r="E27" s="135"/>
    </row>
  </sheetData>
  <mergeCells count="8">
    <mergeCell ref="W3:W4"/>
    <mergeCell ref="A1:V1"/>
    <mergeCell ref="A3:A4"/>
    <mergeCell ref="B3:E3"/>
    <mergeCell ref="F3:I3"/>
    <mergeCell ref="J3:M3"/>
    <mergeCell ref="N3:Q3"/>
    <mergeCell ref="R3:U3"/>
  </mergeCells>
  <printOptions horizontalCentered="1"/>
  <pageMargins left="0.25" right="0.25" top="0.75" bottom="0.75" header="0.3" footer="0.3"/>
  <pageSetup paperSize="155" scale="3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L18"/>
  <sheetViews>
    <sheetView view="pageLayout" zoomScaleNormal="100" workbookViewId="0">
      <selection activeCell="C7" sqref="C7"/>
    </sheetView>
  </sheetViews>
  <sheetFormatPr defaultRowHeight="15" x14ac:dyDescent="0.25"/>
  <cols>
    <col min="1" max="1" width="13.28515625" customWidth="1"/>
    <col min="2" max="2" width="13.7109375" customWidth="1"/>
    <col min="3" max="3" width="15.140625" customWidth="1"/>
    <col min="4" max="4" width="18" customWidth="1"/>
    <col min="5" max="5" width="15.85546875" customWidth="1"/>
    <col min="6" max="6" width="17.28515625" customWidth="1"/>
    <col min="7" max="7" width="15.5703125" customWidth="1"/>
    <col min="8" max="8" width="10.5703125" customWidth="1"/>
    <col min="9" max="10" width="10.5703125" bestFit="1" customWidth="1"/>
    <col min="11" max="11" width="11.5703125" bestFit="1" customWidth="1"/>
    <col min="12" max="12" width="9.7109375" bestFit="1" customWidth="1"/>
  </cols>
  <sheetData>
    <row r="1" spans="1:12" ht="36.75" customHeight="1" thickBot="1" x14ac:dyDescent="0.3">
      <c r="A1" s="562" t="s">
        <v>2129</v>
      </c>
      <c r="B1" s="562"/>
      <c r="C1" s="562"/>
      <c r="D1" s="562"/>
      <c r="E1" s="562"/>
      <c r="F1" s="562"/>
      <c r="G1" s="562"/>
    </row>
    <row r="2" spans="1:12" s="59" customFormat="1" ht="27.75" customHeight="1" x14ac:dyDescent="0.25">
      <c r="A2" s="600" t="s">
        <v>140</v>
      </c>
      <c r="B2" s="606" t="s">
        <v>124</v>
      </c>
      <c r="C2" s="607"/>
      <c r="D2" s="608" t="s">
        <v>125</v>
      </c>
      <c r="E2" s="609"/>
      <c r="F2" s="608" t="s">
        <v>137</v>
      </c>
      <c r="G2" s="609"/>
    </row>
    <row r="3" spans="1:12" ht="27.75" customHeight="1" thickBot="1" x14ac:dyDescent="0.3">
      <c r="A3" s="601"/>
      <c r="B3" s="111" t="s">
        <v>129</v>
      </c>
      <c r="C3" s="112" t="s">
        <v>130</v>
      </c>
      <c r="D3" s="111" t="s">
        <v>129</v>
      </c>
      <c r="E3" s="112" t="s">
        <v>130</v>
      </c>
      <c r="F3" s="111" t="s">
        <v>129</v>
      </c>
      <c r="G3" s="112" t="s">
        <v>130</v>
      </c>
    </row>
    <row r="4" spans="1:12" ht="27.75" customHeight="1" x14ac:dyDescent="0.25">
      <c r="A4" s="113" t="s">
        <v>103</v>
      </c>
      <c r="B4" s="114">
        <v>0</v>
      </c>
      <c r="C4" s="115">
        <f>B4*0.2+B4</f>
        <v>0</v>
      </c>
      <c r="D4" s="116">
        <v>0</v>
      </c>
      <c r="E4" s="117">
        <f>D4*0.2+D4</f>
        <v>0</v>
      </c>
      <c r="F4" s="118">
        <v>0</v>
      </c>
      <c r="G4" s="119">
        <f>F4*0.2+F4</f>
        <v>0</v>
      </c>
      <c r="I4" s="78"/>
      <c r="J4" s="596"/>
      <c r="K4" s="596"/>
      <c r="L4" s="78"/>
    </row>
    <row r="5" spans="1:12" ht="27.75" customHeight="1" x14ac:dyDescent="0.25">
      <c r="A5" s="113" t="s">
        <v>104</v>
      </c>
      <c r="B5" s="120">
        <v>0</v>
      </c>
      <c r="C5" s="115">
        <f t="shared" ref="C5:C15" si="0">B5*0.2+B5</f>
        <v>0</v>
      </c>
      <c r="D5" s="121">
        <v>0</v>
      </c>
      <c r="E5" s="117">
        <f t="shared" ref="E5:E15" si="1">D5*0.2+D5</f>
        <v>0</v>
      </c>
      <c r="F5" s="122">
        <v>0</v>
      </c>
      <c r="G5" s="119">
        <f>F5*0.2+F5</f>
        <v>0</v>
      </c>
      <c r="I5" s="78"/>
      <c r="J5" s="57"/>
    </row>
    <row r="6" spans="1:12" ht="27.75" customHeight="1" x14ac:dyDescent="0.25">
      <c r="A6" s="113" t="s">
        <v>105</v>
      </c>
      <c r="B6" s="120"/>
      <c r="C6" s="115">
        <f t="shared" si="0"/>
        <v>0</v>
      </c>
      <c r="D6" s="121"/>
      <c r="E6" s="117">
        <f t="shared" si="1"/>
        <v>0</v>
      </c>
      <c r="F6" s="123"/>
      <c r="G6" s="119">
        <f t="shared" ref="G6:G15" si="2">F6*0.2+F6</f>
        <v>0</v>
      </c>
      <c r="I6" s="78"/>
      <c r="J6" s="78"/>
    </row>
    <row r="7" spans="1:12" ht="27.75" customHeight="1" x14ac:dyDescent="0.25">
      <c r="A7" s="113" t="s">
        <v>106</v>
      </c>
      <c r="B7" s="124"/>
      <c r="C7" s="115">
        <f t="shared" si="0"/>
        <v>0</v>
      </c>
      <c r="D7" s="121"/>
      <c r="E7" s="117">
        <f t="shared" si="1"/>
        <v>0</v>
      </c>
      <c r="F7" s="123"/>
      <c r="G7" s="119">
        <f t="shared" si="2"/>
        <v>0</v>
      </c>
      <c r="I7" s="57"/>
      <c r="J7" s="78"/>
    </row>
    <row r="8" spans="1:12" ht="27.75" customHeight="1" x14ac:dyDescent="0.25">
      <c r="A8" s="113" t="s">
        <v>107</v>
      </c>
      <c r="B8" s="124"/>
      <c r="C8" s="115">
        <f t="shared" si="0"/>
        <v>0</v>
      </c>
      <c r="D8" s="121"/>
      <c r="E8" s="117">
        <f t="shared" si="1"/>
        <v>0</v>
      </c>
      <c r="F8" s="123"/>
      <c r="G8" s="119">
        <f t="shared" si="2"/>
        <v>0</v>
      </c>
      <c r="I8" s="74"/>
    </row>
    <row r="9" spans="1:12" ht="27.75" customHeight="1" x14ac:dyDescent="0.25">
      <c r="A9" s="113" t="s">
        <v>108</v>
      </c>
      <c r="B9" s="124"/>
      <c r="C9" s="115">
        <f t="shared" si="0"/>
        <v>0</v>
      </c>
      <c r="D9" s="121"/>
      <c r="E9" s="117">
        <f t="shared" si="1"/>
        <v>0</v>
      </c>
      <c r="F9" s="123"/>
      <c r="G9" s="119">
        <f t="shared" si="2"/>
        <v>0</v>
      </c>
      <c r="I9" s="57"/>
    </row>
    <row r="10" spans="1:12" ht="27.75" customHeight="1" x14ac:dyDescent="0.25">
      <c r="A10" s="113" t="s">
        <v>131</v>
      </c>
      <c r="B10" s="124"/>
      <c r="C10" s="115">
        <f t="shared" si="0"/>
        <v>0</v>
      </c>
      <c r="D10" s="121"/>
      <c r="E10" s="117">
        <f t="shared" si="1"/>
        <v>0</v>
      </c>
      <c r="F10" s="123"/>
      <c r="G10" s="119">
        <f t="shared" si="2"/>
        <v>0</v>
      </c>
    </row>
    <row r="11" spans="1:12" ht="27.75" customHeight="1" x14ac:dyDescent="0.25">
      <c r="A11" s="113" t="s">
        <v>132</v>
      </c>
      <c r="B11" s="124"/>
      <c r="C11" s="115">
        <f t="shared" si="0"/>
        <v>0</v>
      </c>
      <c r="D11" s="121"/>
      <c r="E11" s="117">
        <f t="shared" si="1"/>
        <v>0</v>
      </c>
      <c r="F11" s="123"/>
      <c r="G11" s="119">
        <f t="shared" si="2"/>
        <v>0</v>
      </c>
    </row>
    <row r="12" spans="1:12" ht="27.75" customHeight="1" x14ac:dyDescent="0.25">
      <c r="A12" s="113" t="s">
        <v>133</v>
      </c>
      <c r="B12" s="124"/>
      <c r="C12" s="115">
        <f t="shared" si="0"/>
        <v>0</v>
      </c>
      <c r="D12" s="121"/>
      <c r="E12" s="117">
        <f t="shared" si="1"/>
        <v>0</v>
      </c>
      <c r="F12" s="123"/>
      <c r="G12" s="119">
        <f t="shared" si="2"/>
        <v>0</v>
      </c>
    </row>
    <row r="13" spans="1:12" ht="27.75" customHeight="1" x14ac:dyDescent="0.25">
      <c r="A13" s="113" t="s">
        <v>134</v>
      </c>
      <c r="B13" s="124"/>
      <c r="C13" s="115">
        <f t="shared" si="0"/>
        <v>0</v>
      </c>
      <c r="D13" s="121"/>
      <c r="E13" s="117">
        <f t="shared" si="1"/>
        <v>0</v>
      </c>
      <c r="F13" s="123"/>
      <c r="G13" s="119">
        <f t="shared" si="2"/>
        <v>0</v>
      </c>
    </row>
    <row r="14" spans="1:12" ht="27.75" customHeight="1" x14ac:dyDescent="0.25">
      <c r="A14" s="113" t="s">
        <v>135</v>
      </c>
      <c r="B14" s="124"/>
      <c r="C14" s="115">
        <f t="shared" si="0"/>
        <v>0</v>
      </c>
      <c r="D14" s="121"/>
      <c r="E14" s="117">
        <f t="shared" si="1"/>
        <v>0</v>
      </c>
      <c r="F14" s="123"/>
      <c r="G14" s="119">
        <f t="shared" si="2"/>
        <v>0</v>
      </c>
    </row>
    <row r="15" spans="1:12" ht="27.75" customHeight="1" x14ac:dyDescent="0.25">
      <c r="A15" s="113" t="s">
        <v>136</v>
      </c>
      <c r="B15" s="124"/>
      <c r="C15" s="115">
        <f t="shared" si="0"/>
        <v>0</v>
      </c>
      <c r="D15" s="121"/>
      <c r="E15" s="117">
        <f t="shared" si="1"/>
        <v>0</v>
      </c>
      <c r="F15" s="123"/>
      <c r="G15" s="119">
        <f t="shared" si="2"/>
        <v>0</v>
      </c>
    </row>
    <row r="16" spans="1:12" ht="22.5" customHeight="1" thickBot="1" x14ac:dyDescent="0.3">
      <c r="A16" s="125"/>
      <c r="B16" s="126">
        <f t="shared" ref="B16:G16" si="3">SUM(B4:B15)</f>
        <v>0</v>
      </c>
      <c r="C16" s="127">
        <f t="shared" si="3"/>
        <v>0</v>
      </c>
      <c r="D16" s="128">
        <f t="shared" si="3"/>
        <v>0</v>
      </c>
      <c r="E16" s="129">
        <f t="shared" si="3"/>
        <v>0</v>
      </c>
      <c r="F16" s="130">
        <f t="shared" si="3"/>
        <v>0</v>
      </c>
      <c r="G16" s="129">
        <f t="shared" si="3"/>
        <v>0</v>
      </c>
    </row>
    <row r="17" spans="1:8" ht="19.5" thickBot="1" x14ac:dyDescent="0.35">
      <c r="A17" s="109" t="s">
        <v>154</v>
      </c>
      <c r="B17" s="597">
        <f>C16+E16+G16</f>
        <v>0</v>
      </c>
      <c r="C17" s="598"/>
      <c r="D17" s="598"/>
      <c r="E17" s="598"/>
      <c r="F17" s="598"/>
      <c r="G17" s="599"/>
      <c r="H17" s="110">
        <f>B17*0.2</f>
        <v>0</v>
      </c>
    </row>
    <row r="18" spans="1:8" ht="21.75" thickBot="1" x14ac:dyDescent="0.4">
      <c r="A18" s="602" t="s">
        <v>100</v>
      </c>
      <c r="B18" s="603"/>
      <c r="C18" s="603"/>
      <c r="D18" s="603"/>
      <c r="E18" s="603"/>
      <c r="F18" s="604">
        <f>B17+H17</f>
        <v>0</v>
      </c>
      <c r="G18" s="605"/>
      <c r="H18" s="108"/>
    </row>
  </sheetData>
  <mergeCells count="9">
    <mergeCell ref="J4:K4"/>
    <mergeCell ref="A1:G1"/>
    <mergeCell ref="B17:G17"/>
    <mergeCell ref="A2:A3"/>
    <mergeCell ref="A18:E18"/>
    <mergeCell ref="F18:G18"/>
    <mergeCell ref="B2:C2"/>
    <mergeCell ref="D2:E2"/>
    <mergeCell ref="F2:G2"/>
  </mergeCells>
  <printOptions horizontalCentered="1" verticalCentered="1"/>
  <pageMargins left="0.75" right="0.25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26</vt:i4>
      </vt:variant>
    </vt:vector>
  </HeadingPairs>
  <TitlesOfParts>
    <vt:vector size="55" baseType="lpstr">
      <vt:lpstr>SUMMARY</vt:lpstr>
      <vt:lpstr>Province of Bohol</vt:lpstr>
      <vt:lpstr>December 2023 (group)  </vt:lpstr>
      <vt:lpstr>December 2023</vt:lpstr>
      <vt:lpstr>November 2023 (group) </vt:lpstr>
      <vt:lpstr>November 2023</vt:lpstr>
      <vt:lpstr>October 2023 (group)</vt:lpstr>
      <vt:lpstr>October 2023</vt:lpstr>
      <vt:lpstr>September 2023 (Group)  </vt:lpstr>
      <vt:lpstr>September 2023</vt:lpstr>
      <vt:lpstr>August 2023 (Group) </vt:lpstr>
      <vt:lpstr>August 2023</vt:lpstr>
      <vt:lpstr>July 2023 (Group)</vt:lpstr>
      <vt:lpstr>July 2023</vt:lpstr>
      <vt:lpstr>June 2023 (Group)   </vt:lpstr>
      <vt:lpstr>June 2023</vt:lpstr>
      <vt:lpstr>May 2023 (Group)  </vt:lpstr>
      <vt:lpstr>May 2023</vt:lpstr>
      <vt:lpstr>April 2023 (Group) </vt:lpstr>
      <vt:lpstr>April 2023</vt:lpstr>
      <vt:lpstr>March 2023 (Group)</vt:lpstr>
      <vt:lpstr>March 2023</vt:lpstr>
      <vt:lpstr>February 2023 (Group)</vt:lpstr>
      <vt:lpstr>February 2023</vt:lpstr>
      <vt:lpstr>January 2023 (Group)</vt:lpstr>
      <vt:lpstr>January 2023</vt:lpstr>
      <vt:lpstr>Sheet2</vt:lpstr>
      <vt:lpstr>PRODUCTION SUMMARY 2019-APR (2</vt:lpstr>
      <vt:lpstr>Region 7 Tilapia Production</vt:lpstr>
      <vt:lpstr>'April 2023'!Print_Area</vt:lpstr>
      <vt:lpstr>'April 2023 (Group) '!Print_Area</vt:lpstr>
      <vt:lpstr>'August 2023'!Print_Area</vt:lpstr>
      <vt:lpstr>'August 2023 (Group) '!Print_Area</vt:lpstr>
      <vt:lpstr>'December 2023'!Print_Area</vt:lpstr>
      <vt:lpstr>'December 2023 (group)  '!Print_Area</vt:lpstr>
      <vt:lpstr>'February 2023'!Print_Area</vt:lpstr>
      <vt:lpstr>'February 2023 (Group)'!Print_Area</vt:lpstr>
      <vt:lpstr>'January 2023'!Print_Area</vt:lpstr>
      <vt:lpstr>'January 2023 (Group)'!Print_Area</vt:lpstr>
      <vt:lpstr>'July 2023'!Print_Area</vt:lpstr>
      <vt:lpstr>'July 2023 (Group)'!Print_Area</vt:lpstr>
      <vt:lpstr>'June 2023'!Print_Area</vt:lpstr>
      <vt:lpstr>'June 2023 (Group)   '!Print_Area</vt:lpstr>
      <vt:lpstr>'March 2023'!Print_Area</vt:lpstr>
      <vt:lpstr>'March 2023 (Group)'!Print_Area</vt:lpstr>
      <vt:lpstr>'May 2023'!Print_Area</vt:lpstr>
      <vt:lpstr>'May 2023 (Group)  '!Print_Area</vt:lpstr>
      <vt:lpstr>'November 2023'!Print_Area</vt:lpstr>
      <vt:lpstr>'November 2023 (group) '!Print_Area</vt:lpstr>
      <vt:lpstr>'October 2023'!Print_Area</vt:lpstr>
      <vt:lpstr>'October 2023 (group)'!Print_Area</vt:lpstr>
      <vt:lpstr>'PRODUCTION SUMMARY 2019-APR (2'!Print_Area</vt:lpstr>
      <vt:lpstr>'September 2023'!Print_Area</vt:lpstr>
      <vt:lpstr>'September 2023 (Group)  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2026-04-11T11:08:51Z</dcterms:modified>
</cp:coreProperties>
</file>