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 defaultThemeVersion="124226"/>
  <xr:revisionPtr revIDLastSave="0" documentId="13_ncr:1_{8EEA2862-3DF3-44B5-90A9-375E8C80B5BD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PRODUCTION SUMMARY 2019-APR (2)" sheetId="112" r:id="rId1"/>
    <sheet name="SUMMARY" sheetId="23" r:id="rId2"/>
    <sheet name="Province of Bohol" sheetId="17" r:id="rId3"/>
    <sheet name="December 2024 (Group)  " sheetId="110" r:id="rId4"/>
    <sheet name="December 2024" sheetId="109" r:id="rId5"/>
    <sheet name="November 2024 (Group) " sheetId="108" r:id="rId6"/>
    <sheet name="November 2024" sheetId="107" r:id="rId7"/>
    <sheet name="October 2024 (Group)  " sheetId="106" r:id="rId8"/>
    <sheet name="October 2024" sheetId="105" r:id="rId9"/>
    <sheet name="September 2024 (Group) " sheetId="104" r:id="rId10"/>
    <sheet name="September 2024" sheetId="103" r:id="rId11"/>
    <sheet name="August 2024 (Group)  " sheetId="102" r:id="rId12"/>
    <sheet name="August 2024  " sheetId="101" r:id="rId13"/>
    <sheet name="July 2024 (Group) " sheetId="100" r:id="rId14"/>
    <sheet name="July 2024 " sheetId="99" r:id="rId15"/>
    <sheet name="June 2024 (Group) " sheetId="98" r:id="rId16"/>
    <sheet name="June 2024" sheetId="97" r:id="rId17"/>
    <sheet name="May 2024 (Group)" sheetId="95" r:id="rId18"/>
    <sheet name="May 2024" sheetId="96" r:id="rId19"/>
    <sheet name="April 2024 (Group)" sheetId="94" r:id="rId20"/>
    <sheet name="April 2024" sheetId="93" r:id="rId21"/>
    <sheet name="March 2024 (group)" sheetId="92" r:id="rId22"/>
    <sheet name="March 2024" sheetId="91" r:id="rId23"/>
    <sheet name="February 2024 (Group) " sheetId="90" r:id="rId24"/>
    <sheet name="February 2024" sheetId="89" r:id="rId25"/>
    <sheet name="January 2024 (Group)" sheetId="88" r:id="rId26"/>
    <sheet name="January 2024" sheetId="87" r:id="rId27"/>
    <sheet name="PRODUCTION SUMMARY 2019-APR (2" sheetId="76" r:id="rId28"/>
    <sheet name="Region 7 Tilapia Production" sheetId="25" r:id="rId29"/>
  </sheets>
  <definedNames>
    <definedName name="_xlnm.Print_Area" localSheetId="20">'April 2024'!$A$1:$V$192</definedName>
    <definedName name="_xlnm.Print_Area" localSheetId="19">'April 2024 (Group)'!$A$1:$M$41</definedName>
    <definedName name="_xlnm.Print_Area" localSheetId="12">'August 2024  '!$A$1:$V$304</definedName>
    <definedName name="_xlnm.Print_Area" localSheetId="11">'August 2024 (Group)  '!$A$1:$M$42</definedName>
    <definedName name="_xlnm.Print_Area" localSheetId="4">'December 2024'!$A$1:$W$304</definedName>
    <definedName name="_xlnm.Print_Area" localSheetId="3">'December 2024 (Group)  '!$A$1:$M$43</definedName>
    <definedName name="_xlnm.Print_Area" localSheetId="24">'February 2024'!$A$1:$U$221</definedName>
    <definedName name="_xlnm.Print_Area" localSheetId="23">'February 2024 (Group) '!$A$1:$M$41</definedName>
    <definedName name="_xlnm.Print_Area" localSheetId="26">'January 2024'!$A$1:$U$237</definedName>
    <definedName name="_xlnm.Print_Area" localSheetId="25">'January 2024 (Group)'!$A$1:$M$41</definedName>
    <definedName name="_xlnm.Print_Area" localSheetId="14">'July 2024 '!$A$1:$V$188</definedName>
    <definedName name="_xlnm.Print_Area" localSheetId="13">'July 2024 (Group) '!$A$1:$M$41</definedName>
    <definedName name="_xlnm.Print_Area" localSheetId="16">'June 2024'!$A$1:$V$149</definedName>
    <definedName name="_xlnm.Print_Area" localSheetId="15">'June 2024 (Group) '!$A$1:$M$41</definedName>
    <definedName name="_xlnm.Print_Area" localSheetId="22">'March 2024'!$A$1:$U$194</definedName>
    <definedName name="_xlnm.Print_Area" localSheetId="21">'March 2024 (group)'!$A$1:$M$41</definedName>
    <definedName name="_xlnm.Print_Area" localSheetId="18">'May 2024'!$A$1:$V$113</definedName>
    <definedName name="_xlnm.Print_Area" localSheetId="17">'May 2024 (Group)'!$A$1:$M$41</definedName>
    <definedName name="_xlnm.Print_Area" localSheetId="6">'November 2024'!$A$1:$W$304</definedName>
    <definedName name="_xlnm.Print_Area" localSheetId="5">'November 2024 (Group) '!$A$1:$M$43</definedName>
    <definedName name="_xlnm.Print_Area" localSheetId="8">'October 2024'!$A$1:$W$305</definedName>
    <definedName name="_xlnm.Print_Area" localSheetId="7">'October 2024 (Group)  '!$A$1:$M$43</definedName>
    <definedName name="_xlnm.Print_Area" localSheetId="27">'PRODUCTION SUMMARY 2019-APR (2'!$A$1:$W$10</definedName>
    <definedName name="_xlnm.Print_Area" localSheetId="0">'PRODUCTION SUMMARY 2019-APR (2)'!$A$1:$T$5</definedName>
    <definedName name="_xlnm.Print_Area" localSheetId="10">'September 2024'!$A$1:$V$304</definedName>
    <definedName name="_xlnm.Print_Area" localSheetId="9">'September 2024 (Group) '!$A$1:$M$42</definedName>
    <definedName name="_xlnm.Print_Area" localSheetId="1">SUMMARY!$A$1:$U$77</definedName>
  </definedNames>
  <calcPr calcId="191029"/>
</workbook>
</file>

<file path=xl/calcChain.xml><?xml version="1.0" encoding="utf-8"?>
<calcChain xmlns="http://schemas.openxmlformats.org/spreadsheetml/2006/main">
  <c r="T77" i="23" l="1"/>
  <c r="S77" i="23"/>
  <c r="P77" i="23"/>
  <c r="M77" i="23"/>
  <c r="G77" i="23"/>
  <c r="D77" i="23"/>
  <c r="E72" i="23"/>
  <c r="D72" i="23"/>
  <c r="S19" i="109"/>
  <c r="S18" i="109"/>
  <c r="S15" i="109" l="1"/>
  <c r="L34" i="110" l="1"/>
  <c r="S13" i="109"/>
  <c r="S12" i="109"/>
  <c r="G42" i="110" l="1"/>
  <c r="R229" i="109"/>
  <c r="O202" i="109"/>
  <c r="O201" i="109"/>
  <c r="O200" i="109"/>
  <c r="O199" i="109"/>
  <c r="O198" i="109"/>
  <c r="O197" i="109"/>
  <c r="O196" i="109"/>
  <c r="O195" i="109"/>
  <c r="O194" i="109"/>
  <c r="O193" i="109"/>
  <c r="O192" i="109"/>
  <c r="O191" i="109"/>
  <c r="O190" i="109"/>
  <c r="O189" i="109"/>
  <c r="O188" i="109"/>
  <c r="O187" i="109"/>
  <c r="O186" i="109"/>
  <c r="O185" i="109"/>
  <c r="O184" i="109"/>
  <c r="O183" i="109"/>
  <c r="O182" i="109"/>
  <c r="O181" i="109"/>
  <c r="O180" i="109"/>
  <c r="O179" i="109"/>
  <c r="O178" i="109"/>
  <c r="O177" i="109"/>
  <c r="O176" i="109"/>
  <c r="O175" i="109"/>
  <c r="O174" i="109"/>
  <c r="O173" i="109"/>
  <c r="O172" i="109"/>
  <c r="O171" i="109"/>
  <c r="O170" i="109"/>
  <c r="O169" i="109"/>
  <c r="O168" i="109"/>
  <c r="O167" i="109"/>
  <c r="O166" i="109"/>
  <c r="O165" i="109"/>
  <c r="O164" i="109"/>
  <c r="O163" i="109"/>
  <c r="O162" i="109"/>
  <c r="O161" i="109"/>
  <c r="O160" i="109"/>
  <c r="O159" i="109"/>
  <c r="O158" i="109"/>
  <c r="O157" i="109"/>
  <c r="O156" i="109"/>
  <c r="O155" i="109"/>
  <c r="O154" i="109"/>
  <c r="O153" i="109"/>
  <c r="O152" i="109"/>
  <c r="O151" i="109"/>
  <c r="O150" i="109"/>
  <c r="O149" i="109"/>
  <c r="O148" i="109"/>
  <c r="R147" i="109"/>
  <c r="O147" i="109"/>
  <c r="O146" i="109"/>
  <c r="O145" i="109"/>
  <c r="O144" i="109"/>
  <c r="O143" i="109"/>
  <c r="O142" i="109"/>
  <c r="O141" i="109"/>
  <c r="O140" i="109"/>
  <c r="O139" i="109"/>
  <c r="O138" i="109"/>
  <c r="O137" i="109"/>
  <c r="O136" i="109"/>
  <c r="O135" i="109"/>
  <c r="O134" i="109"/>
  <c r="O133" i="109"/>
  <c r="O132" i="109"/>
  <c r="O131" i="109"/>
  <c r="O130" i="109"/>
  <c r="O129" i="109"/>
  <c r="O128" i="109"/>
  <c r="O127" i="109"/>
  <c r="O126" i="109"/>
  <c r="O125" i="109"/>
  <c r="O124" i="109"/>
  <c r="O123" i="109"/>
  <c r="O122" i="109"/>
  <c r="O121" i="109"/>
  <c r="O120" i="109"/>
  <c r="O119" i="109"/>
  <c r="O118" i="109"/>
  <c r="O117" i="109"/>
  <c r="O116" i="109"/>
  <c r="O115" i="109"/>
  <c r="O114" i="109"/>
  <c r="O113" i="109"/>
  <c r="O112" i="109"/>
  <c r="O111" i="109"/>
  <c r="O110" i="109"/>
  <c r="O109" i="109"/>
  <c r="O108" i="109"/>
  <c r="O107" i="109"/>
  <c r="O106" i="109"/>
  <c r="O105" i="109"/>
  <c r="O104" i="109"/>
  <c r="O103" i="109"/>
  <c r="O102" i="109"/>
  <c r="O101" i="109"/>
  <c r="O100" i="109"/>
  <c r="O99" i="109"/>
  <c r="O98" i="109"/>
  <c r="O97" i="109"/>
  <c r="O96" i="109"/>
  <c r="O95" i="109"/>
  <c r="O94" i="109"/>
  <c r="O93" i="109"/>
  <c r="O92" i="109"/>
  <c r="O91" i="109"/>
  <c r="O90" i="109"/>
  <c r="O89" i="109"/>
  <c r="O88" i="109"/>
  <c r="O87" i="109"/>
  <c r="O86" i="109"/>
  <c r="O85" i="109"/>
  <c r="O84" i="109"/>
  <c r="O83" i="109"/>
  <c r="O82" i="109"/>
  <c r="O81" i="109"/>
  <c r="O80" i="109"/>
  <c r="O79" i="109"/>
  <c r="O78" i="109"/>
  <c r="O77" i="109"/>
  <c r="O76" i="109"/>
  <c r="O75" i="109"/>
  <c r="O74" i="109"/>
  <c r="O73" i="109"/>
  <c r="O72" i="109"/>
  <c r="O71" i="109"/>
  <c r="O70" i="109"/>
  <c r="O69" i="109"/>
  <c r="O68" i="109"/>
  <c r="O67" i="109"/>
  <c r="O66" i="109"/>
  <c r="O65" i="109"/>
  <c r="O64" i="109"/>
  <c r="O63" i="109"/>
  <c r="O62" i="109"/>
  <c r="O61" i="109"/>
  <c r="O60" i="109"/>
  <c r="O59" i="109"/>
  <c r="O58" i="109"/>
  <c r="O57" i="109"/>
  <c r="O56" i="109"/>
  <c r="O55" i="109"/>
  <c r="O54" i="109"/>
  <c r="O53" i="109"/>
  <c r="O52" i="109"/>
  <c r="O51" i="109"/>
  <c r="O50" i="109"/>
  <c r="O49" i="109"/>
  <c r="O48" i="109"/>
  <c r="O47" i="109"/>
  <c r="O46" i="109"/>
  <c r="O45" i="109"/>
  <c r="O44" i="109"/>
  <c r="O43" i="109"/>
  <c r="O42" i="109"/>
  <c r="O41" i="109"/>
  <c r="O40" i="109"/>
  <c r="O39" i="109"/>
  <c r="O38" i="109"/>
  <c r="O37" i="109"/>
  <c r="O36" i="109"/>
  <c r="O35" i="109"/>
  <c r="O34" i="109"/>
  <c r="O33" i="109"/>
  <c r="O32" i="109"/>
  <c r="O31" i="109"/>
  <c r="O30" i="109"/>
  <c r="O29" i="109"/>
  <c r="O28" i="109"/>
  <c r="O27" i="109"/>
  <c r="O26" i="109"/>
  <c r="O25" i="109"/>
  <c r="O24" i="109"/>
  <c r="O23" i="109"/>
  <c r="O22" i="109"/>
  <c r="O21" i="109"/>
  <c r="O20" i="109"/>
  <c r="O19" i="109"/>
  <c r="O18" i="109"/>
  <c r="O17" i="109"/>
  <c r="O16" i="109"/>
  <c r="O15" i="109"/>
  <c r="O14" i="109"/>
  <c r="O13" i="109"/>
  <c r="O12" i="109"/>
  <c r="O275" i="109" l="1"/>
  <c r="R147" i="107"/>
  <c r="S23" i="107"/>
  <c r="S22" i="107"/>
  <c r="L39" i="108" l="1"/>
  <c r="S20" i="107"/>
  <c r="S19" i="107"/>
  <c r="S18" i="107"/>
  <c r="S16" i="107" l="1"/>
  <c r="L35" i="108" l="1"/>
  <c r="L34" i="108"/>
  <c r="S14" i="107"/>
  <c r="S13" i="107"/>
  <c r="S12" i="107"/>
  <c r="G42" i="108" l="1"/>
  <c r="R229" i="107"/>
  <c r="O202" i="107"/>
  <c r="O201" i="107"/>
  <c r="O200" i="107"/>
  <c r="O199" i="107"/>
  <c r="O198" i="107"/>
  <c r="O197" i="107"/>
  <c r="O196" i="107"/>
  <c r="O195" i="107"/>
  <c r="O194" i="107"/>
  <c r="O193" i="107"/>
  <c r="O192" i="107"/>
  <c r="O191" i="107"/>
  <c r="O190" i="107"/>
  <c r="O189" i="107"/>
  <c r="O188" i="107"/>
  <c r="O187" i="107"/>
  <c r="O186" i="107"/>
  <c r="O185" i="107"/>
  <c r="O184" i="107"/>
  <c r="O183" i="107"/>
  <c r="O182" i="107"/>
  <c r="O181" i="107"/>
  <c r="O180" i="107"/>
  <c r="O179" i="107"/>
  <c r="O178" i="107"/>
  <c r="O177" i="107"/>
  <c r="O176" i="107"/>
  <c r="O175" i="107"/>
  <c r="O174" i="107"/>
  <c r="O173" i="107"/>
  <c r="O172" i="107"/>
  <c r="O171" i="107"/>
  <c r="O170" i="107"/>
  <c r="O169" i="107"/>
  <c r="O168" i="107"/>
  <c r="O167" i="107"/>
  <c r="O166" i="107"/>
  <c r="O165" i="107"/>
  <c r="O164" i="107"/>
  <c r="O163" i="107"/>
  <c r="O162" i="107"/>
  <c r="O161" i="107"/>
  <c r="O160" i="107"/>
  <c r="O159" i="107"/>
  <c r="O158" i="107"/>
  <c r="O157" i="107"/>
  <c r="O156" i="107"/>
  <c r="O155" i="107"/>
  <c r="O154" i="107"/>
  <c r="O153" i="107"/>
  <c r="O152" i="107"/>
  <c r="O151" i="107"/>
  <c r="O150" i="107"/>
  <c r="O149" i="107"/>
  <c r="O148" i="107"/>
  <c r="O147" i="107"/>
  <c r="O146" i="107"/>
  <c r="O145" i="107"/>
  <c r="O144" i="107"/>
  <c r="O143" i="107"/>
  <c r="O142" i="107"/>
  <c r="O141" i="107"/>
  <c r="O140" i="107"/>
  <c r="O139" i="107"/>
  <c r="O138" i="107"/>
  <c r="O137" i="107"/>
  <c r="O136" i="107"/>
  <c r="O135" i="107"/>
  <c r="O134" i="107"/>
  <c r="O133" i="107"/>
  <c r="O132" i="107"/>
  <c r="O131" i="107"/>
  <c r="O130" i="107"/>
  <c r="O129" i="107"/>
  <c r="O128" i="107"/>
  <c r="O127" i="107"/>
  <c r="O126" i="107"/>
  <c r="O125" i="107"/>
  <c r="O124" i="107"/>
  <c r="O123" i="107"/>
  <c r="O122" i="107"/>
  <c r="O121" i="107"/>
  <c r="O120" i="107"/>
  <c r="O119" i="107"/>
  <c r="O118" i="107"/>
  <c r="O117" i="107"/>
  <c r="O116" i="107"/>
  <c r="O115" i="107"/>
  <c r="O114" i="107"/>
  <c r="O113" i="107"/>
  <c r="O112" i="107"/>
  <c r="O111" i="107"/>
  <c r="O110" i="107"/>
  <c r="O109" i="107"/>
  <c r="O108" i="107"/>
  <c r="O107" i="107"/>
  <c r="O106" i="107"/>
  <c r="O105" i="107"/>
  <c r="O104" i="107"/>
  <c r="O103" i="107"/>
  <c r="O102" i="107"/>
  <c r="O101" i="107"/>
  <c r="O100" i="107"/>
  <c r="O99" i="107"/>
  <c r="O98" i="107"/>
  <c r="O97" i="107"/>
  <c r="O96" i="107"/>
  <c r="O95" i="107"/>
  <c r="O94" i="107"/>
  <c r="O93" i="107"/>
  <c r="O92" i="107"/>
  <c r="O91" i="107"/>
  <c r="O90" i="107"/>
  <c r="O89" i="107"/>
  <c r="O88" i="107"/>
  <c r="O87" i="107"/>
  <c r="O86" i="107"/>
  <c r="O85" i="107"/>
  <c r="O84" i="107"/>
  <c r="O83" i="107"/>
  <c r="O82" i="107"/>
  <c r="O81" i="107"/>
  <c r="O80" i="107"/>
  <c r="O79" i="107"/>
  <c r="O78" i="107"/>
  <c r="O77" i="107"/>
  <c r="O76" i="107"/>
  <c r="O75" i="107"/>
  <c r="O74" i="107"/>
  <c r="O73" i="107"/>
  <c r="O72" i="107"/>
  <c r="O71" i="107"/>
  <c r="O70" i="107"/>
  <c r="O69" i="107"/>
  <c r="O68" i="107"/>
  <c r="O67" i="107"/>
  <c r="O66" i="107"/>
  <c r="O65" i="107"/>
  <c r="O64" i="107"/>
  <c r="O63" i="107"/>
  <c r="O62" i="107"/>
  <c r="O61" i="107"/>
  <c r="O60" i="107"/>
  <c r="O59" i="107"/>
  <c r="O58" i="107"/>
  <c r="O57" i="107"/>
  <c r="O56" i="107"/>
  <c r="O55" i="107"/>
  <c r="O54" i="107"/>
  <c r="O53" i="107"/>
  <c r="O52" i="107"/>
  <c r="O51" i="107"/>
  <c r="O50" i="107"/>
  <c r="O49" i="107"/>
  <c r="O48" i="107"/>
  <c r="O47" i="107"/>
  <c r="O46" i="107"/>
  <c r="O45" i="107"/>
  <c r="O44" i="107"/>
  <c r="O43" i="107"/>
  <c r="O42" i="107"/>
  <c r="O41" i="107"/>
  <c r="O40" i="107"/>
  <c r="O39" i="107"/>
  <c r="O38" i="107"/>
  <c r="O37" i="107"/>
  <c r="O36" i="107"/>
  <c r="O35" i="107"/>
  <c r="O34" i="107"/>
  <c r="O33" i="107"/>
  <c r="O32" i="107"/>
  <c r="O31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275" i="107" l="1"/>
  <c r="S21" i="105"/>
  <c r="L38" i="106"/>
  <c r="S22" i="105" l="1"/>
  <c r="S19" i="105" l="1"/>
  <c r="S18" i="105"/>
  <c r="S17" i="105"/>
  <c r="S12" i="105" l="1"/>
  <c r="S13" i="105"/>
  <c r="S14" i="105"/>
  <c r="O13" i="105"/>
  <c r="L34" i="106" l="1"/>
  <c r="S15" i="105"/>
  <c r="G42" i="106" l="1"/>
  <c r="R230" i="105"/>
  <c r="O203" i="105"/>
  <c r="O202" i="105"/>
  <c r="O201" i="105"/>
  <c r="O200" i="105"/>
  <c r="O199" i="105"/>
  <c r="O198" i="105"/>
  <c r="O197" i="105"/>
  <c r="O196" i="105"/>
  <c r="O195" i="105"/>
  <c r="O194" i="105"/>
  <c r="O193" i="105"/>
  <c r="O192" i="105"/>
  <c r="O191" i="105"/>
  <c r="O190" i="105"/>
  <c r="O189" i="105"/>
  <c r="O188" i="105"/>
  <c r="O187" i="105"/>
  <c r="O186" i="105"/>
  <c r="O185" i="105"/>
  <c r="O184" i="105"/>
  <c r="O183" i="105"/>
  <c r="O182" i="105"/>
  <c r="O181" i="105"/>
  <c r="O180" i="105"/>
  <c r="O179" i="105"/>
  <c r="O178" i="105"/>
  <c r="O177" i="105"/>
  <c r="O176" i="105"/>
  <c r="O175" i="105"/>
  <c r="O174" i="105"/>
  <c r="O173" i="105"/>
  <c r="O172" i="105"/>
  <c r="O171" i="105"/>
  <c r="O170" i="105"/>
  <c r="O169" i="105"/>
  <c r="O168" i="105"/>
  <c r="O167" i="105"/>
  <c r="O166" i="105"/>
  <c r="O165" i="105"/>
  <c r="O164" i="105"/>
  <c r="O163" i="105"/>
  <c r="O162" i="105"/>
  <c r="O161" i="105"/>
  <c r="O160" i="105"/>
  <c r="O159" i="105"/>
  <c r="O158" i="105"/>
  <c r="O157" i="105"/>
  <c r="O156" i="105"/>
  <c r="O155" i="105"/>
  <c r="O154" i="105"/>
  <c r="O153" i="105"/>
  <c r="O152" i="105"/>
  <c r="O151" i="105"/>
  <c r="O150" i="105"/>
  <c r="O149" i="105"/>
  <c r="O148" i="105"/>
  <c r="O147" i="105"/>
  <c r="O146" i="105"/>
  <c r="O145" i="105"/>
  <c r="O144" i="105"/>
  <c r="O143" i="105"/>
  <c r="O142" i="105"/>
  <c r="O141" i="105"/>
  <c r="O140" i="105"/>
  <c r="O139" i="105"/>
  <c r="O138" i="105"/>
  <c r="O137" i="105"/>
  <c r="O136" i="105"/>
  <c r="O135" i="105"/>
  <c r="O134" i="105"/>
  <c r="O133" i="105"/>
  <c r="O132" i="105"/>
  <c r="O131" i="105"/>
  <c r="O130" i="105"/>
  <c r="O129" i="105"/>
  <c r="O128" i="105"/>
  <c r="O127" i="105"/>
  <c r="O126" i="105"/>
  <c r="O125" i="105"/>
  <c r="O124" i="105"/>
  <c r="O123" i="105"/>
  <c r="O122" i="105"/>
  <c r="O121" i="105"/>
  <c r="O120" i="105"/>
  <c r="O119" i="105"/>
  <c r="O118" i="105"/>
  <c r="O117" i="105"/>
  <c r="O116" i="105"/>
  <c r="O115" i="105"/>
  <c r="O114" i="105"/>
  <c r="O113" i="105"/>
  <c r="O112" i="105"/>
  <c r="O111" i="105"/>
  <c r="O110" i="105"/>
  <c r="O109" i="105"/>
  <c r="O108" i="105"/>
  <c r="O107" i="105"/>
  <c r="O106" i="105"/>
  <c r="O105" i="105"/>
  <c r="O104" i="105"/>
  <c r="O103" i="105"/>
  <c r="O102" i="105"/>
  <c r="O101" i="105"/>
  <c r="O100" i="105"/>
  <c r="O99" i="105"/>
  <c r="O98" i="105"/>
  <c r="O97" i="105"/>
  <c r="O96" i="105"/>
  <c r="O95" i="105"/>
  <c r="O94" i="105"/>
  <c r="O93" i="105"/>
  <c r="O92" i="105"/>
  <c r="O91" i="105"/>
  <c r="O90" i="105"/>
  <c r="O89" i="105"/>
  <c r="O88" i="105"/>
  <c r="O87" i="105"/>
  <c r="O86" i="105"/>
  <c r="O85" i="105"/>
  <c r="O84" i="105"/>
  <c r="O83" i="105"/>
  <c r="O82" i="105"/>
  <c r="O81" i="105"/>
  <c r="O80" i="105"/>
  <c r="O79" i="105"/>
  <c r="O78" i="105"/>
  <c r="O77" i="105"/>
  <c r="O76" i="105"/>
  <c r="O75" i="105"/>
  <c r="O74" i="105"/>
  <c r="O73" i="105"/>
  <c r="O72" i="105"/>
  <c r="O71" i="105"/>
  <c r="O70" i="105"/>
  <c r="O69" i="105"/>
  <c r="O68" i="105"/>
  <c r="O67" i="105"/>
  <c r="O66" i="105"/>
  <c r="O65" i="105"/>
  <c r="O64" i="105"/>
  <c r="O63" i="105"/>
  <c r="O62" i="105"/>
  <c r="O61" i="105"/>
  <c r="O60" i="105"/>
  <c r="O59" i="105"/>
  <c r="O58" i="105"/>
  <c r="O57" i="105"/>
  <c r="O56" i="105"/>
  <c r="O55" i="105"/>
  <c r="O54" i="105"/>
  <c r="O53" i="105"/>
  <c r="O52" i="105"/>
  <c r="O51" i="105"/>
  <c r="O50" i="105"/>
  <c r="O49" i="105"/>
  <c r="O48" i="105"/>
  <c r="O47" i="105"/>
  <c r="O46" i="105"/>
  <c r="O45" i="105"/>
  <c r="O44" i="105"/>
  <c r="O43" i="105"/>
  <c r="O42" i="105"/>
  <c r="O41" i="105"/>
  <c r="O40" i="105"/>
  <c r="O39" i="105"/>
  <c r="O38" i="105"/>
  <c r="O37" i="105"/>
  <c r="O36" i="105"/>
  <c r="O35" i="105"/>
  <c r="O34" i="105"/>
  <c r="O33" i="105"/>
  <c r="O32" i="105"/>
  <c r="O31" i="105"/>
  <c r="O30" i="105"/>
  <c r="O29" i="105"/>
  <c r="O28" i="105"/>
  <c r="O27" i="105"/>
  <c r="O26" i="105"/>
  <c r="O25" i="105"/>
  <c r="O24" i="105"/>
  <c r="O23" i="105"/>
  <c r="O22" i="105"/>
  <c r="O21" i="105"/>
  <c r="O20" i="105"/>
  <c r="O19" i="105"/>
  <c r="O18" i="105"/>
  <c r="O17" i="105"/>
  <c r="O16" i="105"/>
  <c r="O15" i="105"/>
  <c r="O14" i="105"/>
  <c r="O12" i="105"/>
  <c r="O276" i="105" l="1"/>
  <c r="R12" i="103"/>
  <c r="S35" i="23" l="1"/>
  <c r="S33" i="23"/>
  <c r="S31" i="23"/>
  <c r="R24" i="103"/>
  <c r="R22" i="103"/>
  <c r="L32" i="104" l="1"/>
  <c r="L31" i="104"/>
  <c r="R20" i="103" l="1"/>
  <c r="R19" i="103"/>
  <c r="R18" i="103"/>
  <c r="R17" i="103"/>
  <c r="R15" i="103" l="1"/>
  <c r="R14" i="103"/>
  <c r="R13" i="103"/>
  <c r="G41" i="104" l="1"/>
  <c r="Q229" i="103"/>
  <c r="N202" i="103"/>
  <c r="N201" i="103"/>
  <c r="N200" i="103"/>
  <c r="N199" i="103"/>
  <c r="N198" i="103"/>
  <c r="N197" i="103"/>
  <c r="N196" i="103"/>
  <c r="N195" i="103"/>
  <c r="N194" i="103"/>
  <c r="N193" i="103"/>
  <c r="N192" i="103"/>
  <c r="N191" i="103"/>
  <c r="N190" i="103"/>
  <c r="N189" i="103"/>
  <c r="N188" i="103"/>
  <c r="N187" i="103"/>
  <c r="N186" i="103"/>
  <c r="N185" i="103"/>
  <c r="N184" i="103"/>
  <c r="N183" i="103"/>
  <c r="N182" i="103"/>
  <c r="N181" i="103"/>
  <c r="N180" i="103"/>
  <c r="N179" i="103"/>
  <c r="N178" i="103"/>
  <c r="N177" i="103"/>
  <c r="N176" i="103"/>
  <c r="N175" i="103"/>
  <c r="N174" i="103"/>
  <c r="N173" i="103"/>
  <c r="N172" i="103"/>
  <c r="N171" i="103"/>
  <c r="N170" i="103"/>
  <c r="N169" i="103"/>
  <c r="N168" i="103"/>
  <c r="N167" i="103"/>
  <c r="N166" i="103"/>
  <c r="N165" i="103"/>
  <c r="N164" i="103"/>
  <c r="N163" i="103"/>
  <c r="N162" i="103"/>
  <c r="N161" i="103"/>
  <c r="N160" i="103"/>
  <c r="N159" i="103"/>
  <c r="N158" i="103"/>
  <c r="N157" i="103"/>
  <c r="N156" i="103"/>
  <c r="N155" i="103"/>
  <c r="N154" i="103"/>
  <c r="N153" i="103"/>
  <c r="N152" i="103"/>
  <c r="N151" i="103"/>
  <c r="N150" i="103"/>
  <c r="N149" i="103"/>
  <c r="N148" i="103"/>
  <c r="N147" i="103"/>
  <c r="N146" i="103"/>
  <c r="N145" i="103"/>
  <c r="N144" i="103"/>
  <c r="N143" i="103"/>
  <c r="N142" i="103"/>
  <c r="N141" i="103"/>
  <c r="N140" i="103"/>
  <c r="N139" i="103"/>
  <c r="N138" i="103"/>
  <c r="N137" i="103"/>
  <c r="N136" i="103"/>
  <c r="N135" i="103"/>
  <c r="N134" i="103"/>
  <c r="N133" i="103"/>
  <c r="N132" i="103"/>
  <c r="N131" i="103"/>
  <c r="N130" i="103"/>
  <c r="N129" i="103"/>
  <c r="N128" i="103"/>
  <c r="N127" i="103"/>
  <c r="N126" i="103"/>
  <c r="N125" i="103"/>
  <c r="N124" i="103"/>
  <c r="N123" i="103"/>
  <c r="N122" i="103"/>
  <c r="N121" i="103"/>
  <c r="N120" i="103"/>
  <c r="N119" i="103"/>
  <c r="N118" i="103"/>
  <c r="N117" i="103"/>
  <c r="N116" i="103"/>
  <c r="N115" i="103"/>
  <c r="N114" i="103"/>
  <c r="N113" i="103"/>
  <c r="N112" i="103"/>
  <c r="N111" i="103"/>
  <c r="N110" i="103"/>
  <c r="N109" i="103"/>
  <c r="N108" i="103"/>
  <c r="N107" i="103"/>
  <c r="N106" i="103"/>
  <c r="N105" i="103"/>
  <c r="N104" i="103"/>
  <c r="N103" i="103"/>
  <c r="N102" i="103"/>
  <c r="N101" i="103"/>
  <c r="N100" i="103"/>
  <c r="N99" i="103"/>
  <c r="N98" i="103"/>
  <c r="N97" i="103"/>
  <c r="N96" i="103"/>
  <c r="N95" i="103"/>
  <c r="N94" i="103"/>
  <c r="N93" i="103"/>
  <c r="N92" i="103"/>
  <c r="N91" i="103"/>
  <c r="N90" i="103"/>
  <c r="N89" i="103"/>
  <c r="N88" i="103"/>
  <c r="N87" i="103"/>
  <c r="N86" i="103"/>
  <c r="N85" i="103"/>
  <c r="N84" i="103"/>
  <c r="N83" i="103"/>
  <c r="N82" i="103"/>
  <c r="N81" i="103"/>
  <c r="N80" i="103"/>
  <c r="N79" i="103"/>
  <c r="N78" i="103"/>
  <c r="N77" i="103"/>
  <c r="N76" i="103"/>
  <c r="N75" i="103"/>
  <c r="N74" i="103"/>
  <c r="N73" i="103"/>
  <c r="N72" i="103"/>
  <c r="N71" i="103"/>
  <c r="N70" i="103"/>
  <c r="N69" i="103"/>
  <c r="N68" i="103"/>
  <c r="N67" i="103"/>
  <c r="N66" i="103"/>
  <c r="N65" i="103"/>
  <c r="N64" i="103"/>
  <c r="N63" i="103"/>
  <c r="N62" i="103"/>
  <c r="N61" i="103"/>
  <c r="N60" i="103"/>
  <c r="N59" i="103"/>
  <c r="N58" i="103"/>
  <c r="N57" i="103"/>
  <c r="N56" i="103"/>
  <c r="N55" i="103"/>
  <c r="N54" i="103"/>
  <c r="N53" i="103"/>
  <c r="N52" i="103"/>
  <c r="N51" i="103"/>
  <c r="N50" i="103"/>
  <c r="N49" i="103"/>
  <c r="N48" i="103"/>
  <c r="N47" i="103"/>
  <c r="N46" i="103"/>
  <c r="N45" i="103"/>
  <c r="N44" i="103"/>
  <c r="N43" i="103"/>
  <c r="N42" i="103"/>
  <c r="N41" i="103"/>
  <c r="N40" i="103"/>
  <c r="N39" i="103"/>
  <c r="N38" i="103"/>
  <c r="N37" i="103"/>
  <c r="N36" i="103"/>
  <c r="N35" i="103"/>
  <c r="N34" i="103"/>
  <c r="N33" i="103"/>
  <c r="N32" i="103"/>
  <c r="N31" i="103"/>
  <c r="N30" i="103"/>
  <c r="N29" i="103"/>
  <c r="N28" i="103"/>
  <c r="N27" i="103"/>
  <c r="N26" i="103"/>
  <c r="N25" i="103"/>
  <c r="N24" i="103"/>
  <c r="N23" i="103"/>
  <c r="N22" i="103"/>
  <c r="N21" i="103"/>
  <c r="N20" i="103"/>
  <c r="N19" i="103"/>
  <c r="N18" i="103"/>
  <c r="N17" i="103"/>
  <c r="N16" i="103"/>
  <c r="N15" i="103"/>
  <c r="N14" i="103"/>
  <c r="N13" i="103"/>
  <c r="N12" i="103"/>
  <c r="N275" i="103" l="1"/>
  <c r="R24" i="101"/>
  <c r="R22" i="101"/>
  <c r="R20" i="101"/>
  <c r="R19" i="101"/>
  <c r="R17" i="101"/>
  <c r="R15" i="101"/>
  <c r="R13" i="101"/>
  <c r="R12" i="101"/>
  <c r="G41" i="102"/>
  <c r="Q29" i="101"/>
  <c r="Q30" i="101" s="1"/>
  <c r="Q229" i="101" l="1"/>
  <c r="R26" i="101" l="1"/>
  <c r="R25" i="101"/>
  <c r="N202" i="101" l="1"/>
  <c r="N201" i="101"/>
  <c r="L38" i="102" l="1"/>
  <c r="L36" i="102"/>
  <c r="L35" i="102"/>
  <c r="N200" i="101"/>
  <c r="N199" i="101"/>
  <c r="N198" i="101"/>
  <c r="N197" i="101"/>
  <c r="N196" i="101"/>
  <c r="N195" i="101"/>
  <c r="N193" i="101"/>
  <c r="N192" i="101"/>
  <c r="N191" i="101"/>
  <c r="N190" i="101"/>
  <c r="N189" i="101"/>
  <c r="N188" i="101"/>
  <c r="N187" i="101"/>
  <c r="N186" i="101"/>
  <c r="N185" i="101"/>
  <c r="N184" i="101"/>
  <c r="N183" i="101"/>
  <c r="N182" i="101"/>
  <c r="N181" i="101"/>
  <c r="N180" i="101"/>
  <c r="N179" i="101"/>
  <c r="N178" i="101"/>
  <c r="N177" i="101"/>
  <c r="N176" i="101"/>
  <c r="N175" i="101"/>
  <c r="N174" i="101"/>
  <c r="N173" i="101"/>
  <c r="N172" i="101"/>
  <c r="N171" i="101"/>
  <c r="N170" i="101"/>
  <c r="N169" i="101" l="1"/>
  <c r="N168" i="101"/>
  <c r="N167" i="101"/>
  <c r="N166" i="101"/>
  <c r="N165" i="101"/>
  <c r="N164" i="101"/>
  <c r="N163" i="101"/>
  <c r="N162" i="101"/>
  <c r="N161" i="101"/>
  <c r="N160" i="101"/>
  <c r="N159" i="101"/>
  <c r="N158" i="101"/>
  <c r="L32" i="102" l="1"/>
  <c r="N194" i="101" l="1"/>
  <c r="N157" i="101"/>
  <c r="N156" i="101"/>
  <c r="N155" i="101"/>
  <c r="N154" i="101"/>
  <c r="N153" i="101"/>
  <c r="N152" i="101"/>
  <c r="N151" i="101"/>
  <c r="N150" i="101"/>
  <c r="N149" i="101"/>
  <c r="N148" i="101"/>
  <c r="N147" i="101"/>
  <c r="N146" i="101"/>
  <c r="N145" i="101"/>
  <c r="N144" i="101"/>
  <c r="N143" i="101"/>
  <c r="N142" i="101"/>
  <c r="N141" i="101"/>
  <c r="N140" i="101"/>
  <c r="N139" i="101"/>
  <c r="N138" i="101"/>
  <c r="N137" i="101"/>
  <c r="N136" i="101"/>
  <c r="N135" i="101"/>
  <c r="N134" i="101"/>
  <c r="N133" i="101"/>
  <c r="N132" i="101"/>
  <c r="N131" i="101"/>
  <c r="N130" i="101"/>
  <c r="N129" i="101"/>
  <c r="N128" i="101"/>
  <c r="N127" i="101"/>
  <c r="N126" i="101"/>
  <c r="N125" i="101"/>
  <c r="N124" i="101"/>
  <c r="N123" i="101"/>
  <c r="N122" i="101"/>
  <c r="N121" i="101"/>
  <c r="N120" i="101"/>
  <c r="N119" i="101"/>
  <c r="N118" i="101"/>
  <c r="N117" i="101"/>
  <c r="N116" i="101"/>
  <c r="N115" i="101"/>
  <c r="N114" i="101"/>
  <c r="N113" i="101"/>
  <c r="N112" i="101"/>
  <c r="N111" i="101"/>
  <c r="N110" i="101"/>
  <c r="N109" i="101"/>
  <c r="N108" i="101"/>
  <c r="N107" i="101"/>
  <c r="N106" i="101"/>
  <c r="N105" i="101"/>
  <c r="N104" i="101"/>
  <c r="N103" i="101"/>
  <c r="N102" i="101"/>
  <c r="N101" i="101"/>
  <c r="N100" i="101"/>
  <c r="N99" i="101"/>
  <c r="N98" i="101"/>
  <c r="N97" i="101"/>
  <c r="N96" i="101"/>
  <c r="N95" i="101"/>
  <c r="N94" i="101"/>
  <c r="N93" i="101"/>
  <c r="N92" i="101"/>
  <c r="N91" i="101"/>
  <c r="N90" i="101"/>
  <c r="N89" i="101"/>
  <c r="N88" i="101"/>
  <c r="N87" i="101"/>
  <c r="N86" i="101"/>
  <c r="N85" i="101"/>
  <c r="N84" i="101"/>
  <c r="N83" i="101"/>
  <c r="N82" i="101"/>
  <c r="N81" i="101"/>
  <c r="N80" i="101"/>
  <c r="N79" i="101"/>
  <c r="N78" i="101"/>
  <c r="N77" i="101"/>
  <c r="N76" i="101"/>
  <c r="N75" i="101"/>
  <c r="N74" i="101"/>
  <c r="N73" i="101"/>
  <c r="N72" i="101"/>
  <c r="N71" i="101"/>
  <c r="N70" i="101"/>
  <c r="N69" i="101"/>
  <c r="N68" i="101"/>
  <c r="N67" i="101"/>
  <c r="N66" i="101"/>
  <c r="N65" i="101"/>
  <c r="N64" i="101"/>
  <c r="N63" i="101"/>
  <c r="N62" i="101"/>
  <c r="N61" i="101"/>
  <c r="N60" i="101"/>
  <c r="N59" i="101"/>
  <c r="N58" i="101"/>
  <c r="N57" i="101"/>
  <c r="N56" i="101"/>
  <c r="N55" i="101"/>
  <c r="N54" i="101"/>
  <c r="N53" i="101"/>
  <c r="N52" i="101"/>
  <c r="N51" i="101"/>
  <c r="N50" i="101"/>
  <c r="N49" i="101"/>
  <c r="N48" i="101"/>
  <c r="N47" i="101"/>
  <c r="N46" i="101"/>
  <c r="N45" i="101"/>
  <c r="N44" i="101"/>
  <c r="N43" i="101"/>
  <c r="N42" i="101"/>
  <c r="N41" i="101"/>
  <c r="N40" i="101"/>
  <c r="N39" i="101"/>
  <c r="N38" i="101"/>
  <c r="N37" i="101"/>
  <c r="N36" i="101"/>
  <c r="N35" i="101"/>
  <c r="N34" i="101"/>
  <c r="N33" i="101"/>
  <c r="N32" i="101"/>
  <c r="N31" i="101"/>
  <c r="N30" i="101"/>
  <c r="N29" i="101"/>
  <c r="N28" i="101"/>
  <c r="N27" i="101"/>
  <c r="N26" i="101"/>
  <c r="N25" i="101"/>
  <c r="N24" i="101"/>
  <c r="N23" i="101"/>
  <c r="N22" i="101"/>
  <c r="N21" i="101"/>
  <c r="N20" i="101"/>
  <c r="N19" i="101"/>
  <c r="N18" i="101"/>
  <c r="N17" i="101"/>
  <c r="N16" i="101"/>
  <c r="N15" i="101"/>
  <c r="N14" i="101"/>
  <c r="N13" i="101"/>
  <c r="N12" i="101"/>
  <c r="N275" i="101" l="1"/>
  <c r="Q33" i="99"/>
  <c r="F29" i="100"/>
  <c r="R23" i="99"/>
  <c r="R13" i="99"/>
  <c r="R22" i="99"/>
  <c r="R20" i="99"/>
  <c r="R18" i="99"/>
  <c r="R16" i="99"/>
  <c r="R12" i="99"/>
  <c r="N158" i="99" l="1"/>
  <c r="N157" i="99"/>
  <c r="N156" i="99"/>
  <c r="N155" i="99"/>
  <c r="N154" i="99"/>
  <c r="N153" i="99"/>
  <c r="N152" i="99"/>
  <c r="N151" i="99"/>
  <c r="N150" i="99"/>
  <c r="N149" i="99"/>
  <c r="N148" i="99"/>
  <c r="N147" i="99"/>
  <c r="N146" i="99"/>
  <c r="N145" i="99"/>
  <c r="N144" i="99"/>
  <c r="N143" i="99"/>
  <c r="N142" i="99"/>
  <c r="N141" i="99"/>
  <c r="N140" i="99"/>
  <c r="N139" i="99"/>
  <c r="N138" i="99"/>
  <c r="N137" i="99" l="1"/>
  <c r="N136" i="99"/>
  <c r="N135" i="99"/>
  <c r="N134" i="99"/>
  <c r="N133" i="99"/>
  <c r="N132" i="99"/>
  <c r="N131" i="99"/>
  <c r="N130" i="99"/>
  <c r="N129" i="99"/>
  <c r="N128" i="99" l="1"/>
  <c r="N127" i="99"/>
  <c r="N126" i="99"/>
  <c r="N125" i="99"/>
  <c r="N124" i="99"/>
  <c r="N123" i="99"/>
  <c r="N122" i="99"/>
  <c r="N121" i="99"/>
  <c r="N120" i="99"/>
  <c r="N119" i="99"/>
  <c r="N118" i="99"/>
  <c r="N117" i="99"/>
  <c r="L34" i="100" l="1"/>
  <c r="L32" i="100"/>
  <c r="N116" i="99" l="1"/>
  <c r="N115" i="99"/>
  <c r="N114" i="99"/>
  <c r="N113" i="99"/>
  <c r="N112" i="99"/>
  <c r="N111" i="99"/>
  <c r="N110" i="99"/>
  <c r="N109" i="99"/>
  <c r="N108" i="99"/>
  <c r="N107" i="99"/>
  <c r="N106" i="99"/>
  <c r="N105" i="99"/>
  <c r="N104" i="99"/>
  <c r="N103" i="99"/>
  <c r="N102" i="99"/>
  <c r="N101" i="99"/>
  <c r="N100" i="99"/>
  <c r="N99" i="99"/>
  <c r="N98" i="99"/>
  <c r="N97" i="99"/>
  <c r="N96" i="99"/>
  <c r="N95" i="99"/>
  <c r="N94" i="99"/>
  <c r="N93" i="99"/>
  <c r="N92" i="99"/>
  <c r="N91" i="99"/>
  <c r="N90" i="99"/>
  <c r="N89" i="99"/>
  <c r="N88" i="99"/>
  <c r="N87" i="99"/>
  <c r="N86" i="99"/>
  <c r="N85" i="99"/>
  <c r="N84" i="99"/>
  <c r="N83" i="99"/>
  <c r="N82" i="99"/>
  <c r="N81" i="99"/>
  <c r="N80" i="99"/>
  <c r="N79" i="99"/>
  <c r="N78" i="99"/>
  <c r="N77" i="99"/>
  <c r="N76" i="99"/>
  <c r="N75" i="99"/>
  <c r="N74" i="99"/>
  <c r="N73" i="99"/>
  <c r="N72" i="99"/>
  <c r="N71" i="99"/>
  <c r="N70" i="99"/>
  <c r="N69" i="99"/>
  <c r="N68" i="99"/>
  <c r="N67" i="99"/>
  <c r="N66" i="99"/>
  <c r="N65" i="99"/>
  <c r="N64" i="99"/>
  <c r="N63" i="99"/>
  <c r="N62" i="99"/>
  <c r="N61" i="99"/>
  <c r="N60" i="99"/>
  <c r="N59" i="99"/>
  <c r="N58" i="99"/>
  <c r="N57" i="99"/>
  <c r="N56" i="99"/>
  <c r="N55" i="99"/>
  <c r="N54" i="99"/>
  <c r="N53" i="99"/>
  <c r="N52" i="99"/>
  <c r="N51" i="99"/>
  <c r="N50" i="99"/>
  <c r="N49" i="99"/>
  <c r="N48" i="99"/>
  <c r="N47" i="99"/>
  <c r="N46" i="99"/>
  <c r="N45" i="99"/>
  <c r="N44" i="99"/>
  <c r="N43" i="99"/>
  <c r="N42" i="99"/>
  <c r="N41" i="99"/>
  <c r="N40" i="99"/>
  <c r="N39" i="99"/>
  <c r="N38" i="99"/>
  <c r="N37" i="99"/>
  <c r="N36" i="99"/>
  <c r="N35" i="99"/>
  <c r="N34" i="99"/>
  <c r="N33" i="99"/>
  <c r="N32" i="99"/>
  <c r="N31" i="99"/>
  <c r="N30" i="99"/>
  <c r="N29" i="99"/>
  <c r="N28" i="99"/>
  <c r="N27" i="99"/>
  <c r="N26" i="99"/>
  <c r="N25" i="99"/>
  <c r="N24" i="99"/>
  <c r="N23" i="99"/>
  <c r="N22" i="99"/>
  <c r="N21" i="99"/>
  <c r="N20" i="99"/>
  <c r="N19" i="99"/>
  <c r="N18" i="99"/>
  <c r="N17" i="99"/>
  <c r="N16" i="99"/>
  <c r="N15" i="99"/>
  <c r="N14" i="99"/>
  <c r="N13" i="99"/>
  <c r="N12" i="99"/>
  <c r="N159" i="99" l="1"/>
  <c r="R3" i="97"/>
  <c r="Q3" i="97"/>
  <c r="R22" i="97" l="1"/>
  <c r="R21" i="97"/>
  <c r="N116" i="97"/>
  <c r="N115" i="97"/>
  <c r="N114" i="97"/>
  <c r="N113" i="97"/>
  <c r="N112" i="97"/>
  <c r="N111" i="97"/>
  <c r="N110" i="97"/>
  <c r="N109" i="97"/>
  <c r="N108" i="97"/>
  <c r="N107" i="97"/>
  <c r="N106" i="97"/>
  <c r="N105" i="97"/>
  <c r="N104" i="97"/>
  <c r="N103" i="97"/>
  <c r="N102" i="97"/>
  <c r="R17" i="97" l="1"/>
  <c r="R16" i="97"/>
  <c r="R15" i="97"/>
  <c r="N101" i="97"/>
  <c r="N100" i="97"/>
  <c r="N99" i="97"/>
  <c r="N98" i="97"/>
  <c r="N97" i="97"/>
  <c r="N96" i="97"/>
  <c r="N95" i="97"/>
  <c r="N94" i="97"/>
  <c r="N93" i="97"/>
  <c r="N92" i="97"/>
  <c r="N91" i="97"/>
  <c r="N90" i="97"/>
  <c r="N88" i="97"/>
  <c r="N87" i="97"/>
  <c r="N86" i="97"/>
  <c r="N85" i="97"/>
  <c r="N84" i="97"/>
  <c r="N83" i="97"/>
  <c r="N77" i="97"/>
  <c r="R12" i="97" l="1"/>
  <c r="N89" i="97" l="1"/>
  <c r="N82" i="97"/>
  <c r="N81" i="97"/>
  <c r="N80" i="97"/>
  <c r="N79" i="97"/>
  <c r="N78" i="97"/>
  <c r="N76" i="97"/>
  <c r="N75" i="97"/>
  <c r="N74" i="97"/>
  <c r="N73" i="97"/>
  <c r="N72" i="97"/>
  <c r="N71" i="97"/>
  <c r="N70" i="97"/>
  <c r="N69" i="97"/>
  <c r="N68" i="97"/>
  <c r="N67" i="97"/>
  <c r="N66" i="97"/>
  <c r="N65" i="97"/>
  <c r="N64" i="97"/>
  <c r="N63" i="97"/>
  <c r="N62" i="97"/>
  <c r="N61" i="97"/>
  <c r="N60" i="97"/>
  <c r="N59" i="97"/>
  <c r="N58" i="97"/>
  <c r="N57" i="97"/>
  <c r="N56" i="97"/>
  <c r="N55" i="97"/>
  <c r="N54" i="97"/>
  <c r="N53" i="97"/>
  <c r="N52" i="97"/>
  <c r="N51" i="97"/>
  <c r="N50" i="97"/>
  <c r="N49" i="97"/>
  <c r="N48" i="97"/>
  <c r="N47" i="97"/>
  <c r="N46" i="97"/>
  <c r="N45" i="97"/>
  <c r="N44" i="97"/>
  <c r="N43" i="97"/>
  <c r="N42" i="97"/>
  <c r="N41" i="97"/>
  <c r="N40" i="97"/>
  <c r="N39" i="97"/>
  <c r="N38" i="97"/>
  <c r="N37" i="97"/>
  <c r="N36" i="97"/>
  <c r="N35" i="97"/>
  <c r="N34" i="97"/>
  <c r="N33" i="97"/>
  <c r="N32" i="97"/>
  <c r="N31" i="97"/>
  <c r="N30" i="97"/>
  <c r="N29" i="97"/>
  <c r="N28" i="97"/>
  <c r="N27" i="97"/>
  <c r="N26" i="97"/>
  <c r="N25" i="97"/>
  <c r="N24" i="97"/>
  <c r="N23" i="97"/>
  <c r="N22" i="97"/>
  <c r="N21" i="97"/>
  <c r="N20" i="97"/>
  <c r="N19" i="97"/>
  <c r="N18" i="97"/>
  <c r="N17" i="97"/>
  <c r="N16" i="97"/>
  <c r="N15" i="97"/>
  <c r="N14" i="97"/>
  <c r="N13" i="97"/>
  <c r="N12" i="97"/>
  <c r="N120" i="97" l="1"/>
  <c r="R17" i="96"/>
  <c r="R7" i="96"/>
  <c r="R6" i="96"/>
  <c r="R5" i="96"/>
  <c r="R12" i="96"/>
  <c r="Q5" i="96"/>
  <c r="R21" i="96"/>
  <c r="R22" i="96" l="1"/>
  <c r="R18" i="96" l="1"/>
  <c r="R16" i="96"/>
  <c r="R14" i="96" l="1"/>
  <c r="N83" i="96" l="1"/>
  <c r="N82" i="96"/>
  <c r="N81" i="96"/>
  <c r="N80" i="96"/>
  <c r="N79" i="96"/>
  <c r="N78" i="96"/>
  <c r="N77" i="96"/>
  <c r="N76" i="96"/>
  <c r="N75" i="96"/>
  <c r="N74" i="96"/>
  <c r="N73" i="96"/>
  <c r="N72" i="96"/>
  <c r="N71" i="96"/>
  <c r="N70" i="96"/>
  <c r="N69" i="96"/>
  <c r="N68" i="96"/>
  <c r="N67" i="96"/>
  <c r="N66" i="96"/>
  <c r="N65" i="96"/>
  <c r="N64" i="96"/>
  <c r="N63" i="96"/>
  <c r="N62" i="96"/>
  <c r="N61" i="96"/>
  <c r="N60" i="96"/>
  <c r="N59" i="96"/>
  <c r="N58" i="96"/>
  <c r="N57" i="96"/>
  <c r="N56" i="96"/>
  <c r="N55" i="96"/>
  <c r="N54" i="96"/>
  <c r="N53" i="96"/>
  <c r="N52" i="96"/>
  <c r="N51" i="96"/>
  <c r="N50" i="96"/>
  <c r="N49" i="96"/>
  <c r="N48" i="96"/>
  <c r="N47" i="96"/>
  <c r="N46" i="96"/>
  <c r="N45" i="96"/>
  <c r="N44" i="96"/>
  <c r="N43" i="96"/>
  <c r="N42" i="96"/>
  <c r="N41" i="96"/>
  <c r="N40" i="96"/>
  <c r="N39" i="96"/>
  <c r="N38" i="96"/>
  <c r="N37" i="96"/>
  <c r="N36" i="96"/>
  <c r="N35" i="96"/>
  <c r="N34" i="96"/>
  <c r="N33" i="96"/>
  <c r="N32" i="96"/>
  <c r="N31" i="96"/>
  <c r="N30" i="96"/>
  <c r="N29" i="96"/>
  <c r="N28" i="96"/>
  <c r="N27" i="96"/>
  <c r="N26" i="96"/>
  <c r="N25" i="96"/>
  <c r="N24" i="96"/>
  <c r="N23" i="96"/>
  <c r="N22" i="96"/>
  <c r="N21" i="96"/>
  <c r="N20" i="96"/>
  <c r="N19" i="96"/>
  <c r="N18" i="96"/>
  <c r="N17" i="96"/>
  <c r="N16" i="96"/>
  <c r="N15" i="96"/>
  <c r="N14" i="96"/>
  <c r="N13" i="96"/>
  <c r="N12" i="96"/>
  <c r="N84" i="96" l="1"/>
  <c r="R21" i="93"/>
  <c r="R20" i="93"/>
  <c r="S19" i="23" l="1"/>
  <c r="R17" i="93"/>
  <c r="R15" i="93" l="1"/>
  <c r="R13" i="93" l="1"/>
  <c r="R12" i="93"/>
  <c r="N162" i="93"/>
  <c r="N161" i="93"/>
  <c r="N160" i="93"/>
  <c r="N159" i="93"/>
  <c r="N158" i="93"/>
  <c r="N157" i="93"/>
  <c r="N156" i="93"/>
  <c r="N155" i="93"/>
  <c r="N154" i="93"/>
  <c r="N153" i="93"/>
  <c r="N152" i="93"/>
  <c r="N151" i="93"/>
  <c r="N150" i="93"/>
  <c r="N149" i="93"/>
  <c r="N148" i="93"/>
  <c r="N147" i="93"/>
  <c r="N146" i="93"/>
  <c r="N145" i="93"/>
  <c r="N144" i="93"/>
  <c r="N143" i="93"/>
  <c r="N142" i="93"/>
  <c r="N141" i="93"/>
  <c r="N140" i="93"/>
  <c r="N139" i="93"/>
  <c r="N138" i="93"/>
  <c r="N137" i="93"/>
  <c r="N136" i="93"/>
  <c r="N135" i="93"/>
  <c r="N134" i="93"/>
  <c r="N133" i="93"/>
  <c r="N132" i="93"/>
  <c r="N131" i="93"/>
  <c r="N130" i="93"/>
  <c r="N129" i="93"/>
  <c r="N128" i="93"/>
  <c r="N127" i="93"/>
  <c r="N126" i="93"/>
  <c r="N125" i="93"/>
  <c r="N124" i="93"/>
  <c r="N123" i="93"/>
  <c r="N122" i="93"/>
  <c r="N121" i="93"/>
  <c r="N120" i="93"/>
  <c r="N119" i="93"/>
  <c r="N118" i="93"/>
  <c r="N117" i="93"/>
  <c r="N116" i="93"/>
  <c r="N115" i="93"/>
  <c r="N114" i="93"/>
  <c r="N113" i="93"/>
  <c r="N112" i="93"/>
  <c r="N111" i="93"/>
  <c r="N110" i="93"/>
  <c r="N109" i="93"/>
  <c r="N108" i="93"/>
  <c r="N107" i="93"/>
  <c r="N106" i="93"/>
  <c r="N105" i="93"/>
  <c r="N104" i="93"/>
  <c r="N103" i="93"/>
  <c r="N102" i="93"/>
  <c r="N101" i="93"/>
  <c r="N100" i="93"/>
  <c r="N99" i="93"/>
  <c r="N98" i="93"/>
  <c r="N97" i="93"/>
  <c r="N96" i="93"/>
  <c r="N95" i="93"/>
  <c r="N94" i="93"/>
  <c r="N93" i="93"/>
  <c r="N92" i="93"/>
  <c r="N91" i="93"/>
  <c r="N90" i="93"/>
  <c r="N89" i="93"/>
  <c r="N88" i="93"/>
  <c r="N87" i="93"/>
  <c r="N86" i="93"/>
  <c r="N85" i="93"/>
  <c r="N84" i="93"/>
  <c r="N83" i="93"/>
  <c r="N82" i="93"/>
  <c r="N81" i="93"/>
  <c r="N80" i="93"/>
  <c r="N79" i="93"/>
  <c r="N78" i="93"/>
  <c r="N77" i="93"/>
  <c r="N76" i="93"/>
  <c r="N75" i="93"/>
  <c r="N74" i="93"/>
  <c r="N73" i="93"/>
  <c r="N72" i="93"/>
  <c r="N71" i="93"/>
  <c r="N70" i="93"/>
  <c r="N69" i="93"/>
  <c r="N68" i="93"/>
  <c r="N67" i="93"/>
  <c r="N66" i="93"/>
  <c r="N65" i="93"/>
  <c r="N64" i="93"/>
  <c r="N63" i="93"/>
  <c r="N62" i="93"/>
  <c r="N61" i="93"/>
  <c r="N60" i="93"/>
  <c r="N59" i="93"/>
  <c r="N58" i="93"/>
  <c r="N57" i="93"/>
  <c r="N56" i="93"/>
  <c r="N55" i="93"/>
  <c r="N54" i="93"/>
  <c r="N53" i="93"/>
  <c r="N52" i="93"/>
  <c r="N51" i="93"/>
  <c r="N50" i="93"/>
  <c r="N49" i="93"/>
  <c r="N48" i="93"/>
  <c r="N47" i="93"/>
  <c r="N46" i="93"/>
  <c r="N45" i="93"/>
  <c r="N44" i="93"/>
  <c r="N43" i="93"/>
  <c r="N42" i="93"/>
  <c r="N41" i="93"/>
  <c r="N40" i="93"/>
  <c r="N39" i="93"/>
  <c r="N38" i="93"/>
  <c r="N37" i="93"/>
  <c r="N36" i="93"/>
  <c r="N35" i="93"/>
  <c r="N34" i="93"/>
  <c r="N33" i="93"/>
  <c r="N32" i="93"/>
  <c r="N31" i="93"/>
  <c r="N30" i="93"/>
  <c r="N29" i="93"/>
  <c r="N28" i="93"/>
  <c r="N27" i="93"/>
  <c r="N26" i="93"/>
  <c r="N25" i="93"/>
  <c r="N24" i="93"/>
  <c r="N23" i="93"/>
  <c r="N22" i="93"/>
  <c r="N21" i="93"/>
  <c r="N20" i="93"/>
  <c r="N19" i="93"/>
  <c r="N18" i="93"/>
  <c r="N17" i="93"/>
  <c r="N16" i="93"/>
  <c r="N15" i="93"/>
  <c r="N14" i="93"/>
  <c r="N13" i="93"/>
  <c r="N12" i="93"/>
  <c r="Q22" i="91"/>
  <c r="N163" i="93" l="1"/>
  <c r="Q19" i="91"/>
  <c r="Q17" i="91" l="1"/>
  <c r="Q15" i="91"/>
  <c r="Q12" i="91"/>
  <c r="L30" i="92" l="1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12" i="23"/>
  <c r="L29" i="92"/>
  <c r="Q13" i="91" l="1"/>
  <c r="D11" i="23" l="1"/>
  <c r="J32" i="90"/>
  <c r="Q18" i="89" l="1"/>
  <c r="L30" i="90" l="1"/>
  <c r="M164" i="91" l="1"/>
  <c r="M163" i="91"/>
  <c r="M162" i="91"/>
  <c r="M161" i="91"/>
  <c r="M160" i="91"/>
  <c r="M159" i="91"/>
  <c r="M158" i="91"/>
  <c r="M157" i="91"/>
  <c r="M156" i="91"/>
  <c r="M155" i="91"/>
  <c r="M154" i="91"/>
  <c r="M153" i="91"/>
  <c r="M152" i="91"/>
  <c r="M151" i="91"/>
  <c r="M150" i="91"/>
  <c r="M149" i="91"/>
  <c r="M148" i="91"/>
  <c r="M147" i="91"/>
  <c r="M146" i="91"/>
  <c r="M145" i="91"/>
  <c r="M144" i="91"/>
  <c r="M143" i="91"/>
  <c r="M142" i="91"/>
  <c r="M141" i="91"/>
  <c r="M140" i="91"/>
  <c r="M139" i="91"/>
  <c r="M138" i="91"/>
  <c r="M137" i="91"/>
  <c r="M136" i="91"/>
  <c r="M135" i="91"/>
  <c r="M134" i="91"/>
  <c r="M133" i="91"/>
  <c r="M132" i="91"/>
  <c r="M131" i="91"/>
  <c r="M130" i="91"/>
  <c r="M129" i="91"/>
  <c r="M128" i="91"/>
  <c r="M127" i="91"/>
  <c r="M126" i="91"/>
  <c r="M125" i="91"/>
  <c r="M124" i="91"/>
  <c r="M123" i="91"/>
  <c r="M122" i="91"/>
  <c r="M121" i="91"/>
  <c r="M120" i="91"/>
  <c r="M119" i="91"/>
  <c r="M118" i="91"/>
  <c r="M117" i="91"/>
  <c r="M116" i="91"/>
  <c r="M115" i="91"/>
  <c r="M114" i="91"/>
  <c r="M113" i="91"/>
  <c r="M112" i="91"/>
  <c r="M111" i="91"/>
  <c r="M110" i="91"/>
  <c r="M109" i="91"/>
  <c r="M108" i="91"/>
  <c r="M107" i="91"/>
  <c r="M106" i="91"/>
  <c r="M105" i="91"/>
  <c r="M104" i="91"/>
  <c r="M103" i="91"/>
  <c r="M102" i="91"/>
  <c r="M101" i="91"/>
  <c r="M100" i="91"/>
  <c r="M99" i="91"/>
  <c r="M98" i="91"/>
  <c r="M97" i="91"/>
  <c r="M96" i="91"/>
  <c r="M95" i="91"/>
  <c r="M94" i="91"/>
  <c r="M93" i="91"/>
  <c r="M92" i="91"/>
  <c r="M91" i="91"/>
  <c r="M90" i="91"/>
  <c r="M89" i="91"/>
  <c r="M88" i="91"/>
  <c r="M87" i="91"/>
  <c r="M86" i="91"/>
  <c r="M85" i="91"/>
  <c r="M84" i="91"/>
  <c r="M83" i="91"/>
  <c r="M82" i="91"/>
  <c r="M81" i="91"/>
  <c r="M80" i="91"/>
  <c r="M79" i="91"/>
  <c r="M78" i="91"/>
  <c r="M77" i="91"/>
  <c r="M76" i="91"/>
  <c r="M75" i="91"/>
  <c r="M74" i="91"/>
  <c r="M73" i="91"/>
  <c r="M72" i="91"/>
  <c r="M71" i="91"/>
  <c r="M70" i="91"/>
  <c r="M69" i="91"/>
  <c r="M68" i="91"/>
  <c r="M67" i="91"/>
  <c r="M66" i="91"/>
  <c r="M65" i="91"/>
  <c r="M64" i="91"/>
  <c r="M63" i="91"/>
  <c r="M62" i="91"/>
  <c r="M61" i="91"/>
  <c r="M60" i="91"/>
  <c r="M59" i="91"/>
  <c r="M58" i="91"/>
  <c r="M57" i="91"/>
  <c r="M56" i="91"/>
  <c r="M55" i="91"/>
  <c r="M54" i="91"/>
  <c r="M53" i="91"/>
  <c r="M52" i="91"/>
  <c r="M51" i="91"/>
  <c r="M50" i="91"/>
  <c r="M49" i="91"/>
  <c r="M48" i="91"/>
  <c r="M47" i="91"/>
  <c r="M46" i="91"/>
  <c r="M45" i="91"/>
  <c r="M44" i="91"/>
  <c r="M43" i="91"/>
  <c r="M42" i="91"/>
  <c r="M41" i="91"/>
  <c r="M40" i="91"/>
  <c r="M39" i="91"/>
  <c r="M38" i="91"/>
  <c r="M37" i="91"/>
  <c r="M36" i="91"/>
  <c r="M35" i="91"/>
  <c r="M34" i="91"/>
  <c r="M33" i="91"/>
  <c r="M32" i="91"/>
  <c r="M31" i="91"/>
  <c r="M30" i="91"/>
  <c r="M29" i="91"/>
  <c r="M28" i="91"/>
  <c r="M27" i="91"/>
  <c r="M26" i="91"/>
  <c r="M25" i="91"/>
  <c r="M24" i="91"/>
  <c r="M23" i="91"/>
  <c r="M22" i="91"/>
  <c r="M21" i="91"/>
  <c r="M20" i="91"/>
  <c r="M19" i="91"/>
  <c r="M18" i="91"/>
  <c r="M17" i="91"/>
  <c r="M16" i="91"/>
  <c r="M15" i="91"/>
  <c r="M14" i="91"/>
  <c r="M13" i="91"/>
  <c r="M12" i="91"/>
  <c r="M165" i="91" l="1"/>
  <c r="M9" i="23"/>
  <c r="D9" i="23"/>
  <c r="Q16" i="89"/>
  <c r="Q15" i="89"/>
  <c r="Q13" i="89" l="1"/>
  <c r="Q12" i="89"/>
  <c r="M190" i="89"/>
  <c r="M189" i="89"/>
  <c r="M188" i="89"/>
  <c r="M187" i="89"/>
  <c r="M186" i="89"/>
  <c r="M185" i="89"/>
  <c r="M184" i="89"/>
  <c r="M183" i="89"/>
  <c r="M182" i="89"/>
  <c r="M181" i="89"/>
  <c r="M180" i="89"/>
  <c r="M179" i="89"/>
  <c r="M178" i="89"/>
  <c r="M177" i="89"/>
  <c r="M176" i="89"/>
  <c r="M175" i="89"/>
  <c r="M174" i="89"/>
  <c r="M173" i="89"/>
  <c r="M172" i="89"/>
  <c r="M171" i="89"/>
  <c r="M170" i="89"/>
  <c r="M169" i="89"/>
  <c r="M168" i="89"/>
  <c r="M167" i="89"/>
  <c r="M166" i="89"/>
  <c r="M165" i="89"/>
  <c r="M164" i="89"/>
  <c r="M163" i="89"/>
  <c r="M162" i="89"/>
  <c r="M161" i="89"/>
  <c r="M160" i="89"/>
  <c r="M159" i="89"/>
  <c r="M158" i="89"/>
  <c r="M157" i="89"/>
  <c r="M156" i="89"/>
  <c r="M155" i="89"/>
  <c r="M154" i="89"/>
  <c r="M153" i="89"/>
  <c r="M152" i="89"/>
  <c r="M151" i="89"/>
  <c r="M150" i="89"/>
  <c r="M149" i="89"/>
  <c r="M148" i="89"/>
  <c r="M147" i="89"/>
  <c r="M146" i="89"/>
  <c r="M145" i="89"/>
  <c r="M144" i="89"/>
  <c r="M143" i="89"/>
  <c r="M142" i="89"/>
  <c r="M141" i="89"/>
  <c r="M140" i="89"/>
  <c r="M139" i="89"/>
  <c r="M138" i="89"/>
  <c r="M137" i="89"/>
  <c r="M136" i="89"/>
  <c r="M135" i="89"/>
  <c r="M134" i="89"/>
  <c r="M133" i="89"/>
  <c r="M132" i="89"/>
  <c r="M131" i="89"/>
  <c r="M130" i="89"/>
  <c r="M129" i="89"/>
  <c r="M128" i="89"/>
  <c r="M127" i="89"/>
  <c r="M126" i="89"/>
  <c r="M125" i="89"/>
  <c r="M124" i="89"/>
  <c r="M123" i="89"/>
  <c r="M122" i="89"/>
  <c r="M121" i="89"/>
  <c r="M120" i="89"/>
  <c r="M119" i="89"/>
  <c r="M118" i="89"/>
  <c r="M117" i="89"/>
  <c r="M116" i="89"/>
  <c r="M115" i="89"/>
  <c r="M114" i="89"/>
  <c r="M113" i="89"/>
  <c r="M112" i="89"/>
  <c r="M111" i="89"/>
  <c r="M110" i="89"/>
  <c r="M109" i="89"/>
  <c r="M108" i="89"/>
  <c r="M107" i="89"/>
  <c r="M106" i="89"/>
  <c r="M105" i="89"/>
  <c r="M104" i="89"/>
  <c r="M103" i="89"/>
  <c r="M102" i="89"/>
  <c r="M101" i="89"/>
  <c r="M100" i="89"/>
  <c r="M99" i="89"/>
  <c r="M98" i="89"/>
  <c r="M97" i="89"/>
  <c r="M96" i="89"/>
  <c r="M95" i="89"/>
  <c r="M94" i="89"/>
  <c r="M93" i="89"/>
  <c r="M92" i="89"/>
  <c r="M91" i="89"/>
  <c r="M90" i="89"/>
  <c r="M89" i="89"/>
  <c r="M88" i="89"/>
  <c r="M87" i="89"/>
  <c r="M86" i="89"/>
  <c r="M85" i="89"/>
  <c r="M84" i="89"/>
  <c r="M83" i="89"/>
  <c r="M82" i="89"/>
  <c r="M81" i="89"/>
  <c r="M80" i="89"/>
  <c r="M79" i="89"/>
  <c r="M78" i="89"/>
  <c r="M77" i="89"/>
  <c r="M76" i="89"/>
  <c r="M75" i="89"/>
  <c r="M74" i="89"/>
  <c r="M73" i="89"/>
  <c r="M72" i="89"/>
  <c r="M71" i="89"/>
  <c r="M70" i="89"/>
  <c r="M69" i="89"/>
  <c r="M68" i="89"/>
  <c r="M67" i="89"/>
  <c r="M66" i="89"/>
  <c r="M65" i="89"/>
  <c r="M64" i="89"/>
  <c r="M63" i="89"/>
  <c r="M62" i="89"/>
  <c r="M61" i="89"/>
  <c r="M60" i="89"/>
  <c r="M59" i="89"/>
  <c r="M58" i="89"/>
  <c r="M57" i="89"/>
  <c r="M56" i="89"/>
  <c r="M55" i="89"/>
  <c r="M54" i="89"/>
  <c r="M53" i="89"/>
  <c r="M52" i="89"/>
  <c r="M51" i="89"/>
  <c r="M50" i="89"/>
  <c r="M49" i="89"/>
  <c r="M48" i="89"/>
  <c r="M47" i="89"/>
  <c r="M46" i="89"/>
  <c r="M45" i="89"/>
  <c r="M44" i="89"/>
  <c r="M43" i="89"/>
  <c r="M42" i="89"/>
  <c r="M41" i="89"/>
  <c r="M40" i="89"/>
  <c r="M39" i="89"/>
  <c r="M38" i="89"/>
  <c r="M37" i="89"/>
  <c r="M36" i="89"/>
  <c r="M35" i="89"/>
  <c r="M34" i="89"/>
  <c r="M33" i="89"/>
  <c r="M32" i="89"/>
  <c r="M31" i="89"/>
  <c r="M30" i="89"/>
  <c r="M29" i="89"/>
  <c r="M28" i="89"/>
  <c r="M27" i="89"/>
  <c r="M26" i="89"/>
  <c r="M25" i="89"/>
  <c r="M24" i="89"/>
  <c r="M23" i="89"/>
  <c r="M22" i="89"/>
  <c r="M21" i="89"/>
  <c r="M20" i="89"/>
  <c r="M19" i="89"/>
  <c r="M18" i="89"/>
  <c r="M17" i="89"/>
  <c r="M16" i="89"/>
  <c r="M15" i="89"/>
  <c r="M14" i="89"/>
  <c r="M13" i="89"/>
  <c r="M12" i="89"/>
  <c r="M192" i="89" l="1"/>
  <c r="L38" i="88"/>
  <c r="Q27" i="87"/>
  <c r="Q19" i="87" l="1"/>
  <c r="L34" i="88"/>
  <c r="M206" i="87"/>
  <c r="M205" i="87"/>
  <c r="M204" i="87"/>
  <c r="M203" i="87"/>
  <c r="M202" i="87"/>
  <c r="M201" i="87"/>
  <c r="M200" i="87"/>
  <c r="M199" i="87"/>
  <c r="M198" i="87"/>
  <c r="M197" i="87"/>
  <c r="M196" i="87"/>
  <c r="M195" i="87"/>
  <c r="M194" i="87"/>
  <c r="M193" i="87"/>
  <c r="M192" i="87"/>
  <c r="M191" i="87"/>
  <c r="M190" i="87"/>
  <c r="M189" i="87"/>
  <c r="M188" i="87"/>
  <c r="M187" i="87"/>
  <c r="M186" i="87"/>
  <c r="M185" i="87"/>
  <c r="M184" i="87"/>
  <c r="M183" i="87"/>
  <c r="M182" i="87"/>
  <c r="M181" i="87"/>
  <c r="M180" i="87"/>
  <c r="M179" i="87"/>
  <c r="M178" i="87"/>
  <c r="M177" i="87"/>
  <c r="M176" i="87"/>
  <c r="M175" i="87"/>
  <c r="M174" i="87"/>
  <c r="M173" i="87"/>
  <c r="M172" i="87"/>
  <c r="M171" i="87"/>
  <c r="M170" i="87"/>
  <c r="M169" i="87"/>
  <c r="M168" i="87"/>
  <c r="M167" i="87"/>
  <c r="M166" i="87"/>
  <c r="M165" i="87"/>
  <c r="M164" i="87"/>
  <c r="M163" i="87"/>
  <c r="M162" i="87"/>
  <c r="M161" i="87"/>
  <c r="M160" i="87"/>
  <c r="M159" i="87"/>
  <c r="M158" i="87"/>
  <c r="M157" i="87"/>
  <c r="M156" i="87"/>
  <c r="Q17" i="87" l="1"/>
  <c r="Q16" i="87"/>
  <c r="L33" i="88"/>
  <c r="M155" i="87"/>
  <c r="M154" i="87"/>
  <c r="M153" i="87"/>
  <c r="M152" i="87"/>
  <c r="M151" i="87"/>
  <c r="M150" i="87"/>
  <c r="M149" i="87"/>
  <c r="M148" i="87"/>
  <c r="M147" i="87"/>
  <c r="M146" i="87"/>
  <c r="M145" i="87"/>
  <c r="M144" i="87"/>
  <c r="M143" i="87"/>
  <c r="M142" i="87"/>
  <c r="M141" i="87"/>
  <c r="M140" i="87"/>
  <c r="M139" i="87"/>
  <c r="M138" i="87" l="1"/>
  <c r="M137" i="87"/>
  <c r="M136" i="87"/>
  <c r="M135" i="87"/>
  <c r="M134" i="87"/>
  <c r="M133" i="87"/>
  <c r="M132" i="87"/>
  <c r="M131" i="87"/>
  <c r="M130" i="87"/>
  <c r="M129" i="87"/>
  <c r="M128" i="87"/>
  <c r="M127" i="87"/>
  <c r="M126" i="87"/>
  <c r="M125" i="87"/>
  <c r="M124" i="87"/>
  <c r="M123" i="87"/>
  <c r="M122" i="87"/>
  <c r="M121" i="87"/>
  <c r="M120" i="87"/>
  <c r="M119" i="87"/>
  <c r="M118" i="87"/>
  <c r="M117" i="87"/>
  <c r="M116" i="87"/>
  <c r="M115" i="87"/>
  <c r="M114" i="87"/>
  <c r="M113" i="87"/>
  <c r="M112" i="87"/>
  <c r="M111" i="87"/>
  <c r="M110" i="87"/>
  <c r="M109" i="87"/>
  <c r="M108" i="87"/>
  <c r="M107" i="87"/>
  <c r="M106" i="87"/>
  <c r="M105" i="87"/>
  <c r="M104" i="87"/>
  <c r="M103" i="87"/>
  <c r="M102" i="87"/>
  <c r="M101" i="87"/>
  <c r="M100" i="87"/>
  <c r="S6" i="23" l="1"/>
  <c r="S7" i="23"/>
  <c r="S8" i="23"/>
  <c r="S9" i="23"/>
  <c r="S10" i="23"/>
  <c r="S11" i="23"/>
  <c r="S12" i="23"/>
  <c r="S13" i="23"/>
  <c r="S14" i="23"/>
  <c r="S5" i="23"/>
  <c r="Q14" i="87"/>
  <c r="L31" i="88"/>
  <c r="L30" i="88" l="1"/>
  <c r="Q12" i="87" l="1"/>
  <c r="Q26" i="87" s="1"/>
  <c r="M65" i="87"/>
  <c r="S65" i="23" l="1"/>
  <c r="S66" i="23"/>
  <c r="S67" i="23"/>
  <c r="P65" i="23"/>
  <c r="P66" i="23"/>
  <c r="P67" i="23"/>
  <c r="M65" i="23"/>
  <c r="M66" i="23"/>
  <c r="M67" i="23"/>
  <c r="G65" i="23"/>
  <c r="G66" i="23"/>
  <c r="G67" i="23"/>
  <c r="S63" i="23" l="1"/>
  <c r="S64" i="23"/>
  <c r="P63" i="23"/>
  <c r="P64" i="23"/>
  <c r="M63" i="23"/>
  <c r="M64" i="23"/>
  <c r="G63" i="23"/>
  <c r="G64" i="23"/>
  <c r="S60" i="23" l="1"/>
  <c r="S61" i="23"/>
  <c r="S62" i="23"/>
  <c r="P60" i="23"/>
  <c r="P61" i="23"/>
  <c r="P62" i="23"/>
  <c r="M60" i="23"/>
  <c r="M61" i="23"/>
  <c r="M62" i="23"/>
  <c r="G60" i="23"/>
  <c r="G61" i="23"/>
  <c r="G62" i="23"/>
  <c r="S55" i="23" l="1"/>
  <c r="S56" i="23"/>
  <c r="S57" i="23"/>
  <c r="S58" i="23"/>
  <c r="S59" i="23"/>
  <c r="P55" i="23"/>
  <c r="P56" i="23"/>
  <c r="P57" i="23"/>
  <c r="P58" i="23"/>
  <c r="P59" i="23"/>
  <c r="M55" i="23"/>
  <c r="M56" i="23"/>
  <c r="M57" i="23"/>
  <c r="M58" i="23"/>
  <c r="M59" i="23"/>
  <c r="G56" i="23"/>
  <c r="G57" i="23"/>
  <c r="G58" i="23"/>
  <c r="G59" i="23"/>
  <c r="S52" i="23" l="1"/>
  <c r="S53" i="23"/>
  <c r="S54" i="23"/>
  <c r="P52" i="23"/>
  <c r="P53" i="23"/>
  <c r="P54" i="23"/>
  <c r="M52" i="23"/>
  <c r="M53" i="23"/>
  <c r="M54" i="23"/>
  <c r="G52" i="23"/>
  <c r="G53" i="23"/>
  <c r="G54" i="23"/>
  <c r="G55" i="23"/>
  <c r="M45" i="23" l="1"/>
  <c r="M46" i="23"/>
  <c r="P45" i="23"/>
  <c r="S42" i="23" l="1"/>
  <c r="S43" i="23"/>
  <c r="S44" i="23"/>
  <c r="S45" i="23"/>
  <c r="S46" i="23"/>
  <c r="S47" i="23"/>
  <c r="S48" i="23"/>
  <c r="S49" i="23"/>
  <c r="S50" i="23"/>
  <c r="S51" i="23"/>
  <c r="S68" i="23"/>
  <c r="S69" i="23"/>
  <c r="P46" i="23"/>
  <c r="P47" i="23"/>
  <c r="P48" i="23"/>
  <c r="P49" i="23"/>
  <c r="P50" i="23"/>
  <c r="M47" i="23"/>
  <c r="M48" i="23"/>
  <c r="M49" i="23"/>
  <c r="M50" i="23"/>
  <c r="G45" i="23"/>
  <c r="G46" i="23"/>
  <c r="G47" i="23"/>
  <c r="G48" i="23"/>
  <c r="G49" i="23"/>
  <c r="G50" i="23"/>
  <c r="G51" i="23"/>
  <c r="G68" i="23"/>
  <c r="M44" i="23" l="1"/>
  <c r="G38" i="23" l="1"/>
  <c r="G39" i="23"/>
  <c r="G40" i="23"/>
  <c r="G41" i="23"/>
  <c r="G42" i="23"/>
  <c r="G43" i="23"/>
  <c r="P43" i="23"/>
  <c r="P44" i="23"/>
  <c r="P51" i="23"/>
  <c r="P68" i="23"/>
  <c r="M43" i="23"/>
  <c r="M51" i="23"/>
  <c r="M68" i="23"/>
  <c r="M41" i="23" l="1"/>
  <c r="M42" i="23"/>
  <c r="P42" i="23"/>
  <c r="M40" i="23" l="1"/>
  <c r="S40" i="23"/>
  <c r="S41" i="23"/>
  <c r="P41" i="23"/>
  <c r="P40" i="23" l="1"/>
  <c r="S39" i="23"/>
  <c r="P39" i="23" l="1"/>
  <c r="D5" i="23" l="1"/>
  <c r="P38" i="23" l="1"/>
  <c r="M39" i="23"/>
  <c r="M38" i="23"/>
  <c r="P36" i="23" l="1"/>
  <c r="P37" i="23"/>
  <c r="G36" i="23"/>
  <c r="M36" i="23"/>
  <c r="P19" i="23" l="1"/>
  <c r="P20" i="23"/>
  <c r="P21" i="23"/>
  <c r="P22" i="23"/>
  <c r="P23" i="23"/>
  <c r="P24" i="23"/>
  <c r="P25" i="23"/>
  <c r="P26" i="23"/>
  <c r="P27" i="23"/>
  <c r="P28" i="23"/>
  <c r="P29" i="23"/>
  <c r="P30" i="23"/>
  <c r="P31" i="23"/>
  <c r="P32" i="23"/>
  <c r="P33" i="23"/>
  <c r="P34" i="23"/>
  <c r="P35" i="23"/>
  <c r="M27" i="23"/>
  <c r="M28" i="23"/>
  <c r="M29" i="23"/>
  <c r="M30" i="23"/>
  <c r="M31" i="23"/>
  <c r="M32" i="23"/>
  <c r="M33" i="23"/>
  <c r="M34" i="23"/>
  <c r="M35" i="23"/>
  <c r="M37" i="23"/>
  <c r="G30" i="23"/>
  <c r="G31" i="23"/>
  <c r="G32" i="23"/>
  <c r="G33" i="23"/>
  <c r="G34" i="23"/>
  <c r="G35" i="23"/>
  <c r="G37" i="23"/>
  <c r="G44" i="23"/>
  <c r="G27" i="23" l="1"/>
  <c r="G28" i="23"/>
  <c r="G29" i="23"/>
  <c r="M26" i="23" l="1"/>
  <c r="S16" i="23"/>
  <c r="S17" i="23"/>
  <c r="S18" i="23"/>
  <c r="S20" i="23"/>
  <c r="S21" i="23"/>
  <c r="S22" i="23"/>
  <c r="S23" i="23"/>
  <c r="S24" i="23"/>
  <c r="S25" i="23"/>
  <c r="S26" i="23"/>
  <c r="G26" i="23"/>
  <c r="G25" i="23" l="1"/>
  <c r="M22" i="23"/>
  <c r="M23" i="23"/>
  <c r="M24" i="23"/>
  <c r="M25" i="23"/>
  <c r="G24" i="23" l="1"/>
  <c r="G23" i="23" l="1"/>
  <c r="G22" i="23" l="1"/>
  <c r="G19" i="23" l="1"/>
  <c r="S15" i="23" l="1"/>
  <c r="P9" i="23" l="1"/>
  <c r="M8" i="23" l="1"/>
  <c r="M99" i="87" l="1"/>
  <c r="M98" i="87"/>
  <c r="P6" i="23" l="1"/>
  <c r="P7" i="23"/>
  <c r="P8" i="23"/>
  <c r="P10" i="23"/>
  <c r="P11" i="23"/>
  <c r="P12" i="23"/>
  <c r="P13" i="23"/>
  <c r="P14" i="23"/>
  <c r="P15" i="23"/>
  <c r="P16" i="23"/>
  <c r="P17" i="23"/>
  <c r="P18" i="23"/>
  <c r="M10" i="23"/>
  <c r="M11" i="23"/>
  <c r="M12" i="23"/>
  <c r="M13" i="23"/>
  <c r="M14" i="23"/>
  <c r="M16" i="23"/>
  <c r="M17" i="23"/>
  <c r="M18" i="23"/>
  <c r="M19" i="23"/>
  <c r="M20" i="23"/>
  <c r="M21" i="23"/>
  <c r="G11" i="23"/>
  <c r="G12" i="23"/>
  <c r="G13" i="23"/>
  <c r="G14" i="23"/>
  <c r="G15" i="23"/>
  <c r="G16" i="23"/>
  <c r="G17" i="23"/>
  <c r="G18" i="23"/>
  <c r="G20" i="23"/>
  <c r="G21" i="23"/>
  <c r="G10" i="23"/>
  <c r="D10" i="23"/>
  <c r="M97" i="87"/>
  <c r="M96" i="87"/>
  <c r="M95" i="87"/>
  <c r="M94" i="87"/>
  <c r="M93" i="87"/>
  <c r="M92" i="87"/>
  <c r="M91" i="87"/>
  <c r="M90" i="87"/>
  <c r="M89" i="87"/>
  <c r="M88" i="87"/>
  <c r="G6" i="23" l="1"/>
  <c r="G7" i="23"/>
  <c r="G8" i="23"/>
  <c r="D8" i="23"/>
  <c r="M87" i="87" l="1"/>
  <c r="M86" i="87"/>
  <c r="M85" i="87"/>
  <c r="M84" i="87"/>
  <c r="M83" i="87"/>
  <c r="M82" i="87"/>
  <c r="M81" i="87"/>
  <c r="M80" i="87"/>
  <c r="M79" i="87" l="1"/>
  <c r="M78" i="87"/>
  <c r="M77" i="87"/>
  <c r="M76" i="87"/>
  <c r="M75" i="87"/>
  <c r="M74" i="87"/>
  <c r="M73" i="87"/>
  <c r="M72" i="87"/>
  <c r="M71" i="87"/>
  <c r="M70" i="87"/>
  <c r="M69" i="87"/>
  <c r="M68" i="87"/>
  <c r="M67" i="87"/>
  <c r="M7" i="23" l="1"/>
  <c r="M6" i="23"/>
  <c r="D7" i="23"/>
  <c r="D6" i="23"/>
  <c r="M63" i="87"/>
  <c r="M62" i="87"/>
  <c r="M61" i="87"/>
  <c r="M60" i="87"/>
  <c r="M59" i="87"/>
  <c r="M58" i="87"/>
  <c r="M57" i="87"/>
  <c r="M56" i="87"/>
  <c r="M55" i="87"/>
  <c r="M54" i="87"/>
  <c r="M53" i="87"/>
  <c r="M52" i="87"/>
  <c r="M51" i="87"/>
  <c r="M50" i="87"/>
  <c r="M49" i="87"/>
  <c r="M48" i="87"/>
  <c r="M47" i="87"/>
  <c r="D70" i="23" l="1"/>
  <c r="P5" i="23"/>
  <c r="M5" i="23"/>
  <c r="G5" i="23"/>
  <c r="M46" i="87"/>
  <c r="M45" i="87"/>
  <c r="M44" i="87"/>
  <c r="M43" i="87"/>
  <c r="U16" i="76"/>
  <c r="U8" i="76" s="1"/>
  <c r="Q16" i="76"/>
  <c r="Q8" i="76" s="1"/>
  <c r="T8" i="76"/>
  <c r="P8" i="76"/>
  <c r="L8" i="76"/>
  <c r="H8" i="76"/>
  <c r="D8" i="76"/>
  <c r="E16" i="76" l="1"/>
  <c r="E8" i="76" s="1"/>
  <c r="I16" i="76"/>
  <c r="I8" i="76" s="1"/>
  <c r="M16" i="76"/>
  <c r="M8" i="76" s="1"/>
  <c r="M66" i="87"/>
  <c r="M64" i="87"/>
  <c r="M42" i="87"/>
  <c r="M41" i="87"/>
  <c r="M40" i="87"/>
  <c r="M39" i="87"/>
  <c r="M38" i="87"/>
  <c r="M37" i="87"/>
  <c r="M36" i="87"/>
  <c r="M35" i="87"/>
  <c r="M34" i="87"/>
  <c r="M33" i="87"/>
  <c r="M32" i="87"/>
  <c r="M31" i="87"/>
  <c r="M30" i="87"/>
  <c r="M29" i="87"/>
  <c r="M28" i="87"/>
  <c r="M27" i="87"/>
  <c r="M26" i="87"/>
  <c r="M25" i="87"/>
  <c r="M24" i="87"/>
  <c r="M23" i="87"/>
  <c r="M22" i="87"/>
  <c r="M21" i="87"/>
  <c r="M20" i="87"/>
  <c r="M19" i="87"/>
  <c r="M18" i="87"/>
  <c r="M17" i="87"/>
  <c r="M16" i="87"/>
  <c r="M15" i="87"/>
  <c r="M14" i="87"/>
  <c r="M13" i="87"/>
  <c r="M12" i="87"/>
  <c r="M208" i="87" s="1"/>
  <c r="Q15" i="76" l="1"/>
  <c r="Q7" i="76" s="1"/>
  <c r="T7" i="76"/>
  <c r="U15" i="76" s="1"/>
  <c r="U7" i="76" s="1"/>
  <c r="L7" i="76"/>
  <c r="M15" i="76" s="1"/>
  <c r="M7" i="76" s="1"/>
  <c r="H7" i="76"/>
  <c r="I15" i="76" s="1"/>
  <c r="D7" i="76"/>
  <c r="E15" i="76" s="1"/>
  <c r="E7" i="76" s="1"/>
  <c r="T6" i="76"/>
  <c r="U14" i="76" s="1"/>
  <c r="P6" i="76"/>
  <c r="Q14" i="76" s="1"/>
  <c r="Q6" i="76" s="1"/>
  <c r="L6" i="76"/>
  <c r="M14" i="76" s="1"/>
  <c r="H6" i="76"/>
  <c r="I14" i="76" s="1"/>
  <c r="I6" i="76" s="1"/>
  <c r="D6" i="76"/>
  <c r="E14" i="76" s="1"/>
  <c r="T5" i="76"/>
  <c r="U13" i="76" s="1"/>
  <c r="U5" i="76" s="1"/>
  <c r="P5" i="76"/>
  <c r="Q13" i="76" s="1"/>
  <c r="L5" i="76"/>
  <c r="M13" i="76" s="1"/>
  <c r="M5" i="76" s="1"/>
  <c r="H5" i="76"/>
  <c r="I13" i="76" s="1"/>
  <c r="D5" i="76"/>
  <c r="E13" i="76" s="1"/>
  <c r="E5" i="76" s="1"/>
  <c r="I5" i="76" l="1"/>
  <c r="U6" i="76"/>
  <c r="E6" i="76"/>
  <c r="Q5" i="76"/>
  <c r="M6" i="76"/>
  <c r="I7" i="76"/>
  <c r="G6" i="25" l="1"/>
  <c r="G7" i="25"/>
  <c r="G8" i="25"/>
  <c r="G9" i="25"/>
  <c r="G10" i="25"/>
  <c r="G11" i="25"/>
  <c r="G12" i="25"/>
  <c r="G13" i="25"/>
  <c r="G14" i="25"/>
  <c r="G15" i="25"/>
  <c r="G5" i="25"/>
  <c r="G4" i="25"/>
  <c r="E6" i="25"/>
  <c r="E7" i="25"/>
  <c r="E8" i="25"/>
  <c r="E9" i="25"/>
  <c r="E10" i="25"/>
  <c r="E11" i="25"/>
  <c r="E12" i="25"/>
  <c r="E13" i="25"/>
  <c r="E14" i="25"/>
  <c r="E15" i="25"/>
  <c r="E5" i="25"/>
  <c r="E4" i="25"/>
  <c r="C5" i="25"/>
  <c r="C6" i="25"/>
  <c r="C7" i="25"/>
  <c r="C8" i="25"/>
  <c r="C9" i="25"/>
  <c r="C10" i="25"/>
  <c r="C11" i="25"/>
  <c r="C12" i="25"/>
  <c r="C13" i="25"/>
  <c r="C14" i="25"/>
  <c r="C15" i="25"/>
  <c r="C4" i="25"/>
  <c r="S70" i="23" l="1"/>
  <c r="Q72" i="23" s="1"/>
  <c r="Q73" i="23" s="1"/>
  <c r="P69" i="23" l="1"/>
  <c r="M69" i="23"/>
  <c r="M70" i="23" s="1"/>
  <c r="J69" i="23"/>
  <c r="G69" i="23"/>
  <c r="O70" i="23" l="1"/>
  <c r="N70" i="23"/>
  <c r="F16" i="25" l="1"/>
  <c r="D16" i="25"/>
  <c r="B16" i="25"/>
  <c r="B70" i="23" l="1"/>
  <c r="C70" i="23"/>
  <c r="E70" i="23"/>
  <c r="F70" i="23"/>
  <c r="H70" i="23"/>
  <c r="I70" i="23"/>
  <c r="K70" i="23"/>
  <c r="L70" i="23"/>
  <c r="J70" i="23" l="1"/>
  <c r="H71" i="23" s="1"/>
  <c r="H72" i="23" s="1"/>
  <c r="H73" i="23" s="1"/>
  <c r="A71" i="23"/>
  <c r="D73" i="23" s="1"/>
  <c r="K71" i="23"/>
  <c r="K72" i="23" s="1"/>
  <c r="K73" i="23" s="1"/>
  <c r="G16" i="25" l="1"/>
  <c r="E16" i="25"/>
  <c r="P70" i="23" l="1"/>
  <c r="N71" i="23" l="1"/>
  <c r="N72" i="23" s="1"/>
  <c r="N73" i="23" s="1"/>
  <c r="C16" i="25"/>
  <c r="B17" i="25" s="1"/>
  <c r="H17" i="25" l="1"/>
  <c r="F18" i="25" s="1"/>
  <c r="G70" i="23"/>
  <c r="E71" i="23" l="1"/>
  <c r="E73" i="23" s="1"/>
  <c r="T70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7" authorId="0" shapeId="0" xr:uid="{4C6E74F6-943C-48AC-B838-17BD8893505F}">
      <text>
        <r>
          <rPr>
            <b/>
            <sz val="9"/>
            <color indexed="81"/>
            <rFont val="Tahoma"/>
            <family val="2"/>
          </rPr>
          <t>1500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" authorId="0" shapeId="0" xr:uid="{013BF783-0C62-415A-A73C-868DAE324F40}">
      <text>
        <r>
          <rPr>
            <b/>
            <sz val="9"/>
            <color indexed="81"/>
            <rFont val="Tahoma"/>
            <family val="2"/>
          </rPr>
          <t>500 Red Tilapia</t>
        </r>
      </text>
    </comment>
    <comment ref="B9" authorId="0" shapeId="0" xr:uid="{FB74BC89-B3AE-459D-A936-D5BB2A8D1AE8}">
      <text>
        <r>
          <rPr>
            <b/>
            <sz val="9"/>
            <color indexed="81"/>
            <rFont val="Tahoma"/>
            <family val="2"/>
          </rPr>
          <t>5,200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" authorId="0" shapeId="0" xr:uid="{32AE1205-1493-42DC-8CFC-A793DDA4067E}">
      <text>
        <r>
          <rPr>
            <b/>
            <sz val="9"/>
            <color indexed="81"/>
            <rFont val="Tahoma"/>
            <family val="2"/>
          </rPr>
          <t>600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1" authorId="0" shapeId="0" xr:uid="{4014A0F1-CC04-4DA3-9B80-B298260259B0}">
      <text>
        <r>
          <rPr>
            <b/>
            <sz val="9"/>
            <color indexed="81"/>
            <rFont val="Tahoma"/>
            <family val="2"/>
          </rPr>
          <t>5250 Red Tilapia</t>
        </r>
      </text>
    </comment>
    <comment ref="C11" authorId="0" shapeId="0" xr:uid="{716B661A-B3E5-4E8B-90ED-927627995AB6}">
      <text>
        <r>
          <rPr>
            <b/>
            <sz val="9"/>
            <color indexed="81"/>
            <rFont val="Tahoma"/>
            <family val="2"/>
          </rPr>
          <t>4100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" authorId="0" shapeId="0" xr:uid="{D08679BA-2E0F-4FE3-9D6E-1E866DCDAFC4}">
      <text>
        <r>
          <rPr>
            <b/>
            <sz val="9"/>
            <color indexed="81"/>
            <rFont val="Tahoma"/>
            <family val="2"/>
          </rPr>
          <t>600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14" authorId="0" shapeId="0" xr:uid="{D892E26B-8BC4-4600-9547-D4C993367A27}">
      <text>
        <r>
          <rPr>
            <b/>
            <sz val="9"/>
            <color indexed="81"/>
            <rFont val="Tahoma"/>
            <family val="2"/>
          </rPr>
          <t>12,000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" authorId="0" shapeId="0" xr:uid="{AAC629F2-4B9C-4F2C-9C2C-F481765203E2}">
      <text>
        <r>
          <rPr>
            <b/>
            <sz val="9"/>
            <color indexed="81"/>
            <rFont val="Tahoma"/>
            <family val="2"/>
          </rPr>
          <t>1,000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403A3528-BEA2-4E04-A953-8899EA07A7FF}">
      <text>
        <r>
          <rPr>
            <b/>
            <sz val="9"/>
            <color indexed="81"/>
            <rFont val="Tahoma"/>
            <family val="2"/>
          </rPr>
          <t>9,800 Red Tilapia</t>
        </r>
      </text>
    </comment>
    <comment ref="C18" authorId="0" shapeId="0" xr:uid="{1E7B9811-F5F5-4B30-82B9-42337FA7D4DE}">
      <text>
        <r>
          <rPr>
            <b/>
            <sz val="9"/>
            <color indexed="81"/>
            <rFont val="Tahoma"/>
            <family val="2"/>
          </rPr>
          <t>12,600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 xr:uid="{D6427C17-D894-4ABD-BB2C-093DB39710AC}">
      <text>
        <r>
          <rPr>
            <b/>
            <sz val="9"/>
            <color indexed="81"/>
            <rFont val="Tahoma"/>
            <family val="2"/>
          </rPr>
          <t>1000 Red Tilapia</t>
        </r>
      </text>
    </comment>
    <comment ref="B20" authorId="0" shapeId="0" xr:uid="{07CCAF9A-9723-4DE9-B514-B01E9584E119}">
      <text>
        <r>
          <rPr>
            <b/>
            <sz val="9"/>
            <color indexed="81"/>
            <rFont val="Tahoma"/>
            <family val="2"/>
          </rPr>
          <t>Red Tilapia 3,200</t>
        </r>
      </text>
    </comment>
    <comment ref="B24" authorId="0" shapeId="0" xr:uid="{2AFF8108-B0B9-4D60-9296-1C3FBF760DD0}">
      <text>
        <r>
          <rPr>
            <b/>
            <sz val="9"/>
            <color indexed="81"/>
            <rFont val="Tahoma"/>
            <family val="2"/>
          </rPr>
          <t>2000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24" authorId="0" shapeId="0" xr:uid="{A33C6008-C6DA-4130-A855-A69AC1D2B8AE}">
      <text>
        <r>
          <rPr>
            <b/>
            <sz val="9"/>
            <color indexed="81"/>
            <rFont val="Tahoma"/>
            <family val="2"/>
          </rPr>
          <t>3rd batch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" authorId="0" shapeId="0" xr:uid="{04462988-2A09-412B-9C4C-B2C107C6D47A}">
      <text>
        <r>
          <rPr>
            <b/>
            <sz val="9"/>
            <color indexed="81"/>
            <rFont val="Tahoma"/>
            <family val="2"/>
          </rPr>
          <t>1,000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6" authorId="0" shapeId="0" xr:uid="{BB04A046-AD1C-42C5-8B2C-1086E6E98C39}">
      <text>
        <r>
          <rPr>
            <b/>
            <sz val="9"/>
            <color indexed="81"/>
            <rFont val="Tahoma"/>
            <family val="2"/>
          </rPr>
          <t>Red tilapia 300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6" authorId="0" shapeId="0" xr:uid="{FBB3FAF1-BD4F-4105-B082-72F0124347C6}">
      <text>
        <r>
          <rPr>
            <b/>
            <sz val="9"/>
            <color indexed="81"/>
            <rFont val="Tahoma"/>
            <family val="2"/>
          </rPr>
          <t>Red Tilapia 2000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5" authorId="0" shapeId="0" xr:uid="{27EB3220-957F-446A-8CED-9A7D7A41B70B}">
      <text>
        <r>
          <rPr>
            <b/>
            <sz val="9"/>
            <color indexed="81"/>
            <rFont val="Tahoma"/>
            <family val="2"/>
          </rPr>
          <t>Red Tilapia 2,200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0" shapeId="0" xr:uid="{777B73F1-DE3C-4368-B7CF-A81B10CD3C2E}">
      <text>
        <r>
          <rPr>
            <b/>
            <sz val="9"/>
            <color indexed="81"/>
            <rFont val="Tahoma"/>
            <family val="2"/>
          </rPr>
          <t>Red Tilapia 4,000</t>
        </r>
      </text>
    </comment>
    <comment ref="B37" authorId="0" shapeId="0" xr:uid="{15A63B2F-2534-495F-8845-EA2B22F021C9}">
      <text>
        <r>
          <rPr>
            <b/>
            <sz val="9"/>
            <color indexed="81"/>
            <rFont val="Tahoma"/>
            <family val="2"/>
          </rPr>
          <t>Red Tilapia 16,850</t>
        </r>
      </text>
    </comment>
    <comment ref="C37" authorId="0" shapeId="0" xr:uid="{DE5776D1-88E6-489E-9C3D-CB68872F7611}">
      <text>
        <r>
          <rPr>
            <b/>
            <sz val="9"/>
            <color indexed="81"/>
            <rFont val="Tahoma"/>
            <family val="2"/>
          </rPr>
          <t>Red Tilapia 4,200</t>
        </r>
      </text>
    </comment>
    <comment ref="C39" authorId="0" shapeId="0" xr:uid="{43637529-957D-4CB8-A677-1503BD414DA9}">
      <text>
        <r>
          <rPr>
            <b/>
            <sz val="9"/>
            <color indexed="81"/>
            <rFont val="Tahoma"/>
            <family val="2"/>
          </rPr>
          <t>Red Tilapia 1700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4" authorId="0" shapeId="0" xr:uid="{E9993F40-A922-479E-8B95-AE107014EB95}">
      <text>
        <r>
          <rPr>
            <b/>
            <sz val="9"/>
            <color indexed="81"/>
            <rFont val="Tahoma"/>
            <family val="2"/>
          </rPr>
          <t>Red Tilapia 144</t>
        </r>
      </text>
    </comment>
    <comment ref="B45" authorId="0" shapeId="0" xr:uid="{27B7C83E-B021-4403-B8CF-A84041ADA91D}">
      <text>
        <r>
          <rPr>
            <b/>
            <sz val="9"/>
            <color indexed="81"/>
            <rFont val="Tahoma"/>
            <family val="2"/>
          </rPr>
          <t>Red Tilapia 3,500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5" authorId="0" shapeId="0" xr:uid="{C8878B57-82BF-4A8C-8E9F-F73D10A268E4}">
      <text>
        <r>
          <rPr>
            <b/>
            <sz val="9"/>
            <color indexed="81"/>
            <rFont val="Tahoma"/>
            <family val="2"/>
          </rPr>
          <t>Red Tilapia 1000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72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+20%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2" authorId="0" shapeId="0" xr:uid="{CF46A094-903D-4A13-8872-852E2D7518ED}">
      <text>
        <r>
          <rPr>
            <b/>
            <sz val="9"/>
            <color indexed="81"/>
            <rFont val="Tahoma"/>
            <family val="2"/>
          </rPr>
          <t>affected by El Niño 2024 (OPA initiative)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6" authorId="0" shapeId="0" xr:uid="{CEB8C306-5003-4618-AB3F-8D31CF837F75}">
      <text>
        <r>
          <rPr>
            <b/>
            <sz val="9"/>
            <color indexed="81"/>
            <rFont val="Tahoma"/>
            <charset val="1"/>
          </rPr>
          <t>Red tilapia 1,000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S18" authorId="0" shapeId="0" xr:uid="{DC5FDD82-9192-4620-A479-68FC2F8EE2EE}">
      <text>
        <r>
          <rPr>
            <b/>
            <sz val="9"/>
            <color indexed="81"/>
            <rFont val="Tahoma"/>
            <charset val="1"/>
          </rPr>
          <t>3,050 Red tilapia</t>
        </r>
        <r>
          <rPr>
            <sz val="9"/>
            <color indexed="81"/>
            <rFont val="Tahoma"/>
            <charset val="1"/>
          </rPr>
          <t xml:space="preserve">
</t>
        </r>
      </text>
    </comment>
    <comment ref="A66" authorId="0" shapeId="0" xr:uid="{48CA38D5-7F0D-474F-8CD6-2424C3E02491}">
      <text>
        <r>
          <rPr>
            <b/>
            <sz val="9"/>
            <color indexed="81"/>
            <rFont val="Tahoma"/>
            <family val="2"/>
          </rPr>
          <t>55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0" authorId="0" shapeId="0" xr:uid="{7CB3EC3D-A7AC-4F2B-B0A3-487EBA8612B5}">
      <text>
        <r>
          <rPr>
            <b/>
            <sz val="9"/>
            <color indexed="81"/>
            <rFont val="Tahoma"/>
            <family val="2"/>
          </rPr>
          <t>68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1" authorId="0" shapeId="0" xr:uid="{F89CB6CC-9A14-4DA8-B391-82832252BE67}">
      <text>
        <r>
          <rPr>
            <b/>
            <sz val="9"/>
            <color indexed="81"/>
            <rFont val="Tahoma"/>
            <charset val="1"/>
          </rPr>
          <t>114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4" authorId="0" shapeId="0" xr:uid="{990BB5D4-3FA7-4304-B40B-89D7705E2EEF}">
      <text>
        <r>
          <rPr>
            <b/>
            <sz val="9"/>
            <color indexed="81"/>
            <rFont val="Tahoma"/>
            <family val="2"/>
          </rPr>
          <t>affected by El Niño 2024 (OPA initiative)</t>
        </r>
      </text>
    </comment>
    <comment ref="B15" authorId="0" shapeId="0" xr:uid="{DBAE347A-BC88-4C30-8961-BA042FE623AD}">
      <text>
        <r>
          <rPr>
            <b/>
            <sz val="9"/>
            <color indexed="81"/>
            <rFont val="Tahoma"/>
            <family val="2"/>
          </rPr>
          <t>TARGET (fishpond)</t>
        </r>
      </text>
    </comment>
    <comment ref="B17" authorId="0" shapeId="0" xr:uid="{6DF0846D-E72F-45E7-AE6F-57B9FF43D4B9}">
      <text>
        <r>
          <rPr>
            <b/>
            <sz val="9"/>
            <color indexed="81"/>
            <rFont val="Tahoma"/>
            <family val="2"/>
          </rPr>
          <t>TARGET (fishpond) 6,000
LGU request 6,000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9" authorId="0" shapeId="0" xr:uid="{62C163C7-A5E9-4CF6-9B09-1D926F0F057B}">
      <text>
        <r>
          <rPr>
            <b/>
            <sz val="9"/>
            <color indexed="81"/>
            <rFont val="Tahoma"/>
            <family val="2"/>
          </rPr>
          <t>SAAD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" authorId="0" shapeId="0" xr:uid="{75165815-467F-4E94-A847-A7382AA791F8}">
      <text>
        <r>
          <rPr>
            <b/>
            <sz val="9"/>
            <color indexed="81"/>
            <rFont val="Tahoma"/>
            <family val="2"/>
          </rPr>
          <t>6,000 TARGET
7,000 LGU request
15,000 El Niño affected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" authorId="0" shapeId="0" xr:uid="{664EF95B-FD59-45D3-9E23-5D81E6FFD95A}">
      <text>
        <r>
          <rPr>
            <b/>
            <sz val="9"/>
            <color indexed="81"/>
            <rFont val="Tahoma"/>
            <family val="2"/>
          </rPr>
          <t>6,000 BASIL
6,000 El Niño affected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1FAF6EBC-B3A7-43CC-B52B-A5123249E353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6" authorId="0" shapeId="0" xr:uid="{736FB6F2-18B1-4682-95E6-E79B31E780CB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54" authorId="0" shapeId="0" xr:uid="{ABDCAE59-8BF3-4BB6-9FAA-CA0AEE1ECBFA}">
      <text>
        <r>
          <rPr>
            <sz val="9"/>
            <color indexed="81"/>
            <rFont val="Tahoma"/>
            <family val="2"/>
          </rPr>
          <t>affected by El Niño 2024 (OPA initiative</t>
        </r>
      </text>
    </comment>
    <comment ref="B55" authorId="0" shapeId="0" xr:uid="{441A2B28-500B-48EC-8A72-367FF884137E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  <comment ref="A59" authorId="0" shapeId="0" xr:uid="{B3A832C5-AF9C-49B1-BD87-84A854D93C9D}">
      <text>
        <r>
          <rPr>
            <b/>
            <sz val="9"/>
            <color indexed="81"/>
            <rFont val="Tahoma"/>
            <family val="2"/>
          </rPr>
          <t>46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0" authorId="0" shapeId="0" xr:uid="{18410428-2CBD-445D-B9CC-E34938861BFA}">
      <text>
        <r>
          <rPr>
            <sz val="9"/>
            <color indexed="81"/>
            <rFont val="Tahoma"/>
            <family val="2"/>
          </rPr>
          <t>affected by El Niño 2024 (OPA initiative)</t>
        </r>
      </text>
    </comment>
    <comment ref="A72" authorId="0" shapeId="0" xr:uid="{575F4D86-903F-41A8-BD2D-0C954745F34B}">
      <text>
        <r>
          <rPr>
            <b/>
            <sz val="9"/>
            <color indexed="81"/>
            <rFont val="Tahoma"/>
            <family val="2"/>
          </rPr>
          <t>59</t>
        </r>
      </text>
    </comment>
    <comment ref="B132" authorId="0" shapeId="0" xr:uid="{D195872F-51CB-45DA-B18E-9AAF1B8E0588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  <comment ref="A143" authorId="0" shapeId="0" xr:uid="{6F48525B-67EA-4242-AE40-BED67DE1F4B7}">
      <text>
        <r>
          <rPr>
            <b/>
            <sz val="9"/>
            <color indexed="81"/>
            <rFont val="Tahoma"/>
            <family val="2"/>
          </rPr>
          <t>125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4" authorId="0" shapeId="0" xr:uid="{3DE43742-F745-46AA-9788-793EFDD57E61}">
      <text>
        <r>
          <rPr>
            <b/>
            <sz val="9"/>
            <color indexed="81"/>
            <rFont val="Tahoma"/>
            <family val="2"/>
          </rPr>
          <t>SAAD (fish cage)</t>
        </r>
      </text>
    </comment>
    <comment ref="A165" authorId="0" shapeId="0" xr:uid="{8D5485E3-36A2-4FA1-8236-AB62087DE225}">
      <text>
        <r>
          <rPr>
            <b/>
            <sz val="9"/>
            <color indexed="81"/>
            <rFont val="Tahoma"/>
            <family val="2"/>
          </rPr>
          <t>146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4" authorId="0" shapeId="0" xr:uid="{62E74B0F-8914-4B4B-9991-72F7005C4B8B}">
      <text>
        <r>
          <rPr>
            <b/>
            <sz val="9"/>
            <color indexed="81"/>
            <rFont val="Tahoma"/>
            <family val="2"/>
          </rPr>
          <t>6,000 TARGET (fishpond)
9,000 LGU request</t>
        </r>
      </text>
    </comment>
    <comment ref="B15" authorId="0" shapeId="0" xr:uid="{9A550742-C73C-4E64-A9A8-1E31E4D4A092}">
      <text>
        <r>
          <rPr>
            <b/>
            <sz val="9"/>
            <color indexed="81"/>
            <rFont val="Tahoma"/>
            <family val="2"/>
          </rPr>
          <t>SAAD (fish cage)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72B7E108-6787-459D-82DA-9A9B0C58FCBD}">
      <text>
        <r>
          <rPr>
            <b/>
            <sz val="9"/>
            <color indexed="81"/>
            <rFont val="Tahoma"/>
            <family val="2"/>
          </rPr>
          <t>TARGET (fishpond)</t>
        </r>
      </text>
    </comment>
    <comment ref="B19" authorId="0" shapeId="0" xr:uid="{72F594D4-A663-473B-8B24-4BB6A7E4CA0E}">
      <text>
        <r>
          <rPr>
            <b/>
            <sz val="9"/>
            <color indexed="81"/>
            <rFont val="Tahoma"/>
            <family val="2"/>
          </rPr>
          <t>TARGET (fishpond)</t>
        </r>
      </text>
    </comment>
    <comment ref="B27" authorId="0" shapeId="0" xr:uid="{A1429675-FBBF-4BBB-B19D-B3F851F91DD1}">
      <text>
        <r>
          <rPr>
            <b/>
            <sz val="9"/>
            <color indexed="81"/>
            <rFont val="Tahoma"/>
            <family val="2"/>
          </rPr>
          <t>BASIL</t>
        </r>
      </text>
    </comment>
    <comment ref="B28" authorId="0" shapeId="0" xr:uid="{08C6B82B-5E46-4A5C-85FC-2CA556B2D01F}">
      <text>
        <r>
          <rPr>
            <b/>
            <sz val="9"/>
            <color indexed="81"/>
            <rFont val="Tahoma"/>
            <family val="2"/>
          </rPr>
          <t>BASIL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8" authorId="0" shapeId="0" xr:uid="{6A72CC8E-CA06-46D4-85E9-295E03D6CC49}">
      <text>
        <r>
          <rPr>
            <b/>
            <sz val="9"/>
            <color indexed="81"/>
            <rFont val="Tahoma"/>
            <family val="2"/>
          </rPr>
          <t>Red Tilap</t>
        </r>
        <r>
          <rPr>
            <sz val="9"/>
            <color indexed="81"/>
            <rFont val="Tahoma"/>
            <family val="2"/>
          </rPr>
          <t>ia 1700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F4F52808-88AE-43F5-AC16-77DFB086AB48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1" authorId="0" shapeId="0" xr:uid="{53A9A7AC-10E1-4320-96DE-ECA3E7D7FD9E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  <comment ref="B33" authorId="0" shapeId="0" xr:uid="{C91D6E94-ACCD-450C-94C8-5B23880C1F16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86" authorId="0" shapeId="0" xr:uid="{6DAE6CA6-D309-4338-8515-6547D34ECBEC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6" authorId="0" shapeId="0" xr:uid="{FBE3690F-C48C-40F2-BEAF-75DDD18DD87C}">
      <text>
        <r>
          <rPr>
            <b/>
            <sz val="9"/>
            <color indexed="81"/>
            <rFont val="Tahoma"/>
            <family val="2"/>
          </rPr>
          <t>72</t>
        </r>
      </text>
    </comment>
    <comment ref="A125" authorId="0" shapeId="0" xr:uid="{EE74B28A-C908-4A44-90D6-493D69009B76}">
      <text>
        <r>
          <rPr>
            <b/>
            <sz val="9"/>
            <color indexed="81"/>
            <rFont val="Tahoma"/>
            <family val="2"/>
          </rPr>
          <t>89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6" authorId="0" shapeId="0" xr:uid="{0D914EB1-BA1B-459D-97C8-0B93F1208401}">
      <text>
        <r>
          <rPr>
            <sz val="9"/>
            <color indexed="81"/>
            <rFont val="Tahoma"/>
            <family val="2"/>
          </rPr>
          <t>affected by El Niño 2024 (OPA initiative)</t>
        </r>
      </text>
    </comment>
    <comment ref="B127" authorId="0" shapeId="0" xr:uid="{EFC3D0FD-BB89-4530-8E66-8385DABA6D4E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  <comment ref="B128" authorId="0" shapeId="0" xr:uid="{37B600D8-2F9B-475E-B0F6-CBF7D1675907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  <comment ref="B129" authorId="0" shapeId="0" xr:uid="{18C6EE24-DB1A-4D4F-AF6D-D3DA78D7CB4B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  <comment ref="B130" authorId="0" shapeId="0" xr:uid="{4E37219F-69B9-4249-B657-1FF4B387109B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  <comment ref="B131" authorId="0" shapeId="0" xr:uid="{246C6D42-1CE7-40A5-9A07-DA580FD38A66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  <comment ref="B134" authorId="0" shapeId="0" xr:uid="{8DFF1E22-2F98-49B6-A10C-1CFF4EAA0CCE}">
      <text>
        <r>
          <rPr>
            <sz val="9"/>
            <color indexed="81"/>
            <rFont val="Tahoma"/>
            <family val="2"/>
          </rPr>
          <t xml:space="preserve">affected by El Niño 2024 (OPA initiative)
</t>
        </r>
      </text>
    </comment>
    <comment ref="B140" authorId="0" shapeId="0" xr:uid="{6F59A8AB-E20B-4111-B6B6-49A18919FF3F}">
      <text>
        <r>
          <rPr>
            <sz val="9"/>
            <color indexed="81"/>
            <rFont val="Tahoma"/>
            <family val="2"/>
          </rPr>
          <t>affected by El Niño 2024 (OPA initiative)</t>
        </r>
        <r>
          <rPr>
            <b/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1" authorId="0" shapeId="0" xr:uid="{CC9AD6C0-33C5-4BDD-8F7E-506FED335FE8}">
      <text>
        <r>
          <rPr>
            <sz val="9"/>
            <color indexed="81"/>
            <rFont val="Tahoma"/>
            <family val="2"/>
          </rPr>
          <t>affected by El Niño 2024 (OPA initiative)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142" authorId="0" shapeId="0" xr:uid="{1A6600DE-7D28-4D86-8619-9A33764B8965}">
      <text>
        <r>
          <rPr>
            <b/>
            <sz val="9"/>
            <color indexed="81"/>
            <rFont val="Tahoma"/>
            <family val="2"/>
          </rPr>
          <t>NFRDI-TBI project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8" authorId="0" shapeId="0" xr:uid="{F33E81C2-C3A3-4AB4-A348-6BC7D1F8CA98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9" authorId="0" shapeId="0" xr:uid="{E724D093-2882-4726-8170-B8D06C04A092}">
      <text>
        <r>
          <rPr>
            <b/>
            <sz val="9"/>
            <color indexed="81"/>
            <rFont val="Tahoma"/>
            <family val="2"/>
          </rPr>
          <t>121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9" authorId="0" shapeId="0" xr:uid="{F686CEC0-9193-492C-A8F2-E5DC698E9A41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2" authorId="0" shapeId="0" xr:uid="{500FB813-22E2-4178-B6D6-FC70D292DF50}">
      <text>
        <r>
          <rPr>
            <b/>
            <sz val="9"/>
            <color indexed="81"/>
            <rFont val="Tahoma"/>
            <family val="2"/>
          </rPr>
          <t>SAAD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17937056-65A4-4FF1-A517-834408B9EF99}">
      <text>
        <r>
          <rPr>
            <b/>
            <sz val="9"/>
            <color indexed="81"/>
            <rFont val="Tahoma"/>
            <family val="2"/>
          </rPr>
          <t>SAAD (fishpond)</t>
        </r>
      </text>
    </comment>
    <comment ref="B15" authorId="0" shapeId="0" xr:uid="{1BEF1E04-1F40-4657-B580-7D5373F61391}">
      <text>
        <r>
          <rPr>
            <b/>
            <sz val="9"/>
            <color indexed="81"/>
            <rFont val="Tahoma"/>
            <family val="2"/>
          </rPr>
          <t>TARGET (fish cage)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6" authorId="0" shapeId="0" xr:uid="{546DDD3D-1698-43C8-94EE-489EE36ABD77}">
      <text>
        <r>
          <rPr>
            <b/>
            <sz val="9"/>
            <color indexed="81"/>
            <rFont val="Tahoma"/>
            <family val="2"/>
          </rPr>
          <t>SAAD (fish cage)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0" authorId="0" shapeId="0" xr:uid="{A4E26EDB-66DA-43C2-9855-0B7A14BF7B32}">
      <text>
        <r>
          <rPr>
            <b/>
            <sz val="9"/>
            <color indexed="81"/>
            <rFont val="Tahoma"/>
            <family val="2"/>
          </rPr>
          <t xml:space="preserve">from OPA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" authorId="0" shapeId="0" xr:uid="{26BE5D08-74C6-4788-93AB-CE5B1E745BCF}">
      <text>
        <r>
          <rPr>
            <b/>
            <sz val="9"/>
            <color indexed="81"/>
            <rFont val="Tahoma"/>
            <family val="2"/>
          </rPr>
          <t>SAAD (fish pond)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R17" authorId="0" shapeId="0" xr:uid="{4FB847DD-B5C8-40D4-9CBA-981FD1B875E4}">
      <text>
        <r>
          <rPr>
            <b/>
            <sz val="9"/>
            <color indexed="81"/>
            <rFont val="Tahoma"/>
            <family val="2"/>
          </rPr>
          <t>Red Tilapia 2200</t>
        </r>
      </text>
    </comment>
    <comment ref="R22" authorId="0" shapeId="0" xr:uid="{758FD759-4D1F-4F9B-B110-59B7F9BE56C8}">
      <text>
        <r>
          <rPr>
            <b/>
            <sz val="9"/>
            <color indexed="81"/>
            <rFont val="Tahoma"/>
            <family val="2"/>
          </rPr>
          <t>Red Tilapia 4,000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 xr:uid="{6BDAB355-B52B-4EA4-967D-AEA1E8040977}">
      <text>
        <r>
          <rPr>
            <b/>
            <sz val="9"/>
            <color indexed="81"/>
            <rFont val="Tahoma"/>
            <family val="2"/>
          </rPr>
          <t>57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2" authorId="0" shapeId="0" xr:uid="{E073B6DB-A6AA-41D0-B607-A7B36E518C84}">
      <text>
        <r>
          <rPr>
            <b/>
            <sz val="9"/>
            <color indexed="81"/>
            <rFont val="Tahoma"/>
            <family val="2"/>
          </rPr>
          <t>107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3" authorId="0" shapeId="0" xr:uid="{981BBC6C-17CE-4129-872C-367FF68ABACD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4" authorId="0" shapeId="0" xr:uid="{55EB0228-32A1-4397-BFBB-30A08AB4EEF3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3" authorId="0" shapeId="0" xr:uid="{07AF2553-CCE5-44BC-ABE2-506D451C2C98}">
      <text>
        <r>
          <rPr>
            <b/>
            <sz val="9"/>
            <color indexed="81"/>
            <rFont val="Tahoma"/>
            <family val="2"/>
          </rPr>
          <t>131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7EB15348-CC64-4357-9E13-9C591E2D0EE7}">
      <text>
        <r>
          <rPr>
            <b/>
            <sz val="9"/>
            <color indexed="81"/>
            <rFont val="Tahoma"/>
            <family val="2"/>
          </rPr>
          <t>SAAD (Fishpond)</t>
        </r>
      </text>
    </comment>
    <comment ref="B17" authorId="0" shapeId="0" xr:uid="{3CCDF63D-9D18-4611-91C5-6887639C01A5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" authorId="0" shapeId="0" xr:uid="{DA38CEE3-D12B-41D4-8274-409F16204779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3" authorId="0" shapeId="0" xr:uid="{A40F501B-3C4C-4B1F-9878-DF5AEEEF574A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4" authorId="0" shapeId="0" xr:uid="{D288E809-B914-4656-A91A-DB9A692A5DAF}">
      <text>
        <r>
          <rPr>
            <b/>
            <sz val="9"/>
            <color indexed="81"/>
            <rFont val="Tahoma"/>
            <family val="2"/>
          </rPr>
          <t>SAAD (pond)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5" authorId="0" shapeId="0" xr:uid="{5D661F31-55A3-4FAA-AC82-0922A64D4673}">
      <text>
        <r>
          <rPr>
            <b/>
            <sz val="9"/>
            <color indexed="81"/>
            <rFont val="Tahoma"/>
            <family val="2"/>
          </rPr>
          <t>TARGET (pond)</t>
        </r>
      </text>
    </comment>
    <comment ref="B26" authorId="0" shapeId="0" xr:uid="{3C7F15A7-BEB2-446A-8DF1-7AA3545FB7EC}">
      <text>
        <r>
          <rPr>
            <b/>
            <sz val="9"/>
            <color indexed="81"/>
            <rFont val="Tahoma"/>
            <family val="2"/>
          </rPr>
          <t>TARGET (fish cage)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7" authorId="0" shapeId="0" xr:uid="{9874118E-CAD7-468A-BA58-C0E29DC36260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0" authorId="0" shapeId="0" xr:uid="{4FA571A0-0228-42C8-B49A-370595665996}">
      <text>
        <r>
          <rPr>
            <b/>
            <sz val="9"/>
            <color indexed="81"/>
            <rFont val="Tahoma"/>
            <family val="2"/>
          </rPr>
          <t>78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22" authorId="0" shapeId="0" xr:uid="{658A7DCA-0E45-4580-90DB-07901224A3B7}">
      <text>
        <r>
          <rPr>
            <b/>
            <sz val="9"/>
            <color indexed="81"/>
            <rFont val="Tahoma"/>
            <family val="2"/>
          </rPr>
          <t xml:space="preserve">TARGET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3" authorId="0" shapeId="0" xr:uid="{218BADDD-CD0F-41AA-AECC-F0AE2DB01AF8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5" authorId="0" shapeId="0" xr:uid="{97B926D9-2314-4CDE-96BA-03531589A085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53" authorId="0" shapeId="0" xr:uid="{DEE81340-BED1-46B0-929F-4153CFA04447}">
      <text>
        <r>
          <rPr>
            <b/>
            <sz val="9"/>
            <color indexed="81"/>
            <rFont val="Tahoma"/>
            <family val="2"/>
          </rPr>
          <t>TARGET</t>
        </r>
      </text>
    </comment>
    <comment ref="A169" authorId="0" shapeId="0" xr:uid="{4EF1C6A1-E345-4BFD-A0D1-278E81278F16}">
      <text>
        <r>
          <rPr>
            <b/>
            <sz val="9"/>
            <color indexed="81"/>
            <rFont val="Tahoma"/>
            <family val="2"/>
          </rPr>
          <t>136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0" authorId="0" shapeId="0" xr:uid="{D1600F05-D55D-44FE-86B4-18327403CA30}">
      <text>
        <r>
          <rPr>
            <b/>
            <sz val="9"/>
            <color indexed="81"/>
            <rFont val="Tahoma"/>
            <family val="2"/>
          </rPr>
          <t>161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1" authorId="0" shapeId="0" xr:uid="{1B0BCC96-20F8-4BCD-8160-2FA6A1C2FAF7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6" authorId="0" shapeId="0" xr:uid="{48395578-8FE3-46E1-AC1F-637058F9FD20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7" authorId="0" shapeId="0" xr:uid="{41F73E55-DCAE-4E38-882C-7CE9EF5BAAFA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8" authorId="0" shapeId="0" xr:uid="{171B37E3-B410-48C9-8BB9-D6FE5A8F9503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19" authorId="0" shapeId="0" xr:uid="{CC1C1D67-E08E-490E-8F20-2D44A6617CCA}">
      <text>
        <r>
          <rPr>
            <b/>
            <sz val="9"/>
            <color indexed="81"/>
            <rFont val="Tahoma"/>
            <family val="2"/>
          </rPr>
          <t>TARGET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1" authorId="0" shapeId="0" xr:uid="{B25B924E-AF66-4009-91C1-F4A57BA5E1C6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2" authorId="0" shapeId="0" xr:uid="{7287D147-0199-476E-914B-938E3A650324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3" authorId="0" shapeId="0" xr:uid="{52FDB06B-ACE4-44C9-A66E-1D0C6BA6C062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4" authorId="0" shapeId="0" xr:uid="{740CF789-2BBF-424A-B6CB-40A857106C18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225" authorId="0" shapeId="0" xr:uid="{C1BC8C21-33CB-465D-9E9A-A70D60F6C55D}">
      <text>
        <r>
          <rPr>
            <b/>
            <sz val="9"/>
            <color indexed="81"/>
            <rFont val="Tahoma"/>
            <family val="2"/>
          </rPr>
          <t>TARGET (fishpond)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72" authorId="0" shapeId="0" xr:uid="{CCBD0176-F9C6-4063-955A-6B88337D8A2E}">
      <text>
        <r>
          <rPr>
            <b/>
            <sz val="9"/>
            <color indexed="81"/>
            <rFont val="Tahoma"/>
            <family val="2"/>
          </rPr>
          <t>222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2" authorId="0" shapeId="0" xr:uid="{0E194BF5-A6F9-4048-9E7E-D029EC6AB255}">
      <text>
        <r>
          <rPr>
            <b/>
            <sz val="9"/>
            <color indexed="81"/>
            <rFont val="Tahoma"/>
            <family val="2"/>
          </rPr>
          <t>SAAD Fish cage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F9E20744-6281-4BB7-A14C-F05544E0DA6B}">
      <text>
        <r>
          <rPr>
            <b/>
            <sz val="9"/>
            <color indexed="81"/>
            <rFont val="Tahoma"/>
            <family val="2"/>
          </rPr>
          <t>SAAD Fish cage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4" authorId="0" shapeId="0" xr:uid="{C4111276-3BD1-4B30-83DD-238FBC5CA9EB}">
      <text>
        <r>
          <rPr>
            <b/>
            <sz val="9"/>
            <color indexed="81"/>
            <rFont val="Tahoma"/>
            <family val="2"/>
          </rPr>
          <t>SAAD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7" authorId="0" shapeId="0" xr:uid="{0A91AA64-2B35-40B2-941C-C800F00D47DF}">
      <text>
        <r>
          <rPr>
            <b/>
            <sz val="9"/>
            <color indexed="81"/>
            <rFont val="Tahoma"/>
            <family val="2"/>
          </rPr>
          <t xml:space="preserve">TARGET (pond)
</t>
        </r>
      </text>
    </comment>
    <comment ref="L34" authorId="0" shapeId="0" xr:uid="{7030463F-9BB9-4F71-871A-ED32D8BF0A9F}">
      <text>
        <r>
          <rPr>
            <b/>
            <sz val="9"/>
            <color indexed="81"/>
            <rFont val="Tahoma"/>
            <family val="2"/>
          </rPr>
          <t>Red tilapia 2000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4" authorId="0" shapeId="0" xr:uid="{E655FDF9-E448-4BC6-BF39-BDD8C3E643B9}">
      <text>
        <r>
          <rPr>
            <b/>
            <sz val="9"/>
            <color indexed="81"/>
            <rFont val="Tahoma"/>
            <family val="2"/>
          </rPr>
          <t>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7" authorId="0" shapeId="0" xr:uid="{0510ADAD-7717-4837-B32D-0191EBB399F5}">
      <text>
        <r>
          <rPr>
            <b/>
            <sz val="9"/>
            <color indexed="81"/>
            <rFont val="Tahoma"/>
            <family val="2"/>
          </rPr>
          <t>53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5" authorId="0" shapeId="0" xr:uid="{490F3841-71EF-412B-A8E0-EAA5B0F38A61}">
      <text>
        <r>
          <rPr>
            <b/>
            <sz val="9"/>
            <color indexed="81"/>
            <rFont val="Tahoma"/>
            <family val="2"/>
          </rPr>
          <t>101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7" authorId="0" shapeId="0" xr:uid="{2020CAFB-C7D7-428A-B77D-E10F7905A9A9}">
      <text>
        <r>
          <rPr>
            <b/>
            <sz val="9"/>
            <color indexed="81"/>
            <rFont val="Tahoma"/>
            <family val="2"/>
          </rPr>
          <t>122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8" authorId="0" shapeId="0" xr:uid="{C03F1FA1-565E-4A60-9A29-677C29CC4D57}">
      <text>
        <r>
          <rPr>
            <b/>
            <sz val="9"/>
            <color indexed="81"/>
            <rFont val="Tahoma"/>
            <family val="2"/>
          </rPr>
          <t xml:space="preserve">142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R12" authorId="0" shapeId="0" xr:uid="{86D30861-FABA-42ED-BB75-AA79507F6C8B}">
      <text>
        <r>
          <rPr>
            <b/>
            <sz val="9"/>
            <color indexed="81"/>
            <rFont val="Tahoma"/>
            <family val="2"/>
          </rPr>
          <t>Red Tilapia 3600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5" authorId="0" shapeId="0" xr:uid="{9BD5742F-CE45-44E8-BE85-5EDC43B53480}">
      <text>
        <r>
          <rPr>
            <b/>
            <sz val="9"/>
            <color indexed="81"/>
            <rFont val="Tahoma"/>
            <family val="2"/>
          </rPr>
          <t>2,000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1" authorId="0" shapeId="0" xr:uid="{8C030C2B-247B-4564-8421-6F3553EC0AB2}">
      <text>
        <r>
          <rPr>
            <sz val="9"/>
            <color indexed="81"/>
            <rFont val="Tahoma"/>
            <family val="2"/>
          </rPr>
          <t xml:space="preserve">Red Tilapia 1,000
</t>
        </r>
      </text>
    </comment>
    <comment ref="A71" authorId="0" shapeId="0" xr:uid="{7FAB2182-CAB7-46A1-9FC2-9C1059A4FD50}">
      <text>
        <r>
          <rPr>
            <b/>
            <sz val="9"/>
            <color indexed="81"/>
            <rFont val="Tahoma"/>
            <family val="2"/>
          </rPr>
          <t>56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76" authorId="0" shapeId="0" xr:uid="{583DD6CB-66F4-49B3-86F5-AAE19546F3CF}">
      <text>
        <r>
          <rPr>
            <b/>
            <sz val="9"/>
            <color indexed="81"/>
            <rFont val="Tahoma"/>
            <family val="2"/>
          </rPr>
          <t>SAAD fish cage project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01" authorId="0" shapeId="0" xr:uid="{DF054CF0-AE54-480D-B038-962824A5A33A}">
      <text>
        <r>
          <rPr>
            <b/>
            <sz val="9"/>
            <color indexed="81"/>
            <rFont val="Tahoma"/>
            <family val="2"/>
          </rPr>
          <t>82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01" authorId="0" shapeId="0" xr:uid="{567757DF-21BC-4DA5-A30E-5BB5CECC2FAC}">
      <text>
        <r>
          <rPr>
            <b/>
            <sz val="9"/>
            <color indexed="81"/>
            <rFont val="Tahoma"/>
            <family val="2"/>
          </rPr>
          <t>BASIL fish cage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9" authorId="0" shapeId="0" xr:uid="{1E77744E-4D60-4E36-AACA-5CD79A70D951}">
      <text>
        <r>
          <rPr>
            <b/>
            <sz val="9"/>
            <color indexed="81"/>
            <rFont val="Tahoma"/>
            <family val="2"/>
          </rPr>
          <t>99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R12" authorId="0" shapeId="0" xr:uid="{91D87F91-B142-45E6-BB18-80323AA70A74}">
      <text>
        <r>
          <rPr>
            <b/>
            <sz val="9"/>
            <color indexed="81"/>
            <rFont val="Tahoma"/>
            <family val="2"/>
          </rPr>
          <t>Red Tilapia 3,200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7" authorId="0" shapeId="0" xr:uid="{94315C0B-BC28-437E-A65D-25FA864B9B48}">
      <text>
        <r>
          <rPr>
            <b/>
            <sz val="9"/>
            <color indexed="81"/>
            <rFont val="Tahoma"/>
            <family val="2"/>
          </rPr>
          <t>31</t>
        </r>
      </text>
    </comment>
    <comment ref="A70" authorId="0" shapeId="0" xr:uid="{8F1323C8-CFA4-47A1-A43F-86F6B9601768}">
      <text>
        <r>
          <rPr>
            <b/>
            <sz val="9"/>
            <color indexed="81"/>
            <rFont val="Tahoma"/>
            <family val="2"/>
          </rPr>
          <t>46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1" authorId="0" shapeId="0" xr:uid="{948802DE-530A-42DA-B540-621700C88BA8}">
      <text>
        <r>
          <rPr>
            <b/>
            <sz val="9"/>
            <color indexed="81"/>
            <rFont val="Tahoma"/>
            <family val="2"/>
          </rPr>
          <t>Reported to Sir Melo for Production Record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3" authorId="0" shapeId="0" xr:uid="{66AF5140-4BCC-4DC2-8A0E-89649C92D5FE}">
      <text>
        <r>
          <rPr>
            <b/>
            <sz val="9"/>
            <color indexed="81"/>
            <rFont val="Tahoma"/>
            <family val="2"/>
          </rPr>
          <t>59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32" authorId="0" shapeId="0" xr:uid="{978D22AB-0D33-4B1C-80A2-703C276AF740}">
      <text>
        <r>
          <rPr>
            <b/>
            <sz val="9"/>
            <color indexed="81"/>
            <rFont val="Tahoma"/>
            <family val="2"/>
          </rPr>
          <t>12600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R12" authorId="0" shapeId="0" xr:uid="{A5751942-AD48-4231-9DC5-4C3661F8F9F1}">
      <text>
        <r>
          <rPr>
            <b/>
            <sz val="9"/>
            <color indexed="81"/>
            <rFont val="Tahoma"/>
            <family val="2"/>
          </rPr>
          <t>9800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20" authorId="0" shapeId="0" xr:uid="{9CDE93D3-FF1A-4914-8389-842E99874C18}">
      <text>
        <r>
          <rPr>
            <b/>
            <sz val="9"/>
            <color indexed="81"/>
            <rFont val="Tahoma"/>
            <family val="2"/>
          </rPr>
          <t>Red Tilapia 1000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6" authorId="0" shapeId="0" xr:uid="{F47F2429-593A-49E3-8F23-532D6400D1AA}">
      <text>
        <r>
          <rPr>
            <b/>
            <sz val="9"/>
            <color indexed="81"/>
            <rFont val="Tahoma"/>
            <family val="2"/>
          </rPr>
          <t>56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5" authorId="0" shapeId="0" xr:uid="{8F498AE5-E9B3-4261-B122-40D034ED8AA4}">
      <text>
        <r>
          <rPr>
            <b/>
            <sz val="9"/>
            <color indexed="81"/>
            <rFont val="Tahoma"/>
            <family val="2"/>
          </rPr>
          <t>65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8" authorId="0" shapeId="0" xr:uid="{158422A1-5249-4B15-A1A4-CAE212BA0D6D}">
      <text>
        <r>
          <rPr>
            <b/>
            <sz val="9"/>
            <color indexed="81"/>
            <rFont val="Tahoma"/>
            <family val="2"/>
          </rPr>
          <t>78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20" authorId="0" shapeId="0" xr:uid="{26D65435-98F2-4B07-B2CB-3E2DB9B63F7B}">
      <text>
        <r>
          <rPr>
            <b/>
            <sz val="9"/>
            <color indexed="81"/>
            <rFont val="Tahoma"/>
            <family val="2"/>
          </rPr>
          <t>95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31" authorId="0" shapeId="0" xr:uid="{210DFF5C-8790-4E82-909E-5C22D41325D3}">
      <text>
        <r>
          <rPr>
            <b/>
            <sz val="9"/>
            <color indexed="81"/>
            <rFont val="Tahoma"/>
            <family val="2"/>
          </rPr>
          <t xml:space="preserve">Red Tilapia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7" authorId="0" shapeId="0" xr:uid="{DE4CF1A1-6159-4817-9672-834317F02F28}">
      <text>
        <r>
          <rPr>
            <b/>
            <sz val="9"/>
            <color indexed="81"/>
            <rFont val="Tahoma"/>
            <family val="2"/>
          </rPr>
          <t>600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9" authorId="0" shapeId="0" xr:uid="{FDA9B249-81E8-4C09-8652-1B02A0094212}">
      <text>
        <r>
          <rPr>
            <b/>
            <sz val="9"/>
            <color indexed="81"/>
            <rFont val="Tahoma"/>
            <family val="2"/>
          </rPr>
          <t>1000 Red Tilapia</t>
        </r>
      </text>
    </comment>
    <comment ref="A58" authorId="0" shapeId="0" xr:uid="{B2782D89-A565-4BE5-8F18-5B61421F5782}">
      <text>
        <r>
          <rPr>
            <b/>
            <sz val="9"/>
            <color indexed="81"/>
            <rFont val="Tahoma"/>
            <family val="2"/>
          </rPr>
          <t>42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93" authorId="0" shapeId="0" xr:uid="{532B7D82-4B0D-4A4A-B19D-CD6EACD42AAD}">
      <text>
        <r>
          <rPr>
            <b/>
            <sz val="9"/>
            <color indexed="81"/>
            <rFont val="Tahoma"/>
            <family val="2"/>
          </rPr>
          <t>77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33" authorId="0" shapeId="0" xr:uid="{D0F8FA3E-AA74-4D2E-A192-548DF81D72B2}">
      <text>
        <r>
          <rPr>
            <b/>
            <sz val="9"/>
            <color indexed="81"/>
            <rFont val="Tahoma"/>
            <family val="2"/>
          </rPr>
          <t>112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62" authorId="0" shapeId="0" xr:uid="{28E1A59F-A07C-41CC-AA83-23CC253FABAC}">
      <text>
        <r>
          <rPr>
            <b/>
            <sz val="9"/>
            <color indexed="81"/>
            <rFont val="Tahoma"/>
            <family val="2"/>
          </rPr>
          <t>140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30" authorId="0" shapeId="0" xr:uid="{6A24465E-BFB1-42F3-B194-78DFC3025F2E}">
      <text>
        <r>
          <rPr>
            <b/>
            <sz val="9"/>
            <color indexed="81"/>
            <rFont val="Tahoma"/>
            <family val="2"/>
          </rPr>
          <t>3500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2" authorId="0" shapeId="0" xr:uid="{D9D78E88-1BDA-4F80-9A05-119AE3BDB2D5}">
      <text>
        <r>
          <rPr>
            <b/>
            <sz val="9"/>
            <color indexed="81"/>
            <rFont val="Tahoma"/>
            <family val="2"/>
          </rPr>
          <t>3,500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2" authorId="0" shapeId="0" xr:uid="{19BA31FA-6423-401B-B97C-5C7FA12C4B62}">
      <text>
        <r>
          <rPr>
            <b/>
            <sz val="9"/>
            <color indexed="81"/>
            <rFont val="Tahoma"/>
            <family val="2"/>
          </rPr>
          <t>5,200 Red Tilapia</t>
        </r>
      </text>
    </comment>
    <comment ref="Q15" authorId="0" shapeId="0" xr:uid="{30B88DF3-8EB8-43F3-9945-2B4C141EF94B}">
      <text>
        <r>
          <rPr>
            <b/>
            <sz val="9"/>
            <color indexed="81"/>
            <rFont val="Tahoma"/>
            <family val="2"/>
          </rPr>
          <t>600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8" authorId="0" shapeId="0" xr:uid="{1AFC109B-49B0-4262-AA3D-8C9D848CE47A}">
      <text>
        <r>
          <rPr>
            <b/>
            <sz val="9"/>
            <color indexed="81"/>
            <rFont val="Tahoma"/>
            <family val="2"/>
          </rPr>
          <t>5,850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3" authorId="0" shapeId="0" xr:uid="{47F5F4A1-A42F-4F31-8778-83D64F29A698}">
      <text>
        <r>
          <rPr>
            <b/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6" authorId="0" shapeId="0" xr:uid="{65190FBF-5324-42D4-B40A-CBFF69AE9482}">
      <text>
        <r>
          <rPr>
            <b/>
            <sz val="9"/>
            <color indexed="81"/>
            <rFont val="Tahoma"/>
            <family val="2"/>
          </rPr>
          <t>20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8" authorId="0" shapeId="0" xr:uid="{6D796E48-71C6-410C-966F-294A7740A353}">
      <text>
        <r>
          <rPr>
            <b/>
            <sz val="9"/>
            <color indexed="81"/>
            <rFont val="Tahoma"/>
            <family val="2"/>
          </rPr>
          <t>30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60" authorId="0" shapeId="0" xr:uid="{1C1855A9-20FC-4EF1-8654-BAABA6A7680C}">
      <text>
        <r>
          <rPr>
            <b/>
            <sz val="9"/>
            <color indexed="81"/>
            <rFont val="Tahoma"/>
            <family val="2"/>
          </rPr>
          <t>40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1" authorId="0" shapeId="0" xr:uid="{E67408F2-6935-4B37-83A4-7E61E9088D66}">
      <text>
        <r>
          <rPr>
            <b/>
            <sz val="9"/>
            <color indexed="81"/>
            <rFont val="Tahoma"/>
            <family val="2"/>
          </rPr>
          <t>59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14" authorId="0" shapeId="0" xr:uid="{5B69846D-1D15-459E-AF76-8B1F2FA4DFC1}">
      <text>
        <r>
          <rPr>
            <b/>
            <sz val="9"/>
            <color indexed="81"/>
            <rFont val="Tahoma"/>
            <family val="2"/>
          </rPr>
          <t>89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90" authorId="0" shapeId="0" xr:uid="{1B55885A-EE88-4FFA-90F4-2E12DD954D1B}">
      <text>
        <r>
          <rPr>
            <b/>
            <sz val="9"/>
            <color indexed="81"/>
            <rFont val="Tahoma"/>
            <family val="2"/>
          </rPr>
          <t>161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8" authorId="0" shapeId="0" xr:uid="{8EB86062-DF3D-480A-B7EC-5A5261D3D614}">
      <text>
        <r>
          <rPr>
            <b/>
            <sz val="9"/>
            <color indexed="81"/>
            <rFont val="Tahoma"/>
            <family val="2"/>
          </rPr>
          <t>11,650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L30" authorId="0" shapeId="0" xr:uid="{DBA4AC68-C233-4395-95F0-9A3D38C21F25}">
      <text>
        <r>
          <rPr>
            <b/>
            <sz val="9"/>
            <color indexed="81"/>
            <rFont val="Tahoma"/>
            <family val="2"/>
          </rPr>
          <t>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1" authorId="0" shapeId="0" xr:uid="{09ABD7DA-8EDE-497A-93FE-EB5705D65788}">
      <text>
        <r>
          <rPr>
            <b/>
            <sz val="9"/>
            <color indexed="81"/>
            <rFont val="Tahoma"/>
            <family val="2"/>
          </rPr>
          <t>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2" authorId="0" shapeId="0" xr:uid="{AFDD79EF-DCEF-41A3-9152-D27B3FDAE1D2}">
      <text>
        <r>
          <rPr>
            <b/>
            <sz val="9"/>
            <color indexed="81"/>
            <rFont val="Tahoma"/>
            <family val="2"/>
          </rPr>
          <t xml:space="preserve">Broodstock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4" authorId="0" shapeId="0" xr:uid="{72757666-D241-438C-BD23-21B12B38A536}">
      <text>
        <r>
          <rPr>
            <b/>
            <sz val="9"/>
            <color indexed="81"/>
            <rFont val="Tahoma"/>
            <family val="2"/>
          </rPr>
          <t>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5" authorId="0" shapeId="0" xr:uid="{D4327DF9-8A17-4539-89AF-D098E67999F8}">
      <text>
        <r>
          <rPr>
            <b/>
            <sz val="9"/>
            <color indexed="81"/>
            <rFont val="Tahoma"/>
            <family val="2"/>
          </rPr>
          <t xml:space="preserve">Hito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Q16" authorId="0" shapeId="0" xr:uid="{9AD4BDBE-2F7A-4A7B-A548-6C1D2544946E}">
      <text>
        <r>
          <rPr>
            <b/>
            <sz val="9"/>
            <color indexed="81"/>
            <rFont val="Tahoma"/>
            <family val="2"/>
          </rPr>
          <t>1500 Red Tilapia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Q19" authorId="0" shapeId="0" xr:uid="{3E19C32A-0434-46E1-88BB-5752BB976191}">
      <text>
        <r>
          <rPr>
            <b/>
            <sz val="9"/>
            <color indexed="81"/>
            <rFont val="Tahoma"/>
            <family val="2"/>
          </rPr>
          <t xml:space="preserve">500 Red Tilapia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72" authorId="0" shapeId="0" xr:uid="{E923CEC5-7289-4A54-89BD-EE78715C2A5B}">
      <text>
        <r>
          <rPr>
            <b/>
            <sz val="9"/>
            <color indexed="81"/>
            <rFont val="Tahoma"/>
            <family val="2"/>
          </rPr>
          <t>59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84" authorId="0" shapeId="0" xr:uid="{7A7EF284-E292-43D4-86C4-B46647B49A71}">
      <text>
        <r>
          <rPr>
            <b/>
            <sz val="9"/>
            <color indexed="81"/>
            <rFont val="Tahoma"/>
            <family val="2"/>
          </rPr>
          <t>71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155" authorId="0" shapeId="0" xr:uid="{4C03A885-BF18-4EE4-BBE7-BCD1014DFE26}">
      <text>
        <r>
          <rPr>
            <b/>
            <sz val="9"/>
            <color indexed="81"/>
            <rFont val="Tahoma"/>
            <family val="2"/>
          </rPr>
          <t>136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6" authorId="0" shapeId="0" xr:uid="{917B1070-6E73-4E49-9055-EE4015807814}">
      <text>
        <r>
          <rPr>
            <b/>
            <sz val="9"/>
            <color indexed="81"/>
            <rFont val="Tahoma"/>
            <family val="2"/>
          </rPr>
          <t>183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17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 xml:space="preserve">20%
</t>
        </r>
      </text>
    </comment>
  </commentList>
</comments>
</file>

<file path=xl/sharedStrings.xml><?xml version="1.0" encoding="utf-8"?>
<sst xmlns="http://schemas.openxmlformats.org/spreadsheetml/2006/main" count="18827" uniqueCount="3860">
  <si>
    <t xml:space="preserve">                      FORMAT LIST OF ACTUAL BENEFICIARIES</t>
  </si>
  <si>
    <t xml:space="preserve">                                Types of Goods/Services Received</t>
  </si>
  <si>
    <t>DATE OF IMPLEMENTATION</t>
  </si>
  <si>
    <t>NAME OF BENEFICIARIES</t>
  </si>
  <si>
    <t>GENDER</t>
  </si>
  <si>
    <t>BARANGAY</t>
  </si>
  <si>
    <t>MUNICIPALITY</t>
  </si>
  <si>
    <t xml:space="preserve">Contact No./Email </t>
  </si>
  <si>
    <t xml:space="preserve">QUANTITY </t>
  </si>
  <si>
    <t>COST('000)</t>
  </si>
  <si>
    <t>Address(if any)</t>
  </si>
  <si>
    <t>Type/Species</t>
  </si>
  <si>
    <t>RECEIVED</t>
  </si>
  <si>
    <t>TYPE</t>
  </si>
  <si>
    <t>SATISFIED/</t>
  </si>
  <si>
    <t>(Unit/kg/pcs.)</t>
  </si>
  <si>
    <t>NOT SATISFIED</t>
  </si>
  <si>
    <t>DATE</t>
  </si>
  <si>
    <t>Total</t>
  </si>
  <si>
    <t>SUMMARY:</t>
  </si>
  <si>
    <t>Prepared and Submitted by:</t>
  </si>
  <si>
    <t>Noted by:</t>
  </si>
  <si>
    <t>Total area (sq.m)</t>
  </si>
  <si>
    <t>NUMBER</t>
  </si>
  <si>
    <t>Contact</t>
  </si>
  <si>
    <t>Name of</t>
  </si>
  <si>
    <t>Types of Goods/Services Received</t>
  </si>
  <si>
    <t>NAME OF LGU/ASSOCIATION</t>
  </si>
  <si>
    <t>OF</t>
  </si>
  <si>
    <t>No./Email</t>
  </si>
  <si>
    <t>Representatives</t>
  </si>
  <si>
    <t>MEMBERS</t>
  </si>
  <si>
    <t>Address (if</t>
  </si>
  <si>
    <t>who received</t>
  </si>
  <si>
    <t>any)</t>
  </si>
  <si>
    <t>(Unit/kg/pcs.</t>
  </si>
  <si>
    <r>
      <t>Male:</t>
    </r>
    <r>
      <rPr>
        <u/>
        <sz val="10"/>
        <rFont val="Arial"/>
        <family val="2"/>
      </rPr>
      <t xml:space="preserve">  </t>
    </r>
  </si>
  <si>
    <r>
      <t>Female:</t>
    </r>
    <r>
      <rPr>
        <u/>
        <sz val="10"/>
        <rFont val="Arial"/>
        <family val="2"/>
      </rPr>
      <t xml:space="preserve">  </t>
    </r>
  </si>
  <si>
    <r>
      <t>Others:(S.C./PWD)</t>
    </r>
    <r>
      <rPr>
        <u/>
        <sz val="10"/>
        <rFont val="Arial"/>
        <family val="2"/>
      </rPr>
      <t xml:space="preserve"> </t>
    </r>
  </si>
  <si>
    <t>Anda</t>
  </si>
  <si>
    <t>Excel</t>
  </si>
  <si>
    <t>satisfied</t>
  </si>
  <si>
    <t>Carmen</t>
  </si>
  <si>
    <t>Clarin</t>
  </si>
  <si>
    <t>Bilar</t>
  </si>
  <si>
    <t>Danao</t>
  </si>
  <si>
    <t>Batuan</t>
  </si>
  <si>
    <t>Inabanga</t>
  </si>
  <si>
    <t>Calape</t>
  </si>
  <si>
    <t>Catigbian</t>
  </si>
  <si>
    <t>Trinidad</t>
  </si>
  <si>
    <t>Bien Unido</t>
  </si>
  <si>
    <t>Loboc</t>
  </si>
  <si>
    <t>Talibon</t>
  </si>
  <si>
    <t>Sagbayan</t>
  </si>
  <si>
    <t>Balilihan</t>
  </si>
  <si>
    <t>Tubigon</t>
  </si>
  <si>
    <t>Dagohoy</t>
  </si>
  <si>
    <t>Buenavista</t>
  </si>
  <si>
    <t>Ubay</t>
  </si>
  <si>
    <t>San Isidro</t>
  </si>
  <si>
    <t>Sierra Bullones</t>
  </si>
  <si>
    <t>Tagbilaran City</t>
  </si>
  <si>
    <t>Alicia</t>
  </si>
  <si>
    <t>San Miguel</t>
  </si>
  <si>
    <t>Sikatuna</t>
  </si>
  <si>
    <t>Valencia</t>
  </si>
  <si>
    <t>Loon</t>
  </si>
  <si>
    <t>Candijay</t>
  </si>
  <si>
    <t>Pilar</t>
  </si>
  <si>
    <t>Corella</t>
  </si>
  <si>
    <t>Dauis</t>
  </si>
  <si>
    <t>Getafe</t>
  </si>
  <si>
    <t>Cortes</t>
  </si>
  <si>
    <t>Maribojoc</t>
  </si>
  <si>
    <t>Guindulman</t>
  </si>
  <si>
    <t>Jagna</t>
  </si>
  <si>
    <t>Lila</t>
  </si>
  <si>
    <t>Loay</t>
  </si>
  <si>
    <t>Antequera</t>
  </si>
  <si>
    <t>Sevilla</t>
  </si>
  <si>
    <t>Garcia Hernandez</t>
  </si>
  <si>
    <t>Baclayon</t>
  </si>
  <si>
    <t>Panglao</t>
  </si>
  <si>
    <t>Duero</t>
  </si>
  <si>
    <t>Alburquerque</t>
  </si>
  <si>
    <t>Mabini</t>
  </si>
  <si>
    <r>
      <t xml:space="preserve">  Brackishwater:</t>
    </r>
    <r>
      <rPr>
        <u/>
        <sz val="9"/>
        <rFont val="Arial"/>
        <family val="2"/>
      </rPr>
      <t xml:space="preserve"> </t>
    </r>
  </si>
  <si>
    <t>Dimiao</t>
  </si>
  <si>
    <t xml:space="preserve">Male: </t>
  </si>
  <si>
    <t>President Garcia</t>
  </si>
  <si>
    <t>Female:</t>
  </si>
  <si>
    <t>Dispersed</t>
  </si>
  <si>
    <t>Sold</t>
  </si>
  <si>
    <t>ULANG</t>
  </si>
  <si>
    <t>TILAPIA</t>
  </si>
  <si>
    <t>TOTAL</t>
  </si>
  <si>
    <t>ORNAMENTAL</t>
  </si>
  <si>
    <t>Date</t>
  </si>
  <si>
    <t>JANUARY</t>
  </si>
  <si>
    <t>FEBRUARY</t>
  </si>
  <si>
    <t>MARCH</t>
  </si>
  <si>
    <t>APRIL</t>
  </si>
  <si>
    <t>MAY</t>
  </si>
  <si>
    <t>JUNE</t>
  </si>
  <si>
    <t>HITO</t>
  </si>
  <si>
    <t>TOTAL Produced</t>
  </si>
  <si>
    <t>Freshwater:</t>
  </si>
  <si>
    <t xml:space="preserve">Brackishwater: </t>
  </si>
  <si>
    <t xml:space="preserve">Direct Client: </t>
  </si>
  <si>
    <t xml:space="preserve">Coordinating Office: </t>
  </si>
  <si>
    <t xml:space="preserve">C. Carp: </t>
  </si>
  <si>
    <t xml:space="preserve">Ornamental Fish: </t>
  </si>
  <si>
    <r>
      <t>Ornamental Fish:</t>
    </r>
    <r>
      <rPr>
        <u/>
        <sz val="9"/>
        <rFont val="Arial"/>
        <family val="2"/>
      </rPr>
      <t xml:space="preserve"> </t>
    </r>
  </si>
  <si>
    <t>Catfish</t>
  </si>
  <si>
    <t xml:space="preserve">  Freshwater:</t>
  </si>
  <si>
    <t>a. Groups</t>
  </si>
  <si>
    <t>a. Individuals</t>
  </si>
  <si>
    <t>CFFF, Clarin</t>
  </si>
  <si>
    <t>LDFF, Camotes</t>
  </si>
  <si>
    <r>
      <t>1</t>
    </r>
    <r>
      <rPr>
        <b/>
        <vertAlign val="superscript"/>
        <sz val="13"/>
        <color theme="1"/>
        <rFont val="Calibri"/>
        <family val="2"/>
        <scheme val="minor"/>
      </rPr>
      <t>st</t>
    </r>
    <r>
      <rPr>
        <b/>
        <sz val="13"/>
        <color theme="1"/>
        <rFont val="Calibri"/>
        <family val="2"/>
        <scheme val="minor"/>
      </rPr>
      <t xml:space="preserve"> DISTRICT</t>
    </r>
  </si>
  <si>
    <r>
      <t>2</t>
    </r>
    <r>
      <rPr>
        <b/>
        <vertAlign val="superscript"/>
        <sz val="13"/>
        <color theme="1"/>
        <rFont val="Calibri"/>
        <family val="2"/>
        <scheme val="minor"/>
      </rPr>
      <t>nd</t>
    </r>
    <r>
      <rPr>
        <b/>
        <sz val="13"/>
        <color theme="1"/>
        <rFont val="Calibri"/>
        <family val="2"/>
        <scheme val="minor"/>
      </rPr>
      <t xml:space="preserve"> DISTRICT</t>
    </r>
  </si>
  <si>
    <r>
      <t>3</t>
    </r>
    <r>
      <rPr>
        <b/>
        <vertAlign val="superscript"/>
        <sz val="13"/>
        <color theme="1"/>
        <rFont val="Calibri"/>
        <family val="2"/>
        <scheme val="minor"/>
      </rPr>
      <t>rd</t>
    </r>
    <r>
      <rPr>
        <b/>
        <sz val="13"/>
        <color theme="1"/>
        <rFont val="Calibri"/>
        <family val="2"/>
        <scheme val="minor"/>
      </rPr>
      <t xml:space="preserve"> DISTRICT</t>
    </r>
  </si>
  <si>
    <t>DISTRIBUTED</t>
  </si>
  <si>
    <t>PRODUCED</t>
  </si>
  <si>
    <t>JULY</t>
  </si>
  <si>
    <t>AUGUST</t>
  </si>
  <si>
    <t>SEPTEMBER</t>
  </si>
  <si>
    <t>OCTOBER</t>
  </si>
  <si>
    <t>NOVEMBER</t>
  </si>
  <si>
    <t>DECEMBER</t>
  </si>
  <si>
    <t>UBFF - Ubay</t>
  </si>
  <si>
    <t>COMMON CARP</t>
  </si>
  <si>
    <t>% Accomp</t>
  </si>
  <si>
    <t>MONTH</t>
  </si>
  <si>
    <t>TILAPIA BREEDERS</t>
  </si>
  <si>
    <t>BREEDERS</t>
  </si>
  <si>
    <t>Sub.TOTAL</t>
  </si>
  <si>
    <t>Tilapia</t>
  </si>
  <si>
    <t>YEAR</t>
  </si>
  <si>
    <t>TOTAL DISTRIBUTION</t>
  </si>
  <si>
    <t>TOTAL PRODUCTION</t>
  </si>
  <si>
    <t>CFFF SUMMARY OF PRODUCTION</t>
  </si>
  <si>
    <t>2019</t>
  </si>
  <si>
    <t>2020</t>
  </si>
  <si>
    <t>2021</t>
  </si>
  <si>
    <t>TOTAL NO. OF CLIENTS</t>
  </si>
  <si>
    <t xml:space="preserve">pond </t>
  </si>
  <si>
    <t>Center Chief</t>
  </si>
  <si>
    <t>Tilapia:</t>
  </si>
  <si>
    <t>2022</t>
  </si>
  <si>
    <t>ORNAMENTAL (koi)</t>
  </si>
  <si>
    <t>dispersal</t>
  </si>
  <si>
    <t>Number of Clients</t>
  </si>
  <si>
    <t>REGION 7 - 2023 MONTHLY TILAPIA PRODUCTION</t>
  </si>
  <si>
    <t>January 2024</t>
  </si>
  <si>
    <t>CANDIDO T. SAMIJON</t>
  </si>
  <si>
    <t>ELENA L. YLANAN</t>
  </si>
  <si>
    <t>Chief-FPSSD</t>
  </si>
  <si>
    <t>Edwin Bacus</t>
  </si>
  <si>
    <t>Male</t>
  </si>
  <si>
    <t>San Antonio</t>
  </si>
  <si>
    <t>Zenaida Dalagan</t>
  </si>
  <si>
    <t>Female</t>
  </si>
  <si>
    <t>Campagao</t>
  </si>
  <si>
    <t>09512356451</t>
  </si>
  <si>
    <t>Dario Niepes</t>
  </si>
  <si>
    <t>Caluwasan</t>
  </si>
  <si>
    <t>Rheyzae Busalanan</t>
  </si>
  <si>
    <t>Hibale</t>
  </si>
  <si>
    <t>09102737569</t>
  </si>
  <si>
    <t>Feerlyn Escarilla</t>
  </si>
  <si>
    <t>Baogo</t>
  </si>
  <si>
    <t>09487484782</t>
  </si>
  <si>
    <t>Juanito Leparto</t>
  </si>
  <si>
    <t>09501304233</t>
  </si>
  <si>
    <t>Jovenal Gutib</t>
  </si>
  <si>
    <t>Magsaysay</t>
  </si>
  <si>
    <t>09165081300</t>
  </si>
  <si>
    <t>Rolando Ybañez</t>
  </si>
  <si>
    <t>Poblacion</t>
  </si>
  <si>
    <t>09851178686</t>
  </si>
  <si>
    <t>Gaudioso Cortes</t>
  </si>
  <si>
    <t>Putohan</t>
  </si>
  <si>
    <t>Elpedio Pantinople</t>
  </si>
  <si>
    <t>La Salvacion</t>
  </si>
  <si>
    <t>Elino Luengas</t>
  </si>
  <si>
    <t>09812930484</t>
  </si>
  <si>
    <t>Sheila Mae Moreno</t>
  </si>
  <si>
    <t>Katipunan</t>
  </si>
  <si>
    <t>Procoro Moreno</t>
  </si>
  <si>
    <t>Caboy</t>
  </si>
  <si>
    <t>Samuel Sumipo</t>
  </si>
  <si>
    <t>Vicente Tirol</t>
  </si>
  <si>
    <t>Bacani</t>
  </si>
  <si>
    <t>Expedita Labrigas</t>
  </si>
  <si>
    <t>Buenos Aires</t>
  </si>
  <si>
    <t>Alexander Marzon</t>
  </si>
  <si>
    <t>Kabasacan</t>
  </si>
  <si>
    <t>09530644935</t>
  </si>
  <si>
    <t>Agapito Celergia</t>
  </si>
  <si>
    <t>Taming</t>
  </si>
  <si>
    <t>Perlita Cordova</t>
  </si>
  <si>
    <t>San Agustin</t>
  </si>
  <si>
    <t>09319202295</t>
  </si>
  <si>
    <t>Oliver Oñes</t>
  </si>
  <si>
    <t>Boctol</t>
  </si>
  <si>
    <t>09635274321</t>
  </si>
  <si>
    <t>Rey Indiana</t>
  </si>
  <si>
    <t>09358734216</t>
  </si>
  <si>
    <t>Domingo Purca</t>
  </si>
  <si>
    <t>Ma. Rosario</t>
  </si>
  <si>
    <t>09692879964</t>
  </si>
  <si>
    <t>Constancia Aladad</t>
  </si>
  <si>
    <t>Canmaya Diot</t>
  </si>
  <si>
    <t>09120210561</t>
  </si>
  <si>
    <t>LGU-Getafe</t>
  </si>
  <si>
    <t>Jonas Lucena</t>
  </si>
  <si>
    <t>09504171375</t>
  </si>
  <si>
    <t>Roderick Lorenzo</t>
  </si>
  <si>
    <t>San Juan</t>
  </si>
  <si>
    <t>09693587427</t>
  </si>
  <si>
    <t>Erwin Tampos</t>
  </si>
  <si>
    <t>Gemma Pacanza</t>
  </si>
  <si>
    <t>09460823313</t>
  </si>
  <si>
    <t>Rowena Babad</t>
  </si>
  <si>
    <t>Danahaw</t>
  </si>
  <si>
    <t>Nelson Penute</t>
  </si>
  <si>
    <t>Remedios</t>
  </si>
  <si>
    <t>09261526100</t>
  </si>
  <si>
    <t>Cirilo Ceniza</t>
  </si>
  <si>
    <t>Sergio Bonajos Jr.</t>
  </si>
  <si>
    <t>09104733445</t>
  </si>
  <si>
    <t>Demosthennis Coscos</t>
  </si>
  <si>
    <t>Candumayao</t>
  </si>
  <si>
    <t>09107881754</t>
  </si>
  <si>
    <t>Ariel Aparicio</t>
  </si>
  <si>
    <t>Guadalupe</t>
  </si>
  <si>
    <t>Stanli Niones</t>
  </si>
  <si>
    <t>09814474607</t>
  </si>
  <si>
    <t>Jucrus Racho</t>
  </si>
  <si>
    <t>09810011532</t>
  </si>
  <si>
    <t>Jocelyn Bagolor</t>
  </si>
  <si>
    <t>Ilijan Norte</t>
  </si>
  <si>
    <t>09508222706</t>
  </si>
  <si>
    <t>Anaclito Dela Torre</t>
  </si>
  <si>
    <t xml:space="preserve">Sto. Rosario </t>
  </si>
  <si>
    <t>09367619034</t>
  </si>
  <si>
    <t>LGU-Sikatuna</t>
  </si>
  <si>
    <t>Abegail Sentorras</t>
  </si>
  <si>
    <t>09059274858</t>
  </si>
  <si>
    <t>LGU-Alburquerque</t>
  </si>
  <si>
    <t>09155474057</t>
  </si>
  <si>
    <t>Kristell Maye Alingasa</t>
  </si>
  <si>
    <t>Ma. Stella Genita</t>
  </si>
  <si>
    <t>Malitbog</t>
  </si>
  <si>
    <t>Aldrin Sininsing</t>
  </si>
  <si>
    <t>Puttingbato</t>
  </si>
  <si>
    <t>Tito Buaya</t>
  </si>
  <si>
    <t>Maitum</t>
  </si>
  <si>
    <t>09095253887</t>
  </si>
  <si>
    <t>Roberto Baculpo</t>
  </si>
  <si>
    <t>Rizal</t>
  </si>
  <si>
    <t>Leonardo Infanso</t>
  </si>
  <si>
    <t>Tubod</t>
  </si>
  <si>
    <t>09776476750</t>
  </si>
  <si>
    <t>Niño Cristal</t>
  </si>
  <si>
    <t>Zamora</t>
  </si>
  <si>
    <t>09128924322</t>
  </si>
  <si>
    <t>Cesar Manatad</t>
  </si>
  <si>
    <t>Tabok</t>
  </si>
  <si>
    <t>09554563198</t>
  </si>
  <si>
    <t>Edwin Pepito</t>
  </si>
  <si>
    <t>La Victoria</t>
  </si>
  <si>
    <t>09271267498</t>
  </si>
  <si>
    <t>Gerald Omac</t>
  </si>
  <si>
    <t>09926263229</t>
  </si>
  <si>
    <t>Nelson Castil</t>
  </si>
  <si>
    <t>09484025111</t>
  </si>
  <si>
    <t>Vic Rio Purca</t>
  </si>
  <si>
    <t>09978161163</t>
  </si>
  <si>
    <t>Arturo Carlon</t>
  </si>
  <si>
    <t>09207011875</t>
  </si>
  <si>
    <t>Roel Lemizo</t>
  </si>
  <si>
    <t>Bagohan</t>
  </si>
  <si>
    <t>09611901554</t>
  </si>
  <si>
    <t>Jeo Cañete</t>
  </si>
  <si>
    <t>Banahao</t>
  </si>
  <si>
    <t>09265579526</t>
  </si>
  <si>
    <t>Jonald Tahanlangit</t>
  </si>
  <si>
    <t>Alegria</t>
  </si>
  <si>
    <t>Julieto Felisilda</t>
  </si>
  <si>
    <t>Duay</t>
  </si>
  <si>
    <t>09971402923</t>
  </si>
  <si>
    <t>Shirley Dalagan</t>
  </si>
  <si>
    <t>09167370975</t>
  </si>
  <si>
    <t>Zaldy Hibalay</t>
  </si>
  <si>
    <t>09222316414</t>
  </si>
  <si>
    <t>Apolinario Campuso</t>
  </si>
  <si>
    <t>Vallehermoso</t>
  </si>
  <si>
    <t>Desiderio Tongco</t>
  </si>
  <si>
    <t>Lemuel Banga</t>
  </si>
  <si>
    <t>Ambuan</t>
  </si>
  <si>
    <t>09502681506</t>
  </si>
  <si>
    <t>Rolando Polistico</t>
  </si>
  <si>
    <t>San Roque</t>
  </si>
  <si>
    <t>09355763279</t>
  </si>
  <si>
    <t>Frederick Enverzo</t>
  </si>
  <si>
    <t>January 2-9</t>
  </si>
  <si>
    <t>Group</t>
  </si>
  <si>
    <t>1 male 2 female</t>
  </si>
  <si>
    <t>Jan 2-5</t>
  </si>
  <si>
    <t>Raul Jala</t>
  </si>
  <si>
    <t>Causwagan</t>
  </si>
  <si>
    <t>Anecito Valerdo</t>
  </si>
  <si>
    <t>09099334625</t>
  </si>
  <si>
    <t>Quirico Estorgio</t>
  </si>
  <si>
    <t>San Carlos</t>
  </si>
  <si>
    <t>09361668978</t>
  </si>
  <si>
    <t>Agustin Garcia</t>
  </si>
  <si>
    <t>Rogelio Valentos</t>
  </si>
  <si>
    <t>Tamboan</t>
  </si>
  <si>
    <t>09305118935</t>
  </si>
  <si>
    <t>Municipal Agriculture Office - Dimiao, Bohol</t>
  </si>
  <si>
    <t>Sawang</t>
  </si>
  <si>
    <t>09265087582</t>
  </si>
  <si>
    <t>Joel Cagulang</t>
  </si>
  <si>
    <t>Broodstock</t>
  </si>
  <si>
    <t>Lexter Cempron</t>
  </si>
  <si>
    <t>Canmaya Centro</t>
  </si>
  <si>
    <t>Floribel Gorosin</t>
  </si>
  <si>
    <t>Calangahan</t>
  </si>
  <si>
    <t>09657540390</t>
  </si>
  <si>
    <t>Edgar Caballero</t>
  </si>
  <si>
    <t>Dorol</t>
  </si>
  <si>
    <t>09350519580</t>
  </si>
  <si>
    <t>Loyd Ryan Quijano</t>
  </si>
  <si>
    <t>Datag</t>
  </si>
  <si>
    <t>09755601762</t>
  </si>
  <si>
    <t>Renato Vistal</t>
  </si>
  <si>
    <t>09481430511</t>
  </si>
  <si>
    <t>Elma Pandac</t>
  </si>
  <si>
    <t>09195067535</t>
  </si>
  <si>
    <t>Mercy Tagalog</t>
  </si>
  <si>
    <t>San Ramon</t>
  </si>
  <si>
    <t>09095829414</t>
  </si>
  <si>
    <t>LGU-Calape</t>
  </si>
  <si>
    <t>Sheenah Domingo</t>
  </si>
  <si>
    <t>Jan 10-12</t>
  </si>
  <si>
    <t>January 10-11</t>
  </si>
  <si>
    <t>1 male 1 female</t>
  </si>
  <si>
    <t>January 10-12</t>
  </si>
  <si>
    <t>Ritchie Omapas</t>
  </si>
  <si>
    <t>Bagtic</t>
  </si>
  <si>
    <t>09075015123</t>
  </si>
  <si>
    <t>Jenipher Taguines</t>
  </si>
  <si>
    <t>Yon Basio</t>
  </si>
  <si>
    <t>Florencio Parohinog</t>
  </si>
  <si>
    <t>Nahawan</t>
  </si>
  <si>
    <t>09353459492</t>
  </si>
  <si>
    <t>Renavic Polistico</t>
  </si>
  <si>
    <t>09353228429</t>
  </si>
  <si>
    <t>Lemuel Flores</t>
  </si>
  <si>
    <t>09163436757</t>
  </si>
  <si>
    <t>Angelito Quian</t>
  </si>
  <si>
    <t>Bugang Sur</t>
  </si>
  <si>
    <t>09559822312</t>
  </si>
  <si>
    <t>Eugenio Jalero</t>
  </si>
  <si>
    <t>09462342212</t>
  </si>
  <si>
    <t>Eleasar Mellomida</t>
  </si>
  <si>
    <t>Reynaldo Ladaga</t>
  </si>
  <si>
    <t>Ramon Café Jr.</t>
  </si>
  <si>
    <t>09356243759</t>
  </si>
  <si>
    <t>Ananias Mahumot</t>
  </si>
  <si>
    <t>Antonio Pacaldo Jr.</t>
  </si>
  <si>
    <t>Cabog</t>
  </si>
  <si>
    <t>09104862377</t>
  </si>
  <si>
    <t>Red Tilapia</t>
  </si>
  <si>
    <t>Mercelyn Torrenueva</t>
  </si>
  <si>
    <t>Nueva Granada</t>
  </si>
  <si>
    <t>Maribel Columnas</t>
  </si>
  <si>
    <t>Andrew Palma</t>
  </si>
  <si>
    <t>Macaas</t>
  </si>
  <si>
    <t>09809485916</t>
  </si>
  <si>
    <t>LGU-Clarin</t>
  </si>
  <si>
    <t>09099395214</t>
  </si>
  <si>
    <t>Emmanuel Gulayan</t>
  </si>
  <si>
    <t>Nilo Jimenoz</t>
  </si>
  <si>
    <t>Sta. Cruz</t>
  </si>
  <si>
    <t>LGU-Dagohoy</t>
  </si>
  <si>
    <t>09099042806</t>
  </si>
  <si>
    <t>Elizabeth Bantilan</t>
  </si>
  <si>
    <t>09090246111</t>
  </si>
  <si>
    <t>Custiniano Balorio</t>
  </si>
  <si>
    <t>09814464939</t>
  </si>
  <si>
    <t>Ramon Cruda</t>
  </si>
  <si>
    <t>Cabudburan</t>
  </si>
  <si>
    <t>09753138526</t>
  </si>
  <si>
    <t>Analyn Ramos</t>
  </si>
  <si>
    <t>09298528372</t>
  </si>
  <si>
    <t>Proseso Sulgang Jr.</t>
  </si>
  <si>
    <t>Magtangtang</t>
  </si>
  <si>
    <t>09308032005</t>
  </si>
  <si>
    <t>Jemar Dominguez</t>
  </si>
  <si>
    <t>Mantalongon</t>
  </si>
  <si>
    <t>09517853597</t>
  </si>
  <si>
    <t>Edetha Lagetao</t>
  </si>
  <si>
    <t>Nueva Vida Sur</t>
  </si>
  <si>
    <t>Ruel Cabug-us</t>
  </si>
  <si>
    <t>Jerome Limbaga</t>
  </si>
  <si>
    <t>Julius Apao</t>
  </si>
  <si>
    <t>LGU-Carmen</t>
  </si>
  <si>
    <t>Marilyn Mesiona</t>
  </si>
  <si>
    <t>Lupe Sampoton</t>
  </si>
  <si>
    <t>Donato Alboroto</t>
  </si>
  <si>
    <t xml:space="preserve">Villafuerte </t>
  </si>
  <si>
    <t>Erwin Apeta</t>
  </si>
  <si>
    <t>Mandaug Norte</t>
  </si>
  <si>
    <t>Edgar Aladad</t>
  </si>
  <si>
    <t>Luminado Buslon</t>
  </si>
  <si>
    <t>Estaca</t>
  </si>
  <si>
    <t>09514282032</t>
  </si>
  <si>
    <t>Jolito Anzano</t>
  </si>
  <si>
    <t>Cantuyoc</t>
  </si>
  <si>
    <t>09505761227</t>
  </si>
  <si>
    <t>Edna Yu</t>
  </si>
  <si>
    <t>Calanggaman</t>
  </si>
  <si>
    <t>09171673811</t>
  </si>
  <si>
    <t>Lucio Rebucas</t>
  </si>
  <si>
    <t>Jinefer Baricuatro</t>
  </si>
  <si>
    <t xml:space="preserve">Quirino </t>
  </si>
  <si>
    <t>09636437521</t>
  </si>
  <si>
    <t>Edilberto Salise</t>
  </si>
  <si>
    <t>Jucris Racho</t>
  </si>
  <si>
    <t>09010011532</t>
  </si>
  <si>
    <t>09670148381</t>
  </si>
  <si>
    <t>Abdul Cabatuan</t>
  </si>
  <si>
    <t>Lajog</t>
  </si>
  <si>
    <t>Crisologo Doria</t>
  </si>
  <si>
    <t>09198577655</t>
  </si>
  <si>
    <t>Stephen Leyson</t>
  </si>
  <si>
    <t>Mahayag</t>
  </si>
  <si>
    <t>09516416583</t>
  </si>
  <si>
    <t>09265081300</t>
  </si>
  <si>
    <t>Mark Anthony Raña</t>
  </si>
  <si>
    <t>Madua Sur</t>
  </si>
  <si>
    <t>09638763581</t>
  </si>
  <si>
    <t>John Mark Alipoyo</t>
  </si>
  <si>
    <t>09701921522</t>
  </si>
  <si>
    <t>Silvano Torrentira</t>
  </si>
  <si>
    <t>Pedro Demil</t>
  </si>
  <si>
    <t>LGU-Tubigon</t>
  </si>
  <si>
    <t>Victor Boligao</t>
  </si>
  <si>
    <t>09981071721</t>
  </si>
  <si>
    <t>John Ramos</t>
  </si>
  <si>
    <t>09102993914</t>
  </si>
  <si>
    <t>Iriel Baar</t>
  </si>
  <si>
    <t>Sta. Catalina</t>
  </si>
  <si>
    <t>Arwin Quiño</t>
  </si>
  <si>
    <t>Ilihan</t>
  </si>
  <si>
    <t>Edwin Quiño</t>
  </si>
  <si>
    <t>Nahud</t>
  </si>
  <si>
    <t>09306758842</t>
  </si>
  <si>
    <t>Jason Salpocial</t>
  </si>
  <si>
    <t>09293889322</t>
  </si>
  <si>
    <t>Hito</t>
  </si>
  <si>
    <t>Severino Escabusa Jr.</t>
  </si>
  <si>
    <t>San Vicente</t>
  </si>
  <si>
    <t>09993108674</t>
  </si>
  <si>
    <t>Rey Bantilan</t>
  </si>
  <si>
    <t>Sto. Niño</t>
  </si>
  <si>
    <t>09171280460</t>
  </si>
  <si>
    <t>Antonio Bongansiso</t>
  </si>
  <si>
    <t>09099770026</t>
  </si>
  <si>
    <t>Raul Lopez</t>
  </si>
  <si>
    <t>Cogon</t>
  </si>
  <si>
    <t>09077767430</t>
  </si>
  <si>
    <t>Christopher Ecat</t>
  </si>
  <si>
    <t>09169445994</t>
  </si>
  <si>
    <t>Marlon Lumayag</t>
  </si>
  <si>
    <t>09760813482</t>
  </si>
  <si>
    <t>Lemuel Reyes Flores</t>
  </si>
  <si>
    <t>Alve Serohijes</t>
  </si>
  <si>
    <t>Libertad</t>
  </si>
  <si>
    <t>09308302406</t>
  </si>
  <si>
    <t>Welbert Macabodbod</t>
  </si>
  <si>
    <t>09079102156</t>
  </si>
  <si>
    <t>Glendo Tapayan</t>
  </si>
  <si>
    <t>Moises Fat</t>
  </si>
  <si>
    <t>LGU-Pilar</t>
  </si>
  <si>
    <t>09064535637</t>
  </si>
  <si>
    <t>Irene Cubrado Jr.</t>
  </si>
  <si>
    <t>Jan 16-23</t>
  </si>
  <si>
    <t>January 16-23</t>
  </si>
  <si>
    <t>4 male 1 female</t>
  </si>
  <si>
    <t>Marven Gasco</t>
  </si>
  <si>
    <t>09303097779</t>
  </si>
  <si>
    <t>Leonilo Albit</t>
  </si>
  <si>
    <t>Mandaug</t>
  </si>
  <si>
    <t>Erwin Tampus</t>
  </si>
  <si>
    <t>Nueva Montaña</t>
  </si>
  <si>
    <t>09696585505</t>
  </si>
  <si>
    <t>Nilo Lauron</t>
  </si>
  <si>
    <t>09319215215</t>
  </si>
  <si>
    <t>Zenon Baguio Sr.</t>
  </si>
  <si>
    <t>09121422785</t>
  </si>
  <si>
    <t>Jennier Nalla</t>
  </si>
  <si>
    <t>Casilay</t>
  </si>
  <si>
    <t>09957749616</t>
  </si>
  <si>
    <t>Susana Merano</t>
  </si>
  <si>
    <t>Vilma Damangas</t>
  </si>
  <si>
    <t>09504669133</t>
  </si>
  <si>
    <t>Erjuntel Catalan</t>
  </si>
  <si>
    <t>09635306008</t>
  </si>
  <si>
    <t>Ramil Alipoyo</t>
  </si>
  <si>
    <t>Jason Betinol</t>
  </si>
  <si>
    <t>Manuel Balahay</t>
  </si>
  <si>
    <t>Lapsaon</t>
  </si>
  <si>
    <t>Christian Suaybaguio</t>
  </si>
  <si>
    <t>Cawayanan</t>
  </si>
  <si>
    <t>09488657975</t>
  </si>
  <si>
    <t>09203787308</t>
  </si>
  <si>
    <t>Froilan Diaz</t>
  </si>
  <si>
    <t>Calatrava</t>
  </si>
  <si>
    <t>Leonardo Estorpe</t>
  </si>
  <si>
    <t>Lonoy</t>
  </si>
  <si>
    <t>09855090255</t>
  </si>
  <si>
    <t>Avelina Pataganao</t>
  </si>
  <si>
    <t>Jonathan Tabaranza</t>
  </si>
  <si>
    <t>Cagawasan</t>
  </si>
  <si>
    <t>09389392372</t>
  </si>
  <si>
    <t>Ren Ren Oronan</t>
  </si>
  <si>
    <t>09512354702</t>
  </si>
  <si>
    <t>Adriano Reyes</t>
  </si>
  <si>
    <t>09994180512</t>
  </si>
  <si>
    <t>Joselito Abello</t>
  </si>
  <si>
    <t>09925711091</t>
  </si>
  <si>
    <t>Ramil Gementiza</t>
  </si>
  <si>
    <t>Liboron</t>
  </si>
  <si>
    <t>09381948801</t>
  </si>
  <si>
    <t>Narciso Suaybaguio</t>
  </si>
  <si>
    <t>09296769258</t>
  </si>
  <si>
    <t>Rio Lucero</t>
  </si>
  <si>
    <t>09480549490</t>
  </si>
  <si>
    <t>Raul Jano</t>
  </si>
  <si>
    <t>09072200567</t>
  </si>
  <si>
    <t>09199010299</t>
  </si>
  <si>
    <t>Mary Cris Distrito</t>
  </si>
  <si>
    <t>09676049431</t>
  </si>
  <si>
    <t>Jonathan Buslon</t>
  </si>
  <si>
    <t>Clint Yuri Panio</t>
  </si>
  <si>
    <t>09510786113</t>
  </si>
  <si>
    <t>Eugene Oronan</t>
  </si>
  <si>
    <t>09502206035</t>
  </si>
  <si>
    <t>Alex Mejias</t>
  </si>
  <si>
    <t>09383336369</t>
  </si>
  <si>
    <t>Jason Juyad</t>
  </si>
  <si>
    <t>Dusita</t>
  </si>
  <si>
    <t>09676841700</t>
  </si>
  <si>
    <t>Ramer Reyes</t>
  </si>
  <si>
    <t>09098438580</t>
  </si>
  <si>
    <t>09706758842</t>
  </si>
  <si>
    <t>Alma Palapar</t>
  </si>
  <si>
    <t xml:space="preserve">Bayong </t>
  </si>
  <si>
    <t>09096788455</t>
  </si>
  <si>
    <t>Dionisio Palapar</t>
  </si>
  <si>
    <t>09096343583</t>
  </si>
  <si>
    <t>Maribel Perocho</t>
  </si>
  <si>
    <t>Arnel Ayop</t>
  </si>
  <si>
    <t>09517132832</t>
  </si>
  <si>
    <t>Saturnina Rodriguez</t>
  </si>
  <si>
    <t>09098516670</t>
  </si>
  <si>
    <t>Jonathan Malimban</t>
  </si>
  <si>
    <t>Pamacsalan</t>
  </si>
  <si>
    <t>Merquiades Edo</t>
  </si>
  <si>
    <t>09120519311</t>
  </si>
  <si>
    <t>Saturnino Edo</t>
  </si>
  <si>
    <t>Victor Hinacay</t>
  </si>
  <si>
    <t>Bicao</t>
  </si>
  <si>
    <t>09275827572</t>
  </si>
  <si>
    <t>Mariel Madelo</t>
  </si>
  <si>
    <t>09302884447</t>
  </si>
  <si>
    <t>Ruben Adlaon</t>
  </si>
  <si>
    <t>Nueva Vida Este</t>
  </si>
  <si>
    <t>09203778562</t>
  </si>
  <si>
    <t>Venice Marilyn Adlaon</t>
  </si>
  <si>
    <t>09958837482</t>
  </si>
  <si>
    <t>Joel Dag-um</t>
  </si>
  <si>
    <t>Villaflor</t>
  </si>
  <si>
    <t>LGU-Sierra Bullones</t>
  </si>
  <si>
    <t>Villa Gracia</t>
  </si>
  <si>
    <t>09091210365</t>
  </si>
  <si>
    <t>Maretsam Miculub</t>
  </si>
  <si>
    <t>Jan 29-30</t>
  </si>
  <si>
    <t>PFO-Cebu</t>
  </si>
  <si>
    <t>Rosalito Galambao</t>
  </si>
  <si>
    <t>January 24-30</t>
  </si>
  <si>
    <t>January 24-31</t>
  </si>
  <si>
    <r>
      <t>Total No. Of Beneficiaries:</t>
    </r>
    <r>
      <rPr>
        <b/>
        <u/>
        <sz val="10"/>
        <color rgb="FFFF0000"/>
        <rFont val="Arial"/>
        <family val="2"/>
      </rPr>
      <t xml:space="preserve"> 183</t>
    </r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</si>
  <si>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b/>
        <u/>
        <sz val="10"/>
        <color rgb="FFFF0000"/>
        <rFont val="Arial"/>
        <family val="2"/>
      </rPr>
      <t>14</t>
    </r>
  </si>
  <si>
    <r>
      <t>Others:(S.C./PWD):</t>
    </r>
    <r>
      <rPr>
        <b/>
        <u/>
        <sz val="10"/>
        <color rgb="FFFF0000"/>
        <rFont val="Arial"/>
        <family val="2"/>
      </rPr>
      <t xml:space="preserve"> 27</t>
    </r>
  </si>
  <si>
    <t>Broodstock:</t>
  </si>
  <si>
    <t>2 male 1 female</t>
  </si>
  <si>
    <t>1 male</t>
  </si>
  <si>
    <t xml:space="preserve"> </t>
  </si>
  <si>
    <t>February 2024</t>
  </si>
  <si>
    <t>Edgar Beralde Jr.</t>
  </si>
  <si>
    <t>09354167456</t>
  </si>
  <si>
    <t>Rusita Luga</t>
  </si>
  <si>
    <t>Cambangay Norte</t>
  </si>
  <si>
    <t>Conrada Añasco</t>
  </si>
  <si>
    <t>09097875021</t>
  </si>
  <si>
    <t>Rodrigo dela Torre</t>
  </si>
  <si>
    <t>Johnson Cruz</t>
  </si>
  <si>
    <t>Pooc Occ.</t>
  </si>
  <si>
    <t>Marlon Pesidas</t>
  </si>
  <si>
    <t>09354746858</t>
  </si>
  <si>
    <t>Emmanuel Inferido</t>
  </si>
  <si>
    <t>Tontunan</t>
  </si>
  <si>
    <t>09772693282</t>
  </si>
  <si>
    <t>Pedro Balatiro</t>
  </si>
  <si>
    <t>Buenasuerte</t>
  </si>
  <si>
    <t>09103430280</t>
  </si>
  <si>
    <t>Luther Jumawid</t>
  </si>
  <si>
    <t>09487477474</t>
  </si>
  <si>
    <t>Daisybell Pamugas</t>
  </si>
  <si>
    <t>Dangay</t>
  </si>
  <si>
    <t>09050456878</t>
  </si>
  <si>
    <t>Juster Tupas</t>
  </si>
  <si>
    <t>Villaflior</t>
  </si>
  <si>
    <t>09756042386</t>
  </si>
  <si>
    <t>Vicente Tahanlangit</t>
  </si>
  <si>
    <t>09309897633</t>
  </si>
  <si>
    <t>Domingo Salces</t>
  </si>
  <si>
    <t>Cabaknitan</t>
  </si>
  <si>
    <t>09302214688</t>
  </si>
  <si>
    <t>Alfredo Bagolor</t>
  </si>
  <si>
    <t>Ilihan Norte</t>
  </si>
  <si>
    <t>09104861016</t>
  </si>
  <si>
    <t>Ruel Lofranco</t>
  </si>
  <si>
    <t>Rodrigo Niepes</t>
  </si>
  <si>
    <t>Alliord Lauronal</t>
  </si>
  <si>
    <t>09122590766</t>
  </si>
  <si>
    <t>Pamie Espinal</t>
  </si>
  <si>
    <t>09382832913</t>
  </si>
  <si>
    <t>Romualdo Cenita</t>
  </si>
  <si>
    <t>Tungod</t>
  </si>
  <si>
    <t>Christopher Aupe</t>
  </si>
  <si>
    <t>09095780607</t>
  </si>
  <si>
    <t>Antulin Degamo</t>
  </si>
  <si>
    <t>Mark Anthony Bahalla</t>
  </si>
  <si>
    <t>09109726475</t>
  </si>
  <si>
    <t>Benjoy Atuel</t>
  </si>
  <si>
    <t>Bay-ang</t>
  </si>
  <si>
    <t>09929217790</t>
  </si>
  <si>
    <t>Desiderio Dumangas</t>
  </si>
  <si>
    <t>Lucob</t>
  </si>
  <si>
    <t>Jemy Madelo</t>
  </si>
  <si>
    <t>09959402767</t>
  </si>
  <si>
    <t>Elison Aquino</t>
  </si>
  <si>
    <t>Angelito Sumod-ong</t>
  </si>
  <si>
    <t>Hanopol</t>
  </si>
  <si>
    <t>09093956820</t>
  </si>
  <si>
    <t>Ramonito Lawis</t>
  </si>
  <si>
    <t>09122578685</t>
  </si>
  <si>
    <t>Victoriano Lusica Jr.</t>
  </si>
  <si>
    <t>Bagumbayan</t>
  </si>
  <si>
    <t>09093594362</t>
  </si>
  <si>
    <t>Thelma Tesio</t>
  </si>
  <si>
    <t>09126465071</t>
  </si>
  <si>
    <t>Aldrin Siniging</t>
  </si>
  <si>
    <t>Putting Bato</t>
  </si>
  <si>
    <t>09933957468</t>
  </si>
  <si>
    <t>Alexer Geraga</t>
  </si>
  <si>
    <t>09389419576</t>
  </si>
  <si>
    <t>Ronald Clavite Jr.</t>
  </si>
  <si>
    <t>09389021308</t>
  </si>
  <si>
    <t>Jay Ego-ogan</t>
  </si>
  <si>
    <t>Mataub</t>
  </si>
  <si>
    <t>09091206322</t>
  </si>
  <si>
    <t>Arlene Reducto</t>
  </si>
  <si>
    <t>09387457323</t>
  </si>
  <si>
    <t>Janno Limocon</t>
  </si>
  <si>
    <t>Edgar Pacaldo</t>
  </si>
  <si>
    <t>Judith Samorano</t>
  </si>
  <si>
    <t>Poblacion Vieja</t>
  </si>
  <si>
    <t>Ronaldo Gonzalos</t>
  </si>
  <si>
    <t>09062269760</t>
  </si>
  <si>
    <t>Judy Timbogan</t>
  </si>
  <si>
    <t>09668665586</t>
  </si>
  <si>
    <t>Elmer Alampayan</t>
  </si>
  <si>
    <t>09480550437</t>
  </si>
  <si>
    <t>Roy Balaba</t>
  </si>
  <si>
    <t>Can-oling</t>
  </si>
  <si>
    <t>09097757938</t>
  </si>
  <si>
    <t>Anecita Hagutin</t>
  </si>
  <si>
    <t>09384698534</t>
  </si>
  <si>
    <t>Armando Avenido</t>
  </si>
  <si>
    <t>Felipe Dupa</t>
  </si>
  <si>
    <t>Zacarias Manigo</t>
  </si>
  <si>
    <t xml:space="preserve">Cahayag </t>
  </si>
  <si>
    <t>09554071730</t>
  </si>
  <si>
    <t>Ramil Aparece</t>
  </si>
  <si>
    <t>Villafuerte</t>
  </si>
  <si>
    <t>09455707911</t>
  </si>
  <si>
    <t>Roldan Lico</t>
  </si>
  <si>
    <t>09358530512</t>
  </si>
  <si>
    <t>Alvaro Gujol</t>
  </si>
  <si>
    <t>09206099078</t>
  </si>
  <si>
    <t>Joanne Mainit</t>
  </si>
  <si>
    <t>09296765092</t>
  </si>
  <si>
    <t>Kim Laborte</t>
  </si>
  <si>
    <t>Bugsoc</t>
  </si>
  <si>
    <t>09064334563</t>
  </si>
  <si>
    <t>David Auxtero</t>
  </si>
  <si>
    <t>Rocky Cutamora</t>
  </si>
  <si>
    <t>San Pascual</t>
  </si>
  <si>
    <t>09050794928</t>
  </si>
  <si>
    <t>Estela Racho</t>
  </si>
  <si>
    <t>09464996675</t>
  </si>
  <si>
    <t>Bomby Pepito</t>
  </si>
  <si>
    <t>Libjo</t>
  </si>
  <si>
    <t>09077535389</t>
  </si>
  <si>
    <t>Gil Niones</t>
  </si>
  <si>
    <t>09509514131</t>
  </si>
  <si>
    <t>Florencio Castino</t>
  </si>
  <si>
    <t>Guinsulanan</t>
  </si>
  <si>
    <t>09771568475</t>
  </si>
  <si>
    <t>February 1-6</t>
  </si>
  <si>
    <t>09384554036</t>
  </si>
  <si>
    <t>Aniceta Omac</t>
  </si>
  <si>
    <t>Geronimo Piodos</t>
  </si>
  <si>
    <t>09261981065</t>
  </si>
  <si>
    <t>Ismael Bahinting</t>
  </si>
  <si>
    <t>09811782964</t>
  </si>
  <si>
    <t>Adel Aparece</t>
  </si>
  <si>
    <t>09506103763</t>
  </si>
  <si>
    <t>Jerome Cahulogan</t>
  </si>
  <si>
    <t>Mayuga</t>
  </si>
  <si>
    <t>09478492944</t>
  </si>
  <si>
    <t>Arniel Gudia</t>
  </si>
  <si>
    <t>Cabatuan</t>
  </si>
  <si>
    <t>09559936849</t>
  </si>
  <si>
    <t>Fernando Itable</t>
  </si>
  <si>
    <t>Panadtaran</t>
  </si>
  <si>
    <t>09297558144</t>
  </si>
  <si>
    <t>Ronald Navarro</t>
  </si>
  <si>
    <t>09154431261</t>
  </si>
  <si>
    <t>Claudine Cabillo</t>
  </si>
  <si>
    <t>Sampoangon</t>
  </si>
  <si>
    <t>09304270618</t>
  </si>
  <si>
    <t>Julieta Dacayana</t>
  </si>
  <si>
    <t>09303429402</t>
  </si>
  <si>
    <t>Ranulfo Tiongco</t>
  </si>
  <si>
    <t>Poblacion Norte</t>
  </si>
  <si>
    <t>09974513274</t>
  </si>
  <si>
    <t>Edelyn Maldora</t>
  </si>
  <si>
    <t>09289144301</t>
  </si>
  <si>
    <t>Leonisa Javate</t>
  </si>
  <si>
    <t>09128061222</t>
  </si>
  <si>
    <t>Rogelio Aladad</t>
  </si>
  <si>
    <t>09265576490</t>
  </si>
  <si>
    <t>Efra Luminiro</t>
  </si>
  <si>
    <t>09759156607</t>
  </si>
  <si>
    <t>09559900352</t>
  </si>
  <si>
    <t>Jay Degamo</t>
  </si>
  <si>
    <t>09193164285</t>
  </si>
  <si>
    <t>Ruel Jaum</t>
  </si>
  <si>
    <t>09512351804</t>
  </si>
  <si>
    <t>John Louie Talangon</t>
  </si>
  <si>
    <t>Lomboy</t>
  </si>
  <si>
    <t>09100057455</t>
  </si>
  <si>
    <t>Welmar Miano</t>
  </si>
  <si>
    <t>Elmer Pandac</t>
  </si>
  <si>
    <t>Joewarren Bustamante</t>
  </si>
  <si>
    <t>Ronnie Tagurmacon</t>
  </si>
  <si>
    <t>Juliet Recolados</t>
  </si>
  <si>
    <t>09817980247</t>
  </si>
  <si>
    <t>Philip Villanueva</t>
  </si>
  <si>
    <t>09567255452</t>
  </si>
  <si>
    <t>Enrique Gara</t>
  </si>
  <si>
    <t>Bangbang</t>
  </si>
  <si>
    <t>09431286040</t>
  </si>
  <si>
    <t>Victor Magallanes</t>
  </si>
  <si>
    <t>Romulo Litub</t>
  </si>
  <si>
    <t>09494880674</t>
  </si>
  <si>
    <t>Marvin Galgo</t>
  </si>
  <si>
    <t>09505464081</t>
  </si>
  <si>
    <t>February 12-14</t>
  </si>
  <si>
    <t>1 female</t>
  </si>
  <si>
    <t>February 8-14</t>
  </si>
  <si>
    <t>Feb 8</t>
  </si>
  <si>
    <t>March 2024</t>
  </si>
  <si>
    <t>BFAR 7-FPSSD</t>
  </si>
  <si>
    <t>09759135845</t>
  </si>
  <si>
    <t>Cebu City</t>
  </si>
  <si>
    <t>Vincent Escobido</t>
  </si>
  <si>
    <t>Argile Pagas</t>
  </si>
  <si>
    <t>Adonis Genita</t>
  </si>
  <si>
    <t>Cabulijan</t>
  </si>
  <si>
    <t>09501253317</t>
  </si>
  <si>
    <t>Rodrigo Labrigas</t>
  </si>
  <si>
    <t>Buangan</t>
  </si>
  <si>
    <t>Jeffrey Ngujo</t>
  </si>
  <si>
    <t>09487559912</t>
  </si>
  <si>
    <t>Nahawan National High School</t>
  </si>
  <si>
    <t>09260545641</t>
  </si>
  <si>
    <t>Anabelle Cereligia</t>
  </si>
  <si>
    <t>Antonio Gamayon</t>
  </si>
  <si>
    <t>Omjon</t>
  </si>
  <si>
    <t>09650490522</t>
  </si>
  <si>
    <t>Romel Moreno</t>
  </si>
  <si>
    <t>09095290901</t>
  </si>
  <si>
    <t>Jose Labonite</t>
  </si>
  <si>
    <t>San Jose</t>
  </si>
  <si>
    <t>09360559827</t>
  </si>
  <si>
    <t>Mary Queen Atop</t>
  </si>
  <si>
    <t>Jumero Aparece</t>
  </si>
  <si>
    <t>09073299304</t>
  </si>
  <si>
    <t>Loreta Saletrero</t>
  </si>
  <si>
    <t xml:space="preserve">Estaca </t>
  </si>
  <si>
    <t>09095761342</t>
  </si>
  <si>
    <t>Linda Palaca</t>
  </si>
  <si>
    <t>09073374803</t>
  </si>
  <si>
    <t>Bobby Pahit</t>
  </si>
  <si>
    <t>09751980947</t>
  </si>
  <si>
    <t>Edmund Osuña</t>
  </si>
  <si>
    <t>Lumbay</t>
  </si>
  <si>
    <t>09097733730</t>
  </si>
  <si>
    <t>Harold Castoneros</t>
  </si>
  <si>
    <t>Bosongon</t>
  </si>
  <si>
    <t>09190795802</t>
  </si>
  <si>
    <t>Enrique Torrejos</t>
  </si>
  <si>
    <t>09634880498</t>
  </si>
  <si>
    <t>Rushel Sumatra</t>
  </si>
  <si>
    <t>09261416983</t>
  </si>
  <si>
    <t>Jacklyn Barbarona</t>
  </si>
  <si>
    <t xml:space="preserve">Remedios </t>
  </si>
  <si>
    <t>09977803838</t>
  </si>
  <si>
    <t>Vincent Dano</t>
  </si>
  <si>
    <t>09282573353</t>
  </si>
  <si>
    <t>Hernel Centinales</t>
  </si>
  <si>
    <t>09669302497</t>
  </si>
  <si>
    <t>Alfredo Mesario</t>
  </si>
  <si>
    <t>09074934951</t>
  </si>
  <si>
    <t>Gaudencia Cainghog</t>
  </si>
  <si>
    <t>09292742669</t>
  </si>
  <si>
    <t>Apolinario Camposo</t>
  </si>
  <si>
    <t>Ramel Dusal</t>
  </si>
  <si>
    <t>09675815799</t>
  </si>
  <si>
    <t>Willy Añosa</t>
  </si>
  <si>
    <t>Reynaldo Igcalinos</t>
  </si>
  <si>
    <t>09389440010</t>
  </si>
  <si>
    <t>Sofronio Mara</t>
  </si>
  <si>
    <t>La Esperanza</t>
  </si>
  <si>
    <t>09486142915</t>
  </si>
  <si>
    <t>Teodoro Bastasa</t>
  </si>
  <si>
    <t>Ubojan</t>
  </si>
  <si>
    <t>09516417580</t>
  </si>
  <si>
    <t>Asteria dela Peña</t>
  </si>
  <si>
    <t>Guinacot</t>
  </si>
  <si>
    <t>09092196875</t>
  </si>
  <si>
    <t>Ma. Michelle Lariza</t>
  </si>
  <si>
    <t>Lombog</t>
  </si>
  <si>
    <t>09753070911</t>
  </si>
  <si>
    <t>Bebiano Basio</t>
  </si>
  <si>
    <t>Benjamen Panaligan</t>
  </si>
  <si>
    <t>Bayong</t>
  </si>
  <si>
    <t>09397240421</t>
  </si>
  <si>
    <t>Novo Vaño</t>
  </si>
  <si>
    <t>Bugtongbod</t>
  </si>
  <si>
    <t>Johnrel Saga</t>
  </si>
  <si>
    <t>BFAR 7-CVMSNDTC</t>
  </si>
  <si>
    <t>Bentig</t>
  </si>
  <si>
    <t>09938405317</t>
  </si>
  <si>
    <t>Warren Alacida</t>
  </si>
  <si>
    <t>Nico Albert Tajale</t>
  </si>
  <si>
    <t>Montesunting</t>
  </si>
  <si>
    <t>09060340251</t>
  </si>
  <si>
    <t>Jake Dagamac</t>
  </si>
  <si>
    <t>Sto. Rosario</t>
  </si>
  <si>
    <t>09853178701</t>
  </si>
  <si>
    <t>Christina Degamo</t>
  </si>
  <si>
    <t>Nueva Montana</t>
  </si>
  <si>
    <t>09654695565</t>
  </si>
  <si>
    <t>Cristian Orepaypay</t>
  </si>
  <si>
    <t xml:space="preserve">Candelaria </t>
  </si>
  <si>
    <t>09098500827</t>
  </si>
  <si>
    <t>Jennefer Dulos</t>
  </si>
  <si>
    <t>09650084929</t>
  </si>
  <si>
    <t>Nolasco Legaspo</t>
  </si>
  <si>
    <t>09078849019</t>
  </si>
  <si>
    <t>Julio Rabi</t>
  </si>
  <si>
    <t>09399183924</t>
  </si>
  <si>
    <t>Daisy Cagolcol</t>
  </si>
  <si>
    <t>09678450291</t>
  </si>
  <si>
    <t>Jun Marcel Suminguit</t>
  </si>
  <si>
    <t>El Salvador</t>
  </si>
  <si>
    <t>09353855204</t>
  </si>
  <si>
    <t>09369984478</t>
  </si>
  <si>
    <t>Mark Joseph Piloton</t>
  </si>
  <si>
    <t>BASIL</t>
  </si>
  <si>
    <t>Emie Bongato</t>
  </si>
  <si>
    <t>09639015555</t>
  </si>
  <si>
    <t>Renirio Gimpisao</t>
  </si>
  <si>
    <t>09389232436</t>
  </si>
  <si>
    <t>Eleazar Mellomida</t>
  </si>
  <si>
    <t>Fatima</t>
  </si>
  <si>
    <t>09488063026</t>
  </si>
  <si>
    <t>09481071721</t>
  </si>
  <si>
    <t>Daniel Justin Fuentes</t>
  </si>
  <si>
    <t>Causwagan Norte</t>
  </si>
  <si>
    <t>09517600606</t>
  </si>
  <si>
    <t>Francisco Largo</t>
  </si>
  <si>
    <t>El Progreso</t>
  </si>
  <si>
    <t>09154261768</t>
  </si>
  <si>
    <t>Ramil Sumipo</t>
  </si>
  <si>
    <t>09093796697</t>
  </si>
  <si>
    <t>Silvan Jove Dacayana</t>
  </si>
  <si>
    <t>09951085935</t>
  </si>
  <si>
    <t>Aljohn Litub</t>
  </si>
  <si>
    <t>09104194157</t>
  </si>
  <si>
    <t>Norberto Coscos</t>
  </si>
  <si>
    <t>09199757457</t>
  </si>
  <si>
    <t>Kelvin Sarte</t>
  </si>
  <si>
    <t>09271617520</t>
  </si>
  <si>
    <t>Rita Fulguirinas</t>
  </si>
  <si>
    <t>Doming Dico</t>
  </si>
  <si>
    <t>Piñafort Amegable Jr.</t>
  </si>
  <si>
    <t>Kauswagan</t>
  </si>
  <si>
    <t>09356736434</t>
  </si>
  <si>
    <t>Robuildam Apao</t>
  </si>
  <si>
    <t>09499643421</t>
  </si>
  <si>
    <t>Juvy Andoy</t>
  </si>
  <si>
    <t>09355529895</t>
  </si>
  <si>
    <t>Lesther Tiongco</t>
  </si>
  <si>
    <t>09776488297</t>
  </si>
  <si>
    <t>Panfilo Pabonita</t>
  </si>
  <si>
    <t>09279170456</t>
  </si>
  <si>
    <t>Alipio Babad Jr.</t>
  </si>
  <si>
    <t>Leonardo Peligro</t>
  </si>
  <si>
    <t>09103480269</t>
  </si>
  <si>
    <t>Jerry Paulines</t>
  </si>
  <si>
    <t>09073534856</t>
  </si>
  <si>
    <t>Felipe Digal</t>
  </si>
  <si>
    <t>09550116883</t>
  </si>
  <si>
    <t>Myrna Gementiza</t>
  </si>
  <si>
    <t>Cabanugan</t>
  </si>
  <si>
    <t>09462593361</t>
  </si>
  <si>
    <t>February 16-27</t>
  </si>
  <si>
    <t>Feb 15-23</t>
  </si>
  <si>
    <t>Felix Buhangin</t>
  </si>
  <si>
    <t>09062029763</t>
  </si>
  <si>
    <t>Carlydon Calderon</t>
  </si>
  <si>
    <t>Bogtongbod</t>
  </si>
  <si>
    <t>09505053735</t>
  </si>
  <si>
    <t>Eutemio Busaco</t>
  </si>
  <si>
    <t>Expidito Bactasa</t>
  </si>
  <si>
    <t>Ilaud</t>
  </si>
  <si>
    <t>09508845051</t>
  </si>
  <si>
    <t>William Tadle</t>
  </si>
  <si>
    <t>09555022583</t>
  </si>
  <si>
    <t>Mercy Busano</t>
  </si>
  <si>
    <t>1 female 4 male</t>
  </si>
  <si>
    <r>
      <t>Total No. Of Beneficiaries:</t>
    </r>
    <r>
      <rPr>
        <b/>
        <u/>
        <sz val="10"/>
        <color rgb="FFFF0000"/>
        <rFont val="Arial"/>
        <family val="2"/>
      </rPr>
      <t xml:space="preserve"> 161</t>
    </r>
  </si>
  <si>
    <r>
      <t>Others:(S.C./PWD):</t>
    </r>
    <r>
      <rPr>
        <b/>
        <u/>
        <sz val="10"/>
        <color rgb="FFFF0000"/>
        <rFont val="Arial"/>
        <family val="2"/>
      </rPr>
      <t xml:space="preserve"> 28</t>
    </r>
  </si>
  <si>
    <t>PEDRO R. MILANA JR.</t>
  </si>
  <si>
    <t>OIC-Center Chief</t>
  </si>
  <si>
    <r>
      <t>Total No. Of Beneficiaries:</t>
    </r>
    <r>
      <rPr>
        <sz val="10"/>
        <color rgb="FFFF0000"/>
        <rFont val="Arial"/>
        <family val="2"/>
      </rPr>
      <t xml:space="preserve"> </t>
    </r>
    <r>
      <rPr>
        <b/>
        <u/>
        <sz val="10"/>
        <color rgb="FFFF0000"/>
        <rFont val="Arial"/>
        <family val="2"/>
      </rPr>
      <t>6</t>
    </r>
  </si>
  <si>
    <t>Vivian Inferido</t>
  </si>
  <si>
    <t>Poblacion Centro</t>
  </si>
  <si>
    <t>09105016985</t>
  </si>
  <si>
    <t>Carlo Bitao</t>
  </si>
  <si>
    <t>Masonoy</t>
  </si>
  <si>
    <t>09186455225</t>
  </si>
  <si>
    <t>Cresencio Camposo</t>
  </si>
  <si>
    <t>09488752555</t>
  </si>
  <si>
    <t>09635345178</t>
  </si>
  <si>
    <t>Martin Boquil</t>
  </si>
  <si>
    <t>09488494234</t>
  </si>
  <si>
    <t>Alejandria Julagting</t>
  </si>
  <si>
    <t>09511199264</t>
  </si>
  <si>
    <r>
      <t>Total No. Of Beneficiaries:</t>
    </r>
    <r>
      <rPr>
        <sz val="10"/>
        <color rgb="FFFF0000"/>
        <rFont val="Arial"/>
        <family val="2"/>
      </rPr>
      <t xml:space="preserve"> </t>
    </r>
  </si>
  <si>
    <t>LGU-Valencia</t>
  </si>
  <si>
    <t>09539436499</t>
  </si>
  <si>
    <t>Emilio Miano</t>
  </si>
  <si>
    <t>Fedila Nasaysayan</t>
  </si>
  <si>
    <t>Catagdaan</t>
  </si>
  <si>
    <t>09389203879</t>
  </si>
  <si>
    <t>Mae Ann Bullecer</t>
  </si>
  <si>
    <t>09090984732</t>
  </si>
  <si>
    <t>Armando Butron</t>
  </si>
  <si>
    <t>09108176956</t>
  </si>
  <si>
    <t>LGU-Loon</t>
  </si>
  <si>
    <t>09656797095</t>
  </si>
  <si>
    <t>Eddie Mellejor</t>
  </si>
  <si>
    <t>09778492599</t>
  </si>
  <si>
    <t>Ursulo Taganahan</t>
  </si>
  <si>
    <t>Cabanbanan</t>
  </si>
  <si>
    <t>09155792610</t>
  </si>
  <si>
    <t>Joel Villabito</t>
  </si>
  <si>
    <t>Nueva Vida Norte</t>
  </si>
  <si>
    <t>09151565764</t>
  </si>
  <si>
    <t>Sergio Inferido</t>
  </si>
  <si>
    <t>Felix Buscabus</t>
  </si>
  <si>
    <t>Concepcion</t>
  </si>
  <si>
    <t>09079053108</t>
  </si>
  <si>
    <t>Charles Dave Manigo</t>
  </si>
  <si>
    <t>Genonocan</t>
  </si>
  <si>
    <t>09705648118</t>
  </si>
  <si>
    <t>Karen Javate</t>
  </si>
  <si>
    <t>09122061222</t>
  </si>
  <si>
    <t>Ronelle Andoy</t>
  </si>
  <si>
    <t>09098520284</t>
  </si>
  <si>
    <t>Nelson Maldora</t>
  </si>
  <si>
    <t>09309306246</t>
  </si>
  <si>
    <t>Nemesio Oronan</t>
  </si>
  <si>
    <t>Jerry Edusma</t>
  </si>
  <si>
    <t>09707585962</t>
  </si>
  <si>
    <t>Jerry Aplacador</t>
  </si>
  <si>
    <t>09518710749</t>
  </si>
  <si>
    <t>Julian Gonzaga</t>
  </si>
  <si>
    <t>09183820489</t>
  </si>
  <si>
    <t>Alfie Taray</t>
  </si>
  <si>
    <t>09200361847</t>
  </si>
  <si>
    <t>09537783032</t>
  </si>
  <si>
    <t>Venancio Saturinas</t>
  </si>
  <si>
    <t>Richard Madroniro</t>
  </si>
  <si>
    <t>Malinao</t>
  </si>
  <si>
    <t>09678452881</t>
  </si>
  <si>
    <t>Teodulo Bernas</t>
  </si>
  <si>
    <t>09353454458</t>
  </si>
  <si>
    <t>Marvin Balo</t>
  </si>
  <si>
    <t>09505363838</t>
  </si>
  <si>
    <t>Victoriano Adlaon</t>
  </si>
  <si>
    <t>09672331828</t>
  </si>
  <si>
    <t>Rudy Dadulo</t>
  </si>
  <si>
    <t>Nava, Hinonangan, Southern Leyte</t>
  </si>
  <si>
    <t>09760949020</t>
  </si>
  <si>
    <t>Excel Broodstock</t>
  </si>
  <si>
    <t>Wilfredo Organiza</t>
  </si>
  <si>
    <t>09631304717</t>
  </si>
  <si>
    <t>Eraldo Miñoza</t>
  </si>
  <si>
    <t>Tultugan</t>
  </si>
  <si>
    <t>Romel Melliza</t>
  </si>
  <si>
    <t>Ma.Rosario</t>
  </si>
  <si>
    <t>Eutiquio Bayron</t>
  </si>
  <si>
    <t>09275850789</t>
  </si>
  <si>
    <t>Sherlito Tacgos</t>
  </si>
  <si>
    <t>09751984728</t>
  </si>
  <si>
    <t>Gregorio Buscabus</t>
  </si>
  <si>
    <t>09555941640</t>
  </si>
  <si>
    <t>Jaino Deen Cadelina</t>
  </si>
  <si>
    <t>Joey Butanilan</t>
  </si>
  <si>
    <t>09161639200</t>
  </si>
  <si>
    <t>Feljohn Galamiton</t>
  </si>
  <si>
    <t>09814682809</t>
  </si>
  <si>
    <t>Manuel Juyad</t>
  </si>
  <si>
    <t>09455486596</t>
  </si>
  <si>
    <t>Leonardo Escabusa</t>
  </si>
  <si>
    <t>Rene Boy Juyad</t>
  </si>
  <si>
    <t>March 1-7</t>
  </si>
  <si>
    <t>3 male 1 female</t>
  </si>
  <si>
    <t>Mar 1-4</t>
  </si>
  <si>
    <t>LGU-San Miguel</t>
  </si>
  <si>
    <t>09850037315</t>
  </si>
  <si>
    <t>Restituto Polo</t>
  </si>
  <si>
    <t>Jenelyn Galagaran</t>
  </si>
  <si>
    <t>Marlon Campisao</t>
  </si>
  <si>
    <t>09649383138</t>
  </si>
  <si>
    <t>Eduardo Hepaga</t>
  </si>
  <si>
    <t>09556051839</t>
  </si>
  <si>
    <t>Joelito Crijido</t>
  </si>
  <si>
    <t>Cambitoon</t>
  </si>
  <si>
    <t>09173558332</t>
  </si>
  <si>
    <t>09062029703</t>
  </si>
  <si>
    <t>Elvin Centinales</t>
  </si>
  <si>
    <t>Edgar Pagas</t>
  </si>
  <si>
    <t>Tan-awan</t>
  </si>
  <si>
    <t>09996879136</t>
  </si>
  <si>
    <t>Julius Papalid</t>
  </si>
  <si>
    <t>09369611152</t>
  </si>
  <si>
    <t>Samuel Taray</t>
  </si>
  <si>
    <t>09551421499</t>
  </si>
  <si>
    <t>Maria Sumipo</t>
  </si>
  <si>
    <t>09944983548</t>
  </si>
  <si>
    <t>Charive Estoce</t>
  </si>
  <si>
    <t>09814911397</t>
  </si>
  <si>
    <t>Renilo Gonzaga</t>
  </si>
  <si>
    <t>Salvador</t>
  </si>
  <si>
    <t>Jerameel Mulos</t>
  </si>
  <si>
    <t>Pangan</t>
  </si>
  <si>
    <t>Analisa Wagwag</t>
  </si>
  <si>
    <t>West Poblacion</t>
  </si>
  <si>
    <t>09397655115</t>
  </si>
  <si>
    <t>LGU-San Isidro</t>
  </si>
  <si>
    <t>09071438510</t>
  </si>
  <si>
    <t>Bonie Mantabute</t>
  </si>
  <si>
    <t>Niño Otom</t>
  </si>
  <si>
    <t>Villa Garcia</t>
  </si>
  <si>
    <t>09275841386</t>
  </si>
  <si>
    <t>Ireneo Ciroy</t>
  </si>
  <si>
    <t>09702611851</t>
  </si>
  <si>
    <t>Maretsam Miculob</t>
  </si>
  <si>
    <t>Rogelio Quibol</t>
  </si>
  <si>
    <t>Anibongan</t>
  </si>
  <si>
    <t>09101024294</t>
  </si>
  <si>
    <t>09650485991</t>
  </si>
  <si>
    <t>Ricardo Cubero</t>
  </si>
  <si>
    <t>Jiego Amparo</t>
  </si>
  <si>
    <t>09364376187</t>
  </si>
  <si>
    <t>Rogelio Malubay</t>
  </si>
  <si>
    <t>09487983624</t>
  </si>
  <si>
    <t>Raul Aliño</t>
  </si>
  <si>
    <t>Tirso Virtudazo</t>
  </si>
  <si>
    <t>09855596106</t>
  </si>
  <si>
    <t>Alma Balili</t>
  </si>
  <si>
    <t>09079061927</t>
  </si>
  <si>
    <t>09106664697</t>
  </si>
  <si>
    <t>Narciso Tirol</t>
  </si>
  <si>
    <t>Caimbang</t>
  </si>
  <si>
    <t>09530635927</t>
  </si>
  <si>
    <t>Marissa Caitum</t>
  </si>
  <si>
    <t>09587506307</t>
  </si>
  <si>
    <t>Virgilio Cañete</t>
  </si>
  <si>
    <t>Dagnawan</t>
  </si>
  <si>
    <t>09970752304</t>
  </si>
  <si>
    <t>09551421494</t>
  </si>
  <si>
    <t>Nilo Logroño</t>
  </si>
  <si>
    <t>09504750403</t>
  </si>
  <si>
    <t>Armando Bitang</t>
  </si>
  <si>
    <t>09389423613</t>
  </si>
  <si>
    <t>Lymar Morgia</t>
  </si>
  <si>
    <t>09517136754</t>
  </si>
  <si>
    <t>Lucio Oñez</t>
  </si>
  <si>
    <t>Boktol</t>
  </si>
  <si>
    <t>Bebe Dumangas</t>
  </si>
  <si>
    <t>09666623069</t>
  </si>
  <si>
    <t>March 9-13</t>
  </si>
  <si>
    <t>Mar 9-11</t>
  </si>
  <si>
    <t>Alejandro Dagacdac</t>
  </si>
  <si>
    <t>Danicop</t>
  </si>
  <si>
    <t>Roderick Dagacdac</t>
  </si>
  <si>
    <t>09261523512</t>
  </si>
  <si>
    <t>Edwin Cresencio</t>
  </si>
  <si>
    <t>09859887015</t>
  </si>
  <si>
    <t>Dante Magbaura</t>
  </si>
  <si>
    <t>09279701777</t>
  </si>
  <si>
    <t>Jeffrey Celades</t>
  </si>
  <si>
    <t>09060337582</t>
  </si>
  <si>
    <t>Perigrina Ricaplasa</t>
  </si>
  <si>
    <t>Triple Union</t>
  </si>
  <si>
    <t>09493317321</t>
  </si>
  <si>
    <t>John Rey Canastra</t>
  </si>
  <si>
    <t>Cagayan</t>
  </si>
  <si>
    <t>09319219163</t>
  </si>
  <si>
    <t>Joshua Aparicio</t>
  </si>
  <si>
    <t>Poblacion Sur</t>
  </si>
  <si>
    <t>09099068075</t>
  </si>
  <si>
    <t>Romeo Mula</t>
  </si>
  <si>
    <t>09461820234</t>
  </si>
  <si>
    <t>09675048539</t>
  </si>
  <si>
    <t>Tirso Tinay</t>
  </si>
  <si>
    <t>Quirino</t>
  </si>
  <si>
    <t>09382229305</t>
  </si>
  <si>
    <t>0936961452</t>
  </si>
  <si>
    <t>Ronaldo Alforque</t>
  </si>
  <si>
    <t>Erwin Doroy</t>
  </si>
  <si>
    <t>09708201572</t>
  </si>
  <si>
    <t>09109953347</t>
  </si>
  <si>
    <t>Noel Casquejo Sr.</t>
  </si>
  <si>
    <t>09383735438</t>
  </si>
  <si>
    <t>Rudiel Dave Magsubar</t>
  </si>
  <si>
    <t>Banlasan</t>
  </si>
  <si>
    <t>09090188662</t>
  </si>
  <si>
    <t>Evan Palapar</t>
  </si>
  <si>
    <t>Bunacan</t>
  </si>
  <si>
    <t>09636437678</t>
  </si>
  <si>
    <t>09284212184</t>
  </si>
  <si>
    <t>Manuelito Pancho</t>
  </si>
  <si>
    <t>Montesuerte</t>
  </si>
  <si>
    <t>09365421993</t>
  </si>
  <si>
    <t>Andy Roluna</t>
  </si>
  <si>
    <t>09504394659</t>
  </si>
  <si>
    <t>Eduardo Hepega</t>
  </si>
  <si>
    <t>Victoriano Crescencio</t>
  </si>
  <si>
    <t>09070463218</t>
  </si>
  <si>
    <t>Jarrel Pacardo</t>
  </si>
  <si>
    <t>09850248660</t>
  </si>
  <si>
    <t>Dennis Martinez</t>
  </si>
  <si>
    <t>09507027495</t>
  </si>
  <si>
    <t>Danilo S. Garcia</t>
  </si>
  <si>
    <t>09702571005</t>
  </si>
  <si>
    <t>Ferdinand Calamba</t>
  </si>
  <si>
    <t>Eufronia Diez</t>
  </si>
  <si>
    <t>09172408210</t>
  </si>
  <si>
    <t>Lometo Castino</t>
  </si>
  <si>
    <t>09265371180</t>
  </si>
  <si>
    <t>Mergie Laurden</t>
  </si>
  <si>
    <t>Basilio Datahan</t>
  </si>
  <si>
    <t>Inaghuban</t>
  </si>
  <si>
    <t>Romulo Cayacay</t>
  </si>
  <si>
    <t>Mercy Buñao</t>
  </si>
  <si>
    <t>09755678702</t>
  </si>
  <si>
    <t>Rodrigo Buñao</t>
  </si>
  <si>
    <t>09508971352</t>
  </si>
  <si>
    <t>March 14-22</t>
  </si>
  <si>
    <t>Glenn Marion Espejo</t>
  </si>
  <si>
    <t>09461877987</t>
  </si>
  <si>
    <t>Jasmin Lamanilao</t>
  </si>
  <si>
    <t>09099771650</t>
  </si>
  <si>
    <t>Herme Mejoy</t>
  </si>
  <si>
    <t>Babag</t>
  </si>
  <si>
    <t>09105072383</t>
  </si>
  <si>
    <t xml:space="preserve">Antonio Saure Sr. </t>
  </si>
  <si>
    <t>09508975247</t>
  </si>
  <si>
    <t>Lope Aracap</t>
  </si>
  <si>
    <t>09656091819</t>
  </si>
  <si>
    <t>Ricardo Olaivar</t>
  </si>
  <si>
    <t>09497361462</t>
  </si>
  <si>
    <t>Ronilo Deligos</t>
  </si>
  <si>
    <t>09099017473</t>
  </si>
  <si>
    <t>Felix Lloren</t>
  </si>
  <si>
    <t>09463507241</t>
  </si>
  <si>
    <t>Vicente Pilongo</t>
  </si>
  <si>
    <t>09090920426</t>
  </si>
  <si>
    <t>Ronel Goco</t>
  </si>
  <si>
    <t>09467413974</t>
  </si>
  <si>
    <t>Edilberto Planos</t>
  </si>
  <si>
    <t>09706277551</t>
  </si>
  <si>
    <t>Genevic Abulag</t>
  </si>
  <si>
    <t>Cagawitan</t>
  </si>
  <si>
    <t>09302799084</t>
  </si>
  <si>
    <t>Christina Aureo</t>
  </si>
  <si>
    <t>09078191221</t>
  </si>
  <si>
    <t>Allen Mae Tancawan</t>
  </si>
  <si>
    <t>09361682052</t>
  </si>
  <si>
    <t>Leonilo Calimpusan</t>
  </si>
  <si>
    <t>Bahaybahay</t>
  </si>
  <si>
    <t>09073750271</t>
  </si>
  <si>
    <t>Pedro Jala</t>
  </si>
  <si>
    <t>09207053125</t>
  </si>
  <si>
    <t>Jacinto Loquire</t>
  </si>
  <si>
    <t>Ubujan</t>
  </si>
  <si>
    <t>09219008440</t>
  </si>
  <si>
    <t>Alan Dinoy</t>
  </si>
  <si>
    <t>09171194317</t>
  </si>
  <si>
    <t>Vincent Maglaway</t>
  </si>
  <si>
    <t>Marlyn Recamados</t>
  </si>
  <si>
    <t>09814681239</t>
  </si>
  <si>
    <t>Edwin Albores</t>
  </si>
  <si>
    <t>09553764610</t>
  </si>
  <si>
    <t>Samuel Estillore</t>
  </si>
  <si>
    <t>Jorge Malunes Jr.</t>
  </si>
  <si>
    <t>09948859220</t>
  </si>
  <si>
    <t>09128929322</t>
  </si>
  <si>
    <t>Rosalinda Quiño</t>
  </si>
  <si>
    <t>09106661970</t>
  </si>
  <si>
    <t>Rolando Lara</t>
  </si>
  <si>
    <t>09534062220</t>
  </si>
  <si>
    <t>Joel Iyana</t>
  </si>
  <si>
    <t>09357273124</t>
  </si>
  <si>
    <t>March 22-25</t>
  </si>
  <si>
    <r>
      <t>Total No. Of Beneficiaries:</t>
    </r>
    <r>
      <rPr>
        <b/>
        <u/>
        <sz val="10"/>
        <color rgb="FFFF0000"/>
        <rFont val="Arial"/>
        <family val="2"/>
      </rPr>
      <t xml:space="preserve"> 140</t>
    </r>
  </si>
  <si>
    <t xml:space="preserve">4 male </t>
  </si>
  <si>
    <t>Tilapia Broodstock</t>
  </si>
  <si>
    <t>April 2024</t>
  </si>
  <si>
    <t>09310701936</t>
  </si>
  <si>
    <t>09859482752</t>
  </si>
  <si>
    <t>09511199269</t>
  </si>
  <si>
    <t>09517137688</t>
  </si>
  <si>
    <t>Bonbon</t>
  </si>
  <si>
    <t>09463294572</t>
  </si>
  <si>
    <t>Jerosalem</t>
  </si>
  <si>
    <t xml:space="preserve">Christopher </t>
  </si>
  <si>
    <t xml:space="preserve">Rudiel Dave </t>
  </si>
  <si>
    <t>Magsubar</t>
  </si>
  <si>
    <t xml:space="preserve">Alejandria </t>
  </si>
  <si>
    <t>Julagting</t>
  </si>
  <si>
    <t xml:space="preserve">Myrna </t>
  </si>
  <si>
    <t>Jamil</t>
  </si>
  <si>
    <t xml:space="preserve">Ma. Sali </t>
  </si>
  <si>
    <t>Poquita</t>
  </si>
  <si>
    <t xml:space="preserve">Alan </t>
  </si>
  <si>
    <t>Dinoy</t>
  </si>
  <si>
    <t>Arcales</t>
  </si>
  <si>
    <t>Keneth Ryan</t>
  </si>
  <si>
    <t>09938971683</t>
  </si>
  <si>
    <t>Dalagan</t>
  </si>
  <si>
    <t>Zenaida</t>
  </si>
  <si>
    <t>09512336451</t>
  </si>
  <si>
    <t>Balite</t>
  </si>
  <si>
    <t>Dionisio</t>
  </si>
  <si>
    <t>Lapaz</t>
  </si>
  <si>
    <t>09989803546</t>
  </si>
  <si>
    <t>Panzo</t>
  </si>
  <si>
    <t>Vicente</t>
  </si>
  <si>
    <t>Dao District</t>
  </si>
  <si>
    <t>09182515299</t>
  </si>
  <si>
    <t>Jamora</t>
  </si>
  <si>
    <t>Benjie</t>
  </si>
  <si>
    <t>Tugas</t>
  </si>
  <si>
    <t>09999910580</t>
  </si>
  <si>
    <t>Dico</t>
  </si>
  <si>
    <t>Anecita</t>
  </si>
  <si>
    <t>Responso</t>
  </si>
  <si>
    <t>Caspar</t>
  </si>
  <si>
    <t>Pantinople</t>
  </si>
  <si>
    <t>Edelina</t>
  </si>
  <si>
    <t>Cinco</t>
  </si>
  <si>
    <t>Jarum</t>
  </si>
  <si>
    <t xml:space="preserve">Doria </t>
  </si>
  <si>
    <t>Cris</t>
  </si>
  <si>
    <t>09198597655</t>
  </si>
  <si>
    <t xml:space="preserve">Jungco </t>
  </si>
  <si>
    <t>Pablito</t>
  </si>
  <si>
    <t>Causwagan Sur</t>
  </si>
  <si>
    <t>Yabo</t>
  </si>
  <si>
    <t>Edwin</t>
  </si>
  <si>
    <t>Besande</t>
  </si>
  <si>
    <t>Marilou</t>
  </si>
  <si>
    <t>09487360777</t>
  </si>
  <si>
    <t>Salise</t>
  </si>
  <si>
    <t>Jerome</t>
  </si>
  <si>
    <t>09664604462</t>
  </si>
  <si>
    <t>Cabug-os</t>
  </si>
  <si>
    <t>Eufemio</t>
  </si>
  <si>
    <t>Aloja</t>
  </si>
  <si>
    <t>Aparece</t>
  </si>
  <si>
    <t>Randy</t>
  </si>
  <si>
    <t>09292242012</t>
  </si>
  <si>
    <t>Buscabus</t>
  </si>
  <si>
    <t>Junry</t>
  </si>
  <si>
    <t>Anunciado</t>
  </si>
  <si>
    <t>Jerwin</t>
  </si>
  <si>
    <t>Cawayan</t>
  </si>
  <si>
    <t>Ben</t>
  </si>
  <si>
    <t>Ocay</t>
  </si>
  <si>
    <t>Raulito</t>
  </si>
  <si>
    <t>Patrocinio</t>
  </si>
  <si>
    <t>09096670601</t>
  </si>
  <si>
    <t>Ronquillo</t>
  </si>
  <si>
    <t>Jireh Faith</t>
  </si>
  <si>
    <t>09300116369</t>
  </si>
  <si>
    <t>Pojas</t>
  </si>
  <si>
    <t>Epifanio</t>
  </si>
  <si>
    <t>09936192885</t>
  </si>
  <si>
    <t>Junel</t>
  </si>
  <si>
    <t>Lodripas</t>
  </si>
  <si>
    <t>Teodoro</t>
  </si>
  <si>
    <t>Capayas</t>
  </si>
  <si>
    <t>09121147118</t>
  </si>
  <si>
    <t>Tabanange</t>
  </si>
  <si>
    <t>Manuel</t>
  </si>
  <si>
    <t>09958855779</t>
  </si>
  <si>
    <t>Guisihan</t>
  </si>
  <si>
    <t>Lina</t>
  </si>
  <si>
    <t>09317995241</t>
  </si>
  <si>
    <t>Gutierez</t>
  </si>
  <si>
    <t>Rey</t>
  </si>
  <si>
    <t>Bolod</t>
  </si>
  <si>
    <t>09510780784</t>
  </si>
  <si>
    <t>Bulan</t>
  </si>
  <si>
    <t>Felipa</t>
  </si>
  <si>
    <t>Ayento</t>
  </si>
  <si>
    <t>Enier</t>
  </si>
  <si>
    <t>09304292820</t>
  </si>
  <si>
    <t>Mellijor</t>
  </si>
  <si>
    <t>Ireneo</t>
  </si>
  <si>
    <t>Pacomioz</t>
  </si>
  <si>
    <t>Papias</t>
  </si>
  <si>
    <t>Cabangahan</t>
  </si>
  <si>
    <t>09077793932</t>
  </si>
  <si>
    <t>Angelito</t>
  </si>
  <si>
    <t>09289038551</t>
  </si>
  <si>
    <t>Bonior</t>
  </si>
  <si>
    <t>Carlito</t>
  </si>
  <si>
    <t>09128380132</t>
  </si>
  <si>
    <t>Tagotongan</t>
  </si>
  <si>
    <t>Gerry</t>
  </si>
  <si>
    <t>Cambigsi</t>
  </si>
  <si>
    <t>09982596282</t>
  </si>
  <si>
    <t>Tancawan</t>
  </si>
  <si>
    <t>Allen Mae</t>
  </si>
  <si>
    <t>Canastra</t>
  </si>
  <si>
    <t>John Rey</t>
  </si>
  <si>
    <t>09704541404</t>
  </si>
  <si>
    <t>Bucar</t>
  </si>
  <si>
    <t>Danilo</t>
  </si>
  <si>
    <t>09285814987</t>
  </si>
  <si>
    <t>Manlangit</t>
  </si>
  <si>
    <t>Elmer</t>
  </si>
  <si>
    <t>09267812505</t>
  </si>
  <si>
    <t>Saldom</t>
  </si>
  <si>
    <t>Ritche</t>
  </si>
  <si>
    <t>09979428040</t>
  </si>
  <si>
    <t>Coquilla</t>
  </si>
  <si>
    <t>Mar</t>
  </si>
  <si>
    <t>09325531200</t>
  </si>
  <si>
    <t>Demetila</t>
  </si>
  <si>
    <t>Jeycil</t>
  </si>
  <si>
    <t>09634877694</t>
  </si>
  <si>
    <t>Diaz</t>
  </si>
  <si>
    <t>Ma. Cecilia</t>
  </si>
  <si>
    <t>09206415107</t>
  </si>
  <si>
    <t xml:space="preserve">Buslon </t>
  </si>
  <si>
    <t>Edgar</t>
  </si>
  <si>
    <t>09306899156</t>
  </si>
  <si>
    <t>Jala</t>
  </si>
  <si>
    <t>Joseph</t>
  </si>
  <si>
    <t>09077675624</t>
  </si>
  <si>
    <t>Alforque</t>
  </si>
  <si>
    <t>Ronaldo</t>
  </si>
  <si>
    <t>09129496435</t>
  </si>
  <si>
    <t>Lupian</t>
  </si>
  <si>
    <t>Emmanuel</t>
  </si>
  <si>
    <t>Lawis</t>
  </si>
  <si>
    <t>Cuizon</t>
  </si>
  <si>
    <t>Cristopher</t>
  </si>
  <si>
    <t>09560076145</t>
  </si>
  <si>
    <t>Common carp</t>
  </si>
  <si>
    <t>Andamon</t>
  </si>
  <si>
    <t>Reynaldo</t>
  </si>
  <si>
    <t>09706426588</t>
  </si>
  <si>
    <t>Tenajeros</t>
  </si>
  <si>
    <t>Dante</t>
  </si>
  <si>
    <t>Conchita</t>
  </si>
  <si>
    <t>09885085224</t>
  </si>
  <si>
    <t>April 1-11</t>
  </si>
  <si>
    <t>Tuzon</t>
  </si>
  <si>
    <t>Dina</t>
  </si>
  <si>
    <t>09852704220</t>
  </si>
  <si>
    <t>Bautista</t>
  </si>
  <si>
    <t>Myraflor</t>
  </si>
  <si>
    <t>09382725971</t>
  </si>
  <si>
    <t>Dolera</t>
  </si>
  <si>
    <t xml:space="preserve">Cristopher </t>
  </si>
  <si>
    <t>Digaum</t>
  </si>
  <si>
    <t>Renaldo</t>
  </si>
  <si>
    <t>09484976246</t>
  </si>
  <si>
    <t>Calderon</t>
  </si>
  <si>
    <t>Carlydon</t>
  </si>
  <si>
    <t xml:space="preserve">Socias </t>
  </si>
  <si>
    <t>Nelson</t>
  </si>
  <si>
    <t>CPG</t>
  </si>
  <si>
    <t>09327154528</t>
  </si>
  <si>
    <t>Datahan</t>
  </si>
  <si>
    <t>Basilio</t>
  </si>
  <si>
    <t>Polinar</t>
  </si>
  <si>
    <t>Jade</t>
  </si>
  <si>
    <t>09501820976</t>
  </si>
  <si>
    <t>Tinahora</t>
  </si>
  <si>
    <t>Ricardo</t>
  </si>
  <si>
    <t>April 12-15</t>
  </si>
  <si>
    <t>Amigo</t>
  </si>
  <si>
    <t>Camanaga</t>
  </si>
  <si>
    <t>09395408290</t>
  </si>
  <si>
    <t>Eyana</t>
  </si>
  <si>
    <t>Ariel</t>
  </si>
  <si>
    <t>09708019429</t>
  </si>
  <si>
    <t>Buhayang</t>
  </si>
  <si>
    <t>Romulo</t>
  </si>
  <si>
    <t>Ilijan Sur</t>
  </si>
  <si>
    <t>Bongato</t>
  </si>
  <si>
    <t>Emie</t>
  </si>
  <si>
    <t>Pabonita</t>
  </si>
  <si>
    <t>Aldrin</t>
  </si>
  <si>
    <t>09771201413</t>
  </si>
  <si>
    <t>Budiongan</t>
  </si>
  <si>
    <t>Jines</t>
  </si>
  <si>
    <t>09483889852</t>
  </si>
  <si>
    <t>Lumayan</t>
  </si>
  <si>
    <t>Apolonio</t>
  </si>
  <si>
    <t>09995993522</t>
  </si>
  <si>
    <t>LDFFF-Camotes</t>
  </si>
  <si>
    <t>San Francisco, Camotes</t>
  </si>
  <si>
    <t>09777241650</t>
  </si>
  <si>
    <t>Peter Junry Milana</t>
  </si>
  <si>
    <t>Excel broodstocks</t>
  </si>
  <si>
    <t>Samuya</t>
  </si>
  <si>
    <t>Requillo Sr.</t>
  </si>
  <si>
    <t>Longester</t>
  </si>
  <si>
    <t>Larry</t>
  </si>
  <si>
    <t>Cogon Norte</t>
  </si>
  <si>
    <t>09636370666</t>
  </si>
  <si>
    <t>Castañares</t>
  </si>
  <si>
    <t>09281834259</t>
  </si>
  <si>
    <t>Salas</t>
  </si>
  <si>
    <t>Marlon</t>
  </si>
  <si>
    <t>09462489529</t>
  </si>
  <si>
    <t>LGU-Duero</t>
  </si>
  <si>
    <t>09485001167</t>
  </si>
  <si>
    <t>Raph Christian Ociones</t>
  </si>
  <si>
    <t xml:space="preserve">Excel </t>
  </si>
  <si>
    <t>Villamor</t>
  </si>
  <si>
    <t>Roberto</t>
  </si>
  <si>
    <t>09154901943</t>
  </si>
  <si>
    <t>Dan Henry</t>
  </si>
  <si>
    <t>09675690560</t>
  </si>
  <si>
    <t>April 16-19</t>
  </si>
  <si>
    <t>2 male</t>
  </si>
  <si>
    <t>Apr. 17-18</t>
  </si>
  <si>
    <t>B'stocks</t>
  </si>
  <si>
    <t>Ruado</t>
  </si>
  <si>
    <t>Paclibar</t>
  </si>
  <si>
    <t>Johnson</t>
  </si>
  <si>
    <t>Cantoyoc</t>
  </si>
  <si>
    <t>09457314631</t>
  </si>
  <si>
    <t>Jayoma</t>
  </si>
  <si>
    <t>Mark Sherwin</t>
  </si>
  <si>
    <t>09606089020</t>
  </si>
  <si>
    <t>Segundo Jr.</t>
  </si>
  <si>
    <t>09952061237</t>
  </si>
  <si>
    <t>Alas-as</t>
  </si>
  <si>
    <t>Joel</t>
  </si>
  <si>
    <t>Alegria, Cebu</t>
  </si>
  <si>
    <t>09958803232</t>
  </si>
  <si>
    <t>Llanto</t>
  </si>
  <si>
    <t>Leonilo</t>
  </si>
  <si>
    <t>09752137993</t>
  </si>
  <si>
    <t>Tongco</t>
  </si>
  <si>
    <t>Alejo</t>
  </si>
  <si>
    <t>Dampas</t>
  </si>
  <si>
    <t>09566774805</t>
  </si>
  <si>
    <t>Lirion</t>
  </si>
  <si>
    <t>Florencio</t>
  </si>
  <si>
    <t>09706095179</t>
  </si>
  <si>
    <t>Basio</t>
  </si>
  <si>
    <t>Bebiano</t>
  </si>
  <si>
    <t>Panganoron</t>
  </si>
  <si>
    <t>Rollie</t>
  </si>
  <si>
    <t>Baang</t>
  </si>
  <si>
    <t>09482254803</t>
  </si>
  <si>
    <t>Ebua</t>
  </si>
  <si>
    <t>Joshua</t>
  </si>
  <si>
    <t>09138751517</t>
  </si>
  <si>
    <t>Beloy</t>
  </si>
  <si>
    <t>Jeffrey</t>
  </si>
  <si>
    <t>09271793476</t>
  </si>
  <si>
    <t>Paling</t>
  </si>
  <si>
    <t>Lowell</t>
  </si>
  <si>
    <t>09510780470</t>
  </si>
  <si>
    <t>Agustin</t>
  </si>
  <si>
    <t>Arsenio</t>
  </si>
  <si>
    <t>09973868429</t>
  </si>
  <si>
    <t>Laluna</t>
  </si>
  <si>
    <t>Rufino</t>
  </si>
  <si>
    <t>09463533709</t>
  </si>
  <si>
    <t>Marson</t>
  </si>
  <si>
    <t>Rico</t>
  </si>
  <si>
    <t>09665800701</t>
  </si>
  <si>
    <t>Buhangin</t>
  </si>
  <si>
    <t>Felix</t>
  </si>
  <si>
    <t>Vallecer</t>
  </si>
  <si>
    <t>Crispolo Jr.</t>
  </si>
  <si>
    <t>09604488343</t>
  </si>
  <si>
    <t>April 22-24</t>
  </si>
  <si>
    <r>
      <t>Total No. Of Beneficiaries:</t>
    </r>
    <r>
      <rPr>
        <b/>
        <u/>
        <sz val="10"/>
        <color rgb="FFFF0000"/>
        <rFont val="Arial"/>
        <family val="2"/>
      </rPr>
      <t xml:space="preserve"> 95</t>
    </r>
  </si>
  <si>
    <r>
      <t>Others:(S.C./PWD):</t>
    </r>
    <r>
      <rPr>
        <b/>
        <u/>
        <sz val="10"/>
        <color rgb="FFFF0000"/>
        <rFont val="Arial"/>
        <family val="2"/>
      </rPr>
      <t xml:space="preserve"> 14</t>
    </r>
  </si>
  <si>
    <t>May 2024</t>
  </si>
  <si>
    <r>
      <t>Others:(S.C./PWD):</t>
    </r>
    <r>
      <rPr>
        <b/>
        <u/>
        <sz val="10"/>
        <color rgb="FFFF0000"/>
        <rFont val="Arial"/>
        <family val="2"/>
      </rPr>
      <t xml:space="preserve"> </t>
    </r>
  </si>
  <si>
    <t>Diez</t>
  </si>
  <si>
    <t>Junve</t>
  </si>
  <si>
    <t>09550113397</t>
  </si>
  <si>
    <t>Niepes</t>
  </si>
  <si>
    <t>Josephine</t>
  </si>
  <si>
    <t>09505911359</t>
  </si>
  <si>
    <t xml:space="preserve">Gallardo </t>
  </si>
  <si>
    <t>Haidee</t>
  </si>
  <si>
    <t>Abachanan</t>
  </si>
  <si>
    <t>099849782764</t>
  </si>
  <si>
    <t>Tecson</t>
  </si>
  <si>
    <t>Raul</t>
  </si>
  <si>
    <t>09667564590</t>
  </si>
  <si>
    <t>Añasco</t>
  </si>
  <si>
    <t>Alex</t>
  </si>
  <si>
    <t>OIC-CFFF</t>
  </si>
  <si>
    <t>MICAH MAE A. DEGAMO</t>
  </si>
  <si>
    <t>09093686171</t>
  </si>
  <si>
    <t>Alleza Marie Berin</t>
  </si>
  <si>
    <t>BFAR 7 -FPSSD</t>
  </si>
  <si>
    <t>Dano</t>
  </si>
  <si>
    <t>Glenn</t>
  </si>
  <si>
    <t>Cogon Sur</t>
  </si>
  <si>
    <t>Myrna</t>
  </si>
  <si>
    <t>Tawid Alegria</t>
  </si>
  <si>
    <t>0926831081</t>
  </si>
  <si>
    <t>Tahanlangit</t>
  </si>
  <si>
    <t>Rodel</t>
  </si>
  <si>
    <t>09231116920</t>
  </si>
  <si>
    <t>Quitoriano</t>
  </si>
  <si>
    <t>Leoncio</t>
  </si>
  <si>
    <t>Poblacion West</t>
  </si>
  <si>
    <t>Argamosa</t>
  </si>
  <si>
    <t>Sammy</t>
  </si>
  <si>
    <t>Potohan</t>
  </si>
  <si>
    <t>09338690764</t>
  </si>
  <si>
    <t xml:space="preserve">Espina </t>
  </si>
  <si>
    <t>09101084823</t>
  </si>
  <si>
    <t>Orapa</t>
  </si>
  <si>
    <t>Jessi</t>
  </si>
  <si>
    <t>09264330096</t>
  </si>
  <si>
    <t>Kaestle</t>
  </si>
  <si>
    <t>Jocelyn</t>
  </si>
  <si>
    <t>09309289865</t>
  </si>
  <si>
    <t>Suarez</t>
  </si>
  <si>
    <t>Efren</t>
  </si>
  <si>
    <t>09509251826</t>
  </si>
  <si>
    <t>Dumaguit</t>
  </si>
  <si>
    <t>Jessie</t>
  </si>
  <si>
    <t>09858090954</t>
  </si>
  <si>
    <t>Tangara</t>
  </si>
  <si>
    <t>Paulino</t>
  </si>
  <si>
    <t>09093707408</t>
  </si>
  <si>
    <t xml:space="preserve">Bernalte </t>
  </si>
  <si>
    <t>Janeth</t>
  </si>
  <si>
    <t>09772307212</t>
  </si>
  <si>
    <t>Dalay</t>
  </si>
  <si>
    <t>Loreto</t>
  </si>
  <si>
    <t>Caluasan</t>
  </si>
  <si>
    <t>09338151052</t>
  </si>
  <si>
    <t>Becolero</t>
  </si>
  <si>
    <t>Jemboy</t>
  </si>
  <si>
    <t>Kagawasan</t>
  </si>
  <si>
    <t>Melecio</t>
  </si>
  <si>
    <t>Jefferson</t>
  </si>
  <si>
    <t>Badiang</t>
  </si>
  <si>
    <t>09944697168</t>
  </si>
  <si>
    <t>Delambaca</t>
  </si>
  <si>
    <t>Daisy</t>
  </si>
  <si>
    <t>09649796799</t>
  </si>
  <si>
    <t>Wagway</t>
  </si>
  <si>
    <t>Tommy</t>
  </si>
  <si>
    <t>09938971215</t>
  </si>
  <si>
    <t>Cañete</t>
  </si>
  <si>
    <t>Virgilio</t>
  </si>
  <si>
    <t>Sanguenza</t>
  </si>
  <si>
    <t>Maiken</t>
  </si>
  <si>
    <t>Genebraldo</t>
  </si>
  <si>
    <t>Victoria</t>
  </si>
  <si>
    <t>Lundag</t>
  </si>
  <si>
    <t>09677986250</t>
  </si>
  <si>
    <t>Longshore</t>
  </si>
  <si>
    <t>Cynthia</t>
  </si>
  <si>
    <t>09994730254</t>
  </si>
  <si>
    <t>0953763546</t>
  </si>
  <si>
    <t>Eusebio</t>
  </si>
  <si>
    <t>Patricio</t>
  </si>
  <si>
    <t>09977962261</t>
  </si>
  <si>
    <t>09638769371</t>
  </si>
  <si>
    <t>May 2-14</t>
  </si>
  <si>
    <t>Carp</t>
  </si>
  <si>
    <t xml:space="preserve">Male </t>
  </si>
  <si>
    <t>Camanzo</t>
  </si>
  <si>
    <t>Dapar</t>
  </si>
  <si>
    <t>Jeramie</t>
  </si>
  <si>
    <t>Koi carp</t>
  </si>
  <si>
    <t>Calamba</t>
  </si>
  <si>
    <t>09550110208</t>
  </si>
  <si>
    <t>Ciruela</t>
  </si>
  <si>
    <t>Dennis</t>
  </si>
  <si>
    <t>Catarman</t>
  </si>
  <si>
    <t>09460994312</t>
  </si>
  <si>
    <t>Asibal</t>
  </si>
  <si>
    <t>Apolonio Jr.</t>
  </si>
  <si>
    <t>09516419968</t>
  </si>
  <si>
    <t>Bonajos</t>
  </si>
  <si>
    <t>Sergio Jr.</t>
  </si>
  <si>
    <t>Iyana</t>
  </si>
  <si>
    <t>Armando</t>
  </si>
  <si>
    <t>Salem</t>
  </si>
  <si>
    <t>Mark</t>
  </si>
  <si>
    <t>Abucayan Norte</t>
  </si>
  <si>
    <t>09306392093</t>
  </si>
  <si>
    <t>Samson</t>
  </si>
  <si>
    <t>Cabayugan</t>
  </si>
  <si>
    <t>09288933682</t>
  </si>
  <si>
    <t>Divinagracia</t>
  </si>
  <si>
    <t>Godie</t>
  </si>
  <si>
    <t xml:space="preserve">Sabijon </t>
  </si>
  <si>
    <t>Macario Jr.</t>
  </si>
  <si>
    <t>09635325369</t>
  </si>
  <si>
    <t>Butal</t>
  </si>
  <si>
    <t>Los Angeles</t>
  </si>
  <si>
    <t>09754508105</t>
  </si>
  <si>
    <t>Celocia</t>
  </si>
  <si>
    <t>Jaypee</t>
  </si>
  <si>
    <t>Cantubod</t>
  </si>
  <si>
    <t>09957941227</t>
  </si>
  <si>
    <t>Ma. Sali</t>
  </si>
  <si>
    <t>May 14-20</t>
  </si>
  <si>
    <t>09638751517</t>
  </si>
  <si>
    <t>Neo</t>
  </si>
  <si>
    <t>Wilmer</t>
  </si>
  <si>
    <t>09754009580</t>
  </si>
  <si>
    <t>Andoy</t>
  </si>
  <si>
    <t>Florentino</t>
  </si>
  <si>
    <t>09999755860</t>
  </si>
  <si>
    <t xml:space="preserve">Cagatin </t>
  </si>
  <si>
    <t>09202969158</t>
  </si>
  <si>
    <t>Ubas</t>
  </si>
  <si>
    <t>Jake</t>
  </si>
  <si>
    <t>Betalmos</t>
  </si>
  <si>
    <t>Perly Jean</t>
  </si>
  <si>
    <t>09360862787</t>
  </si>
  <si>
    <t>Socias</t>
  </si>
  <si>
    <t>09954378228</t>
  </si>
  <si>
    <t>Gambe</t>
  </si>
  <si>
    <t>Florencio Jr.</t>
  </si>
  <si>
    <t>09103360343</t>
  </si>
  <si>
    <t>Crystal</t>
  </si>
  <si>
    <t>Aniceto</t>
  </si>
  <si>
    <t>09096569710</t>
  </si>
  <si>
    <t>Doroy</t>
  </si>
  <si>
    <t>Ludevina</t>
  </si>
  <si>
    <t>09537784128</t>
  </si>
  <si>
    <t>May 23-28</t>
  </si>
  <si>
    <r>
      <t>Total No. Of Beneficiaries:</t>
    </r>
    <r>
      <rPr>
        <b/>
        <u/>
        <sz val="10"/>
        <color rgb="FFFF0000"/>
        <rFont val="Arial"/>
        <family val="2"/>
      </rPr>
      <t xml:space="preserve"> 59</t>
    </r>
  </si>
  <si>
    <t xml:space="preserve"> 1 female</t>
  </si>
  <si>
    <t>June 2024</t>
  </si>
  <si>
    <t>Criscel</t>
  </si>
  <si>
    <t>09702568684</t>
  </si>
  <si>
    <t>Munez</t>
  </si>
  <si>
    <t>Romualdo</t>
  </si>
  <si>
    <t xml:space="preserve">Tecson </t>
  </si>
  <si>
    <t>09300616280</t>
  </si>
  <si>
    <t>Ramil</t>
  </si>
  <si>
    <t>Inferido</t>
  </si>
  <si>
    <t>Samuel</t>
  </si>
  <si>
    <t>09480407244</t>
  </si>
  <si>
    <t>Gumanid</t>
  </si>
  <si>
    <t>Geneboy</t>
  </si>
  <si>
    <t>Casaverde</t>
  </si>
  <si>
    <t>Gilbert</t>
  </si>
  <si>
    <t>09292171298</t>
  </si>
  <si>
    <t>Tagurmacon</t>
  </si>
  <si>
    <t>Ronie</t>
  </si>
  <si>
    <t>Dañe</t>
  </si>
  <si>
    <t>Zito</t>
  </si>
  <si>
    <t>09166714149</t>
  </si>
  <si>
    <t>OPA-Bohol</t>
  </si>
  <si>
    <t>09075173037</t>
  </si>
  <si>
    <t>Kevin Samijon</t>
  </si>
  <si>
    <t>Cecilio</t>
  </si>
  <si>
    <t>Ace Brian</t>
  </si>
  <si>
    <t>09462227701</t>
  </si>
  <si>
    <t>Leonar</t>
  </si>
  <si>
    <t>Kim</t>
  </si>
  <si>
    <t>Sumaylo</t>
  </si>
  <si>
    <t>Roy</t>
  </si>
  <si>
    <t>09318483205</t>
  </si>
  <si>
    <t>Palec</t>
  </si>
  <si>
    <t>09123357657</t>
  </si>
  <si>
    <t>Sajulan</t>
  </si>
  <si>
    <t>Noel</t>
  </si>
  <si>
    <t>Paraguya</t>
  </si>
  <si>
    <t>Richard</t>
  </si>
  <si>
    <t>Binliw</t>
  </si>
  <si>
    <t>Cyrel</t>
  </si>
  <si>
    <t>09198626384</t>
  </si>
  <si>
    <t>Cagatin</t>
  </si>
  <si>
    <t>Nueva Vida</t>
  </si>
  <si>
    <t>Pogoy</t>
  </si>
  <si>
    <t>Neri</t>
  </si>
  <si>
    <t xml:space="preserve">Limo </t>
  </si>
  <si>
    <t>Robert</t>
  </si>
  <si>
    <t>Hagbuaya</t>
  </si>
  <si>
    <t>09102522376</t>
  </si>
  <si>
    <t>Espinal</t>
  </si>
  <si>
    <t>Jun Eric</t>
  </si>
  <si>
    <t>La Libertad</t>
  </si>
  <si>
    <t>Lagitao</t>
  </si>
  <si>
    <t>Editha</t>
  </si>
  <si>
    <t>Logroño</t>
  </si>
  <si>
    <t>Dony</t>
  </si>
  <si>
    <t>Luminarias</t>
  </si>
  <si>
    <t>Lito</t>
  </si>
  <si>
    <t>Danila</t>
  </si>
  <si>
    <t>Jaime</t>
  </si>
  <si>
    <t>Arpon</t>
  </si>
  <si>
    <t>Gregorio Jr.</t>
  </si>
  <si>
    <t>09087282414</t>
  </si>
  <si>
    <t>Crispolo</t>
  </si>
  <si>
    <t>09634488343</t>
  </si>
  <si>
    <t>Ladera</t>
  </si>
  <si>
    <t>Celso</t>
  </si>
  <si>
    <t>Canangcaan</t>
  </si>
  <si>
    <t>09512348546</t>
  </si>
  <si>
    <t>Ayop</t>
  </si>
  <si>
    <t>Arche</t>
  </si>
  <si>
    <t>09569558726</t>
  </si>
  <si>
    <t>Papar</t>
  </si>
  <si>
    <t>Nueva Fuerza</t>
  </si>
  <si>
    <t>Hilot</t>
  </si>
  <si>
    <t>Guellermo</t>
  </si>
  <si>
    <t>09305676697</t>
  </si>
  <si>
    <t>Ruel</t>
  </si>
  <si>
    <t>Temblor</t>
  </si>
  <si>
    <t>Anelyn</t>
  </si>
  <si>
    <t>09635306025</t>
  </si>
  <si>
    <t>Rulida</t>
  </si>
  <si>
    <t>09484646478</t>
  </si>
  <si>
    <t>Kaklasi</t>
  </si>
  <si>
    <t>Luisa</t>
  </si>
  <si>
    <t>09122506764</t>
  </si>
  <si>
    <t>Rasonado</t>
  </si>
  <si>
    <t>Julito</t>
  </si>
  <si>
    <t>09295934745</t>
  </si>
  <si>
    <t>Corbeta</t>
  </si>
  <si>
    <t>Rolando</t>
  </si>
  <si>
    <t>Kabasakan</t>
  </si>
  <si>
    <t>Torregosa</t>
  </si>
  <si>
    <t>Dait Sur</t>
  </si>
  <si>
    <t>Gumale</t>
  </si>
  <si>
    <t>Junrel</t>
  </si>
  <si>
    <t>09482225025</t>
  </si>
  <si>
    <t>Socong</t>
  </si>
  <si>
    <t>Emilia</t>
  </si>
  <si>
    <t>Cesar</t>
  </si>
  <si>
    <t>Mumar</t>
  </si>
  <si>
    <t>Diosdado</t>
  </si>
  <si>
    <t>Lerion</t>
  </si>
  <si>
    <t>Ryan</t>
  </si>
  <si>
    <t>Canmano</t>
  </si>
  <si>
    <t>09859712762</t>
  </si>
  <si>
    <t>Esto</t>
  </si>
  <si>
    <t>Emerson</t>
  </si>
  <si>
    <t>09098892281</t>
  </si>
  <si>
    <t>De Pedro</t>
  </si>
  <si>
    <t>Remegia</t>
  </si>
  <si>
    <t>Marvelyn</t>
  </si>
  <si>
    <t>Jaum</t>
  </si>
  <si>
    <t>Ramon</t>
  </si>
  <si>
    <t>09165260118</t>
  </si>
  <si>
    <t>Bapor</t>
  </si>
  <si>
    <t>Leonardo Jr.</t>
  </si>
  <si>
    <t>Desiderio</t>
  </si>
  <si>
    <t>Bongcaras</t>
  </si>
  <si>
    <t>Juan</t>
  </si>
  <si>
    <t>Tangnan</t>
  </si>
  <si>
    <t>Batulanon</t>
  </si>
  <si>
    <t>Eutiquio Jr.</t>
  </si>
  <si>
    <t>09507590304</t>
  </si>
  <si>
    <t>Saure</t>
  </si>
  <si>
    <t>Renero</t>
  </si>
  <si>
    <t>Ambaic</t>
  </si>
  <si>
    <t>Alejandro Jr.</t>
  </si>
  <si>
    <t>Rosales</t>
  </si>
  <si>
    <t>09817946500</t>
  </si>
  <si>
    <t>Rene</t>
  </si>
  <si>
    <t>Ramos</t>
  </si>
  <si>
    <t>Angela</t>
  </si>
  <si>
    <t>09075723750</t>
  </si>
  <si>
    <t>Corella Aqua Farmers Association</t>
  </si>
  <si>
    <t>09655740397</t>
  </si>
  <si>
    <t>Marilyn Gaterin</t>
  </si>
  <si>
    <t>June 3-14</t>
  </si>
  <si>
    <t xml:space="preserve">Female </t>
  </si>
  <si>
    <t>UBFF</t>
  </si>
  <si>
    <t>Bal Thomas Samijon</t>
  </si>
  <si>
    <t>Villanueva</t>
  </si>
  <si>
    <t>Irma</t>
  </si>
  <si>
    <t>Tilapia broodstocks</t>
  </si>
  <si>
    <t>Libardo</t>
  </si>
  <si>
    <t>Mario</t>
  </si>
  <si>
    <t>Calunasan</t>
  </si>
  <si>
    <t>Luminario</t>
  </si>
  <si>
    <t>09554900352</t>
  </si>
  <si>
    <t xml:space="preserve">Cabulao </t>
  </si>
  <si>
    <t>Matin-ao</t>
  </si>
  <si>
    <t>0997741817</t>
  </si>
  <si>
    <t>Abello</t>
  </si>
  <si>
    <t>Joselito</t>
  </si>
  <si>
    <t>Logico</t>
  </si>
  <si>
    <t>Orlando</t>
  </si>
  <si>
    <t>09456810477</t>
  </si>
  <si>
    <t>Batausa</t>
  </si>
  <si>
    <t>John Paul</t>
  </si>
  <si>
    <t>09456807273</t>
  </si>
  <si>
    <t>Medel</t>
  </si>
  <si>
    <t>09563526568</t>
  </si>
  <si>
    <t>Gwendolyn</t>
  </si>
  <si>
    <t>Eusie</t>
  </si>
  <si>
    <t xml:space="preserve">Sandimas </t>
  </si>
  <si>
    <t>Rowena</t>
  </si>
  <si>
    <t>09473562852</t>
  </si>
  <si>
    <t>Florentino Jr.</t>
  </si>
  <si>
    <t>Shirley</t>
  </si>
  <si>
    <t xml:space="preserve">Ybañez </t>
  </si>
  <si>
    <t xml:space="preserve">Paypa </t>
  </si>
  <si>
    <t>Panfilo Jr.</t>
  </si>
  <si>
    <t>Lumagod</t>
  </si>
  <si>
    <t>Alexander</t>
  </si>
  <si>
    <t>Adiro</t>
  </si>
  <si>
    <t>Janito</t>
  </si>
  <si>
    <t>Balaba</t>
  </si>
  <si>
    <t xml:space="preserve">Can-oling </t>
  </si>
  <si>
    <t>Mateo</t>
  </si>
  <si>
    <t>Milloria</t>
  </si>
  <si>
    <t>Jerel</t>
  </si>
  <si>
    <t>09958854839</t>
  </si>
  <si>
    <t>Wilson</t>
  </si>
  <si>
    <t>09926343238</t>
  </si>
  <si>
    <t>Aparicio</t>
  </si>
  <si>
    <t>Placido</t>
  </si>
  <si>
    <t>Lapacan Norte</t>
  </si>
  <si>
    <t>09509513535</t>
  </si>
  <si>
    <t>Sumailo</t>
  </si>
  <si>
    <t>Gonzaga</t>
  </si>
  <si>
    <t>Kang-iras</t>
  </si>
  <si>
    <t>June 18-24</t>
  </si>
  <si>
    <t>Koi</t>
  </si>
  <si>
    <t>Broodstocks</t>
  </si>
  <si>
    <t>09126568492</t>
  </si>
  <si>
    <t>Roel</t>
  </si>
  <si>
    <t>09096672398</t>
  </si>
  <si>
    <t>Divino</t>
  </si>
  <si>
    <t>Delfin Jr.</t>
  </si>
  <si>
    <t>Jepsen</t>
  </si>
  <si>
    <t>Violeta</t>
  </si>
  <si>
    <t>Dabasol</t>
  </si>
  <si>
    <t>Emeldine</t>
  </si>
  <si>
    <t>Mandaug Gamay</t>
  </si>
  <si>
    <t>09813895889</t>
  </si>
  <si>
    <t>09356643315</t>
  </si>
  <si>
    <t>Añosa</t>
  </si>
  <si>
    <t>Torrentira</t>
  </si>
  <si>
    <t>Edison</t>
  </si>
  <si>
    <t>09468723404</t>
  </si>
  <si>
    <t>Auxtero</t>
  </si>
  <si>
    <t>David</t>
  </si>
  <si>
    <t xml:space="preserve">Bahinting </t>
  </si>
  <si>
    <t>Ismael</t>
  </si>
  <si>
    <t>Paran</t>
  </si>
  <si>
    <t>Gerrylito</t>
  </si>
  <si>
    <t>09702562395</t>
  </si>
  <si>
    <t xml:space="preserve">Omos </t>
  </si>
  <si>
    <t>Darwin</t>
  </si>
  <si>
    <t>09505488111</t>
  </si>
  <si>
    <t>Torotot</t>
  </si>
  <si>
    <t>Ernesto</t>
  </si>
  <si>
    <t>09467189454</t>
  </si>
  <si>
    <t>Boaquin</t>
  </si>
  <si>
    <t>09098520338</t>
  </si>
  <si>
    <t>Camposo</t>
  </si>
  <si>
    <t>Kris</t>
  </si>
  <si>
    <t>Quisto</t>
  </si>
  <si>
    <t>Eddie</t>
  </si>
  <si>
    <t>Hinlayagan</t>
  </si>
  <si>
    <t>09759159554</t>
  </si>
  <si>
    <t>Panotsol</t>
  </si>
  <si>
    <t>Virginia</t>
  </si>
  <si>
    <t>09303372897</t>
  </si>
  <si>
    <t>Laborte</t>
  </si>
  <si>
    <t>Jonel</t>
  </si>
  <si>
    <t>09151093956</t>
  </si>
  <si>
    <t>June 25-26</t>
  </si>
  <si>
    <r>
      <t>Total No. Of Beneficiaries:</t>
    </r>
    <r>
      <rPr>
        <b/>
        <u/>
        <sz val="10"/>
        <color rgb="FFFF0000"/>
        <rFont val="Arial"/>
        <family val="2"/>
      </rPr>
      <t xml:space="preserve"> </t>
    </r>
    <r>
      <rPr>
        <b/>
        <sz val="10"/>
        <color rgb="FFFF0000"/>
        <rFont val="Arial"/>
        <family val="2"/>
      </rPr>
      <t>99</t>
    </r>
  </si>
  <si>
    <t>June 3-13</t>
  </si>
  <si>
    <r>
      <t>Total No. Of Beneficiaries:</t>
    </r>
    <r>
      <rPr>
        <b/>
        <u/>
        <sz val="10"/>
        <color rgb="FFFF0000"/>
        <rFont val="Arial"/>
        <family val="2"/>
      </rPr>
      <t xml:space="preserve"> </t>
    </r>
  </si>
  <si>
    <t>Roman</t>
  </si>
  <si>
    <t>Galisa</t>
  </si>
  <si>
    <t>Mae</t>
  </si>
  <si>
    <t>09496460724</t>
  </si>
  <si>
    <t>Ganas</t>
  </si>
  <si>
    <t>Aida</t>
  </si>
  <si>
    <t>09559851083</t>
  </si>
  <si>
    <t>Degamo</t>
  </si>
  <si>
    <t>Kyle Ian</t>
  </si>
  <si>
    <t>09505204051</t>
  </si>
  <si>
    <t>Nuyad</t>
  </si>
  <si>
    <t>Felipe</t>
  </si>
  <si>
    <t>09392572533</t>
  </si>
  <si>
    <t>Quiño</t>
  </si>
  <si>
    <t>Julius</t>
  </si>
  <si>
    <t>09165505434</t>
  </si>
  <si>
    <t>Socorin</t>
  </si>
  <si>
    <t>Gilberto</t>
  </si>
  <si>
    <t>Ilaya</t>
  </si>
  <si>
    <t>Ho</t>
  </si>
  <si>
    <t>Joey</t>
  </si>
  <si>
    <t>Basdacu</t>
  </si>
  <si>
    <t>09850805110</t>
  </si>
  <si>
    <t>July 2024</t>
  </si>
  <si>
    <t>LGU-Sevilla, Bohol</t>
  </si>
  <si>
    <t>Teresa Solon</t>
  </si>
  <si>
    <t>09302864761</t>
  </si>
  <si>
    <t>Flores</t>
  </si>
  <si>
    <t>Lemuel</t>
  </si>
  <si>
    <t>Dela Torre</t>
  </si>
  <si>
    <t>Amihan</t>
  </si>
  <si>
    <t>Josemel</t>
  </si>
  <si>
    <t>09260958551</t>
  </si>
  <si>
    <t>Gamurot</t>
  </si>
  <si>
    <t>Tiguis</t>
  </si>
  <si>
    <t>Cequiña</t>
  </si>
  <si>
    <t>Expedito</t>
  </si>
  <si>
    <t>Supeza</t>
  </si>
  <si>
    <t>La Esperenza</t>
  </si>
  <si>
    <t>Veter</t>
  </si>
  <si>
    <t>Lubang</t>
  </si>
  <si>
    <t>Olmillo</t>
  </si>
  <si>
    <t>Lumiguid</t>
  </si>
  <si>
    <t>Jabes</t>
  </si>
  <si>
    <t>09050448262</t>
  </si>
  <si>
    <t>Mangmang</t>
  </si>
  <si>
    <t>Juliser</t>
  </si>
  <si>
    <t>09476976837</t>
  </si>
  <si>
    <t>Sinrihas</t>
  </si>
  <si>
    <t>Nestor</t>
  </si>
  <si>
    <t>09481706088</t>
  </si>
  <si>
    <t>Purol</t>
  </si>
  <si>
    <t>Joecar</t>
  </si>
  <si>
    <t>09494179217</t>
  </si>
  <si>
    <t>Uli</t>
  </si>
  <si>
    <t>Jennifer</t>
  </si>
  <si>
    <t>Canbanugan</t>
  </si>
  <si>
    <t>09382448587</t>
  </si>
  <si>
    <t>Gallo</t>
  </si>
  <si>
    <t>Edelberto Jr.</t>
  </si>
  <si>
    <t>09609408157</t>
  </si>
  <si>
    <t>Pasco</t>
  </si>
  <si>
    <t>Melchor</t>
  </si>
  <si>
    <t>Caayanan</t>
  </si>
  <si>
    <t>Albert Emiliano</t>
  </si>
  <si>
    <t>09154445734</t>
  </si>
  <si>
    <t>Tumalong</t>
  </si>
  <si>
    <t>Carmelita</t>
  </si>
  <si>
    <t>09127878501</t>
  </si>
  <si>
    <t>Hangad</t>
  </si>
  <si>
    <t>Mario Jr.</t>
  </si>
  <si>
    <t>09661647806</t>
  </si>
  <si>
    <t>Oronan</t>
  </si>
  <si>
    <t>Eugene</t>
  </si>
  <si>
    <t>Oberis</t>
  </si>
  <si>
    <t>Jonjie</t>
  </si>
  <si>
    <t>Limo</t>
  </si>
  <si>
    <t>Susan</t>
  </si>
  <si>
    <t>09269478442</t>
  </si>
  <si>
    <t>Bongator</t>
  </si>
  <si>
    <t>Jose</t>
  </si>
  <si>
    <t>09205150492</t>
  </si>
  <si>
    <t>Valentos</t>
  </si>
  <si>
    <t>09637519257</t>
  </si>
  <si>
    <t>Amodia</t>
  </si>
  <si>
    <t>Bual</t>
  </si>
  <si>
    <t>Roseller</t>
  </si>
  <si>
    <t>09956159724</t>
  </si>
  <si>
    <t>Lorna</t>
  </si>
  <si>
    <t>09096831624</t>
  </si>
  <si>
    <t>Membreve</t>
  </si>
  <si>
    <t>Jansen</t>
  </si>
  <si>
    <t>09937340740</t>
  </si>
  <si>
    <t>Planos</t>
  </si>
  <si>
    <t>Joelo</t>
  </si>
  <si>
    <t>09272695726</t>
  </si>
  <si>
    <t>LGU-Loay, Bohol</t>
  </si>
  <si>
    <t>09380697501</t>
  </si>
  <si>
    <t>Francis Solera</t>
  </si>
  <si>
    <t>Perocho</t>
  </si>
  <si>
    <t>Venancio</t>
  </si>
  <si>
    <t>Amisola</t>
  </si>
  <si>
    <t>PFO-Siquijor</t>
  </si>
  <si>
    <t>Larena</t>
  </si>
  <si>
    <t>Helen</t>
  </si>
  <si>
    <t>09359264246</t>
  </si>
  <si>
    <t>Nander Blanco</t>
  </si>
  <si>
    <t>BFAR 7-CVMNDTC</t>
  </si>
  <si>
    <t>Severo Orillosa</t>
  </si>
  <si>
    <t>2 female 3 male</t>
  </si>
  <si>
    <t xml:space="preserve">Jongco </t>
  </si>
  <si>
    <t>Allema</t>
  </si>
  <si>
    <t>09486763387</t>
  </si>
  <si>
    <t>Dumangas</t>
  </si>
  <si>
    <t>Vilma</t>
  </si>
  <si>
    <t>09504169133</t>
  </si>
  <si>
    <t>Remorosa</t>
  </si>
  <si>
    <t>Jeremy</t>
  </si>
  <si>
    <t>09283777735</t>
  </si>
  <si>
    <t>Navarro</t>
  </si>
  <si>
    <t>Knel Andre</t>
  </si>
  <si>
    <t>09661545785</t>
  </si>
  <si>
    <t>Ompoy</t>
  </si>
  <si>
    <t>Roger</t>
  </si>
  <si>
    <t>Libertad Sur</t>
  </si>
  <si>
    <t>09261423827</t>
  </si>
  <si>
    <t>Prisiados</t>
  </si>
  <si>
    <t>Ronalyn</t>
  </si>
  <si>
    <t>09706282759</t>
  </si>
  <si>
    <t>Nuyda</t>
  </si>
  <si>
    <t>Marichu</t>
  </si>
  <si>
    <t>Bantayan</t>
  </si>
  <si>
    <t>Angeline</t>
  </si>
  <si>
    <t>Bravo</t>
  </si>
  <si>
    <t>Soledad</t>
  </si>
  <si>
    <t>Gamus</t>
  </si>
  <si>
    <t>Alfreda</t>
  </si>
  <si>
    <t>Mabuhay</t>
  </si>
  <si>
    <t>Roldan</t>
  </si>
  <si>
    <t>09106242456</t>
  </si>
  <si>
    <t>July 1-9</t>
  </si>
  <si>
    <t>July 11</t>
  </si>
  <si>
    <t>July 10-11</t>
  </si>
  <si>
    <t>July 1-11</t>
  </si>
  <si>
    <t>Vito</t>
  </si>
  <si>
    <t>Lucio</t>
  </si>
  <si>
    <t>Gaas</t>
  </si>
  <si>
    <t>Silvano</t>
  </si>
  <si>
    <t>Cambok Sur</t>
  </si>
  <si>
    <t>09637939924</t>
  </si>
  <si>
    <t>Cepedoza</t>
  </si>
  <si>
    <t>09500373296</t>
  </si>
  <si>
    <t>Alberto</t>
  </si>
  <si>
    <t>Requillo</t>
  </si>
  <si>
    <t>Christelle</t>
  </si>
  <si>
    <t>Buyog Norte</t>
  </si>
  <si>
    <t>09129081541</t>
  </si>
  <si>
    <t>Homberto</t>
  </si>
  <si>
    <t>09994362331</t>
  </si>
  <si>
    <t>Mellonia</t>
  </si>
  <si>
    <t>James Leo</t>
  </si>
  <si>
    <t>Fabiolas</t>
  </si>
  <si>
    <t>Buenaven</t>
  </si>
  <si>
    <t>09772038290</t>
  </si>
  <si>
    <t>Rubilla</t>
  </si>
  <si>
    <t>Bolambot</t>
  </si>
  <si>
    <t>Janice</t>
  </si>
  <si>
    <t>09060631410</t>
  </si>
  <si>
    <t>Lomotso</t>
  </si>
  <si>
    <t>Tajale</t>
  </si>
  <si>
    <t>Nico Albert</t>
  </si>
  <si>
    <t>09532232039</t>
  </si>
  <si>
    <t>Laugo</t>
  </si>
  <si>
    <t>Emily</t>
  </si>
  <si>
    <t>Tiptip</t>
  </si>
  <si>
    <t>09515200638</t>
  </si>
  <si>
    <t>Albert</t>
  </si>
  <si>
    <t>Eshelman</t>
  </si>
  <si>
    <t>Villorejo</t>
  </si>
  <si>
    <t>Jimmy</t>
  </si>
  <si>
    <t>09606160134</t>
  </si>
  <si>
    <t>Danny</t>
  </si>
  <si>
    <t>Infesto</t>
  </si>
  <si>
    <t>Victor</t>
  </si>
  <si>
    <t>09949732387</t>
  </si>
  <si>
    <t>Lomod</t>
  </si>
  <si>
    <t>Arnel</t>
  </si>
  <si>
    <t>Villarcayo</t>
  </si>
  <si>
    <t>09304851088</t>
  </si>
  <si>
    <t>Perez</t>
  </si>
  <si>
    <t>Marciano</t>
  </si>
  <si>
    <t>Macabudbud</t>
  </si>
  <si>
    <t>Allan</t>
  </si>
  <si>
    <t>Quilit</t>
  </si>
  <si>
    <t>Lorena</t>
  </si>
  <si>
    <t>09126936886</t>
  </si>
  <si>
    <t>Sofronio</t>
  </si>
  <si>
    <t>Putingbato</t>
  </si>
  <si>
    <t>Ylaya</t>
  </si>
  <si>
    <t>Jacobo</t>
  </si>
  <si>
    <t>Sagbayan Sur</t>
  </si>
  <si>
    <t>Elmera</t>
  </si>
  <si>
    <t>09395925049</t>
  </si>
  <si>
    <t xml:space="preserve">Dag-um </t>
  </si>
  <si>
    <t>Ronnie</t>
  </si>
  <si>
    <t>09658666569</t>
  </si>
  <si>
    <t>Trago</t>
  </si>
  <si>
    <t>Leonard</t>
  </si>
  <si>
    <t>Reyvin</t>
  </si>
  <si>
    <t>Danahao</t>
  </si>
  <si>
    <t>09463680132</t>
  </si>
  <si>
    <t>Salmasan</t>
  </si>
  <si>
    <t>09092941491</t>
  </si>
  <si>
    <t>Labajo</t>
  </si>
  <si>
    <t>09606760869</t>
  </si>
  <si>
    <t>Laolao</t>
  </si>
  <si>
    <t>Paulo</t>
  </si>
  <si>
    <t>Yecyec</t>
  </si>
  <si>
    <t>Romeo</t>
  </si>
  <si>
    <t>Ugpo</t>
  </si>
  <si>
    <t>Tommi</t>
  </si>
  <si>
    <t>09296765255</t>
  </si>
  <si>
    <t>Carpentero</t>
  </si>
  <si>
    <t>09814474773</t>
  </si>
  <si>
    <t>Fernando</t>
  </si>
  <si>
    <t>09461421901</t>
  </si>
  <si>
    <t>Buslon</t>
  </si>
  <si>
    <t>Jaymar</t>
  </si>
  <si>
    <t>09488679951</t>
  </si>
  <si>
    <t>Seroje</t>
  </si>
  <si>
    <t>John Rafael</t>
  </si>
  <si>
    <t>Hanopol Este</t>
  </si>
  <si>
    <t>09616109007</t>
  </si>
  <si>
    <t>Raotraot</t>
  </si>
  <si>
    <t>Oac</t>
  </si>
  <si>
    <t>09773569538</t>
  </si>
  <si>
    <t>Igcalinos</t>
  </si>
  <si>
    <t>Lico</t>
  </si>
  <si>
    <t>Lanoy</t>
  </si>
  <si>
    <t>Gerson</t>
  </si>
  <si>
    <t>Banga</t>
  </si>
  <si>
    <t>Arnold</t>
  </si>
  <si>
    <t>Bantolinao</t>
  </si>
  <si>
    <t>09204050911</t>
  </si>
  <si>
    <t>Diagbel</t>
  </si>
  <si>
    <t>July 16-19</t>
  </si>
  <si>
    <t>Cabulao</t>
  </si>
  <si>
    <t>Alden</t>
  </si>
  <si>
    <t>09091847873</t>
  </si>
  <si>
    <t xml:space="preserve">Gingo </t>
  </si>
  <si>
    <t>Magsija</t>
  </si>
  <si>
    <t>09309954952</t>
  </si>
  <si>
    <t>Mira</t>
  </si>
  <si>
    <t>Janlud</t>
  </si>
  <si>
    <t>09501260328</t>
  </si>
  <si>
    <t xml:space="preserve">Amba </t>
  </si>
  <si>
    <t>Amado Jr</t>
  </si>
  <si>
    <t>09222619634</t>
  </si>
  <si>
    <t>Dela Peña</t>
  </si>
  <si>
    <t>Fermin</t>
  </si>
  <si>
    <t>Sagarino</t>
  </si>
  <si>
    <t>Joycel</t>
  </si>
  <si>
    <t>09391927846</t>
  </si>
  <si>
    <t>Sellote</t>
  </si>
  <si>
    <t>Christian Vincent</t>
  </si>
  <si>
    <t>09279915927</t>
  </si>
  <si>
    <t>Ruba</t>
  </si>
  <si>
    <t>Juson</t>
  </si>
  <si>
    <t>Wawie</t>
  </si>
  <si>
    <t>09436474299</t>
  </si>
  <si>
    <t>Albit</t>
  </si>
  <si>
    <t>09074637938</t>
  </si>
  <si>
    <t>Lacerda</t>
  </si>
  <si>
    <t>Aniceto Jr.</t>
  </si>
  <si>
    <t>Maldora</t>
  </si>
  <si>
    <t>Lelibeth</t>
  </si>
  <si>
    <t>09759145594</t>
  </si>
  <si>
    <t>Lumantas</t>
  </si>
  <si>
    <t>Godofredo</t>
  </si>
  <si>
    <t>09663317575</t>
  </si>
  <si>
    <t>Tagadiad</t>
  </si>
  <si>
    <t>Estelita</t>
  </si>
  <si>
    <t>09480563455</t>
  </si>
  <si>
    <t>Buhayag</t>
  </si>
  <si>
    <t>Alejandro Sr.</t>
  </si>
  <si>
    <t>Poblacion Weste</t>
  </si>
  <si>
    <t>09166669409</t>
  </si>
  <si>
    <t>Parado</t>
  </si>
  <si>
    <t>Adelaida</t>
  </si>
  <si>
    <t>09813901823</t>
  </si>
  <si>
    <t>Celergia</t>
  </si>
  <si>
    <t>Agapito</t>
  </si>
  <si>
    <t>Banol</t>
  </si>
  <si>
    <t>Mark Ian</t>
  </si>
  <si>
    <t>Mahayag Norte</t>
  </si>
  <si>
    <t>09759530942</t>
  </si>
  <si>
    <t>Cordova</t>
  </si>
  <si>
    <t>Perlita</t>
  </si>
  <si>
    <t>July 23-26</t>
  </si>
  <si>
    <t>Pinat</t>
  </si>
  <si>
    <t>Nunila</t>
  </si>
  <si>
    <t>Bantogan</t>
  </si>
  <si>
    <t>Booy</t>
  </si>
  <si>
    <t>09468404363</t>
  </si>
  <si>
    <t>Baldesco</t>
  </si>
  <si>
    <t>Juncien</t>
  </si>
  <si>
    <t>09078455317</t>
  </si>
  <si>
    <t xml:space="preserve">Sumampong </t>
  </si>
  <si>
    <t>Antonio</t>
  </si>
  <si>
    <t>Buladaco</t>
  </si>
  <si>
    <t>Marlie Ann</t>
  </si>
  <si>
    <t xml:space="preserve">San Pascual </t>
  </si>
  <si>
    <t>09464492975</t>
  </si>
  <si>
    <t>Lim</t>
  </si>
  <si>
    <t>Adela</t>
  </si>
  <si>
    <t>09503316569</t>
  </si>
  <si>
    <t xml:space="preserve">Yagong </t>
  </si>
  <si>
    <t>Curimatmat</t>
  </si>
  <si>
    <t>Alfredo</t>
  </si>
  <si>
    <t>Harigdig</t>
  </si>
  <si>
    <t>Cambailan</t>
  </si>
  <si>
    <t>09664585662</t>
  </si>
  <si>
    <t>Redrablanca</t>
  </si>
  <si>
    <t>Sheila Mae</t>
  </si>
  <si>
    <t>09925257752</t>
  </si>
  <si>
    <t>LGU-Bilar</t>
  </si>
  <si>
    <t>Sheila Mae Redrablanca</t>
  </si>
  <si>
    <t>09977118721</t>
  </si>
  <si>
    <t>Vincent II</t>
  </si>
  <si>
    <t>09282573323</t>
  </si>
  <si>
    <t>Roperos</t>
  </si>
  <si>
    <t>Bebot Jr.</t>
  </si>
  <si>
    <t>09276543078</t>
  </si>
  <si>
    <t>Javate</t>
  </si>
  <si>
    <t>Karen Mae</t>
  </si>
  <si>
    <t>Dela Cerna</t>
  </si>
  <si>
    <t>Ompad</t>
  </si>
  <si>
    <t>Busongon</t>
  </si>
  <si>
    <t>09859096753</t>
  </si>
  <si>
    <t>Felipeneri</t>
  </si>
  <si>
    <t>09999718141</t>
  </si>
  <si>
    <t>Montojo</t>
  </si>
  <si>
    <t>Aden</t>
  </si>
  <si>
    <t>July 26-29</t>
  </si>
  <si>
    <t>July 29</t>
  </si>
  <si>
    <t>2024 CFFF PRODUCTION</t>
  </si>
  <si>
    <t>August 2024</t>
  </si>
  <si>
    <t xml:space="preserve">Anzano </t>
  </si>
  <si>
    <t>Jolito Jr</t>
  </si>
  <si>
    <t>09661558291</t>
  </si>
  <si>
    <t>Tocmo</t>
  </si>
  <si>
    <t>Rosalyn</t>
  </si>
  <si>
    <t>09295599863</t>
  </si>
  <si>
    <t>Ranilo</t>
  </si>
  <si>
    <t>Pelpinosas</t>
  </si>
  <si>
    <t>09079133325</t>
  </si>
  <si>
    <t>Yagong</t>
  </si>
  <si>
    <t>Aaron John</t>
  </si>
  <si>
    <t xml:space="preserve">Bapor </t>
  </si>
  <si>
    <t>Dondon</t>
  </si>
  <si>
    <t>09364538649</t>
  </si>
  <si>
    <t>Silangan</t>
  </si>
  <si>
    <t>Bagtik</t>
  </si>
  <si>
    <t>Angcong</t>
  </si>
  <si>
    <t>Nilo</t>
  </si>
  <si>
    <t>Bugso</t>
  </si>
  <si>
    <t>Villanil</t>
  </si>
  <si>
    <t>Jerry</t>
  </si>
  <si>
    <t>Dait Norte</t>
  </si>
  <si>
    <t>Francisco</t>
  </si>
  <si>
    <t xml:space="preserve">Calatrava </t>
  </si>
  <si>
    <t>09302779090</t>
  </si>
  <si>
    <t>Norman</t>
  </si>
  <si>
    <t>Garcia</t>
  </si>
  <si>
    <t>09303337968</t>
  </si>
  <si>
    <t>Suson</t>
  </si>
  <si>
    <t>Jonas</t>
  </si>
  <si>
    <t>Tuquib</t>
  </si>
  <si>
    <t>Tessie</t>
  </si>
  <si>
    <t>09217602927</t>
  </si>
  <si>
    <t>Tanduyan</t>
  </si>
  <si>
    <t>Alo</t>
  </si>
  <si>
    <t>Anita</t>
  </si>
  <si>
    <t>09362617296</t>
  </si>
  <si>
    <t>Agon</t>
  </si>
  <si>
    <t>Juanito</t>
  </si>
  <si>
    <t>Pamugas</t>
  </si>
  <si>
    <t>Daisybell</t>
  </si>
  <si>
    <t>Vistal</t>
  </si>
  <si>
    <t>Renato</t>
  </si>
  <si>
    <t>Boyet</t>
  </si>
  <si>
    <t>Bitasolo</t>
  </si>
  <si>
    <t>09361682069</t>
  </si>
  <si>
    <t>Haguilanan</t>
  </si>
  <si>
    <t>Ollanas</t>
  </si>
  <si>
    <t>Jacob</t>
  </si>
  <si>
    <t>Marcelo</t>
  </si>
  <si>
    <t>Escudero</t>
  </si>
  <si>
    <t>Diosdado Jr.</t>
  </si>
  <si>
    <t>09633589415</t>
  </si>
  <si>
    <t>Tanoco</t>
  </si>
  <si>
    <t>Rogelio</t>
  </si>
  <si>
    <t>Lamoste</t>
  </si>
  <si>
    <t>Calixto</t>
  </si>
  <si>
    <t>09973873733</t>
  </si>
  <si>
    <t>Saayman</t>
  </si>
  <si>
    <t>Shae</t>
  </si>
  <si>
    <t>09270076210</t>
  </si>
  <si>
    <t>Salpocial</t>
  </si>
  <si>
    <t>Jason</t>
  </si>
  <si>
    <t>092334310226</t>
  </si>
  <si>
    <t>Gibalay</t>
  </si>
  <si>
    <t>09356734611</t>
  </si>
  <si>
    <t xml:space="preserve">Revilla </t>
  </si>
  <si>
    <t>Marvin Peter</t>
  </si>
  <si>
    <t>09558006193</t>
  </si>
  <si>
    <t>Macalam</t>
  </si>
  <si>
    <t>Hermes Sr.</t>
  </si>
  <si>
    <t>Canlangit</t>
  </si>
  <si>
    <t>Nonito</t>
  </si>
  <si>
    <t>09949134900</t>
  </si>
  <si>
    <t xml:space="preserve">Boaquin </t>
  </si>
  <si>
    <t>09104065135</t>
  </si>
  <si>
    <t>Tangcawan</t>
  </si>
  <si>
    <t>Ariel John</t>
  </si>
  <si>
    <t>09456583351</t>
  </si>
  <si>
    <t>Saletrero</t>
  </si>
  <si>
    <t>Elmerio</t>
  </si>
  <si>
    <t>09505525890</t>
  </si>
  <si>
    <t>Elmerio Saletrero</t>
  </si>
  <si>
    <t>09292533387</t>
  </si>
  <si>
    <t>Andales</t>
  </si>
  <si>
    <t>09565220394</t>
  </si>
  <si>
    <t>Ampoloquio</t>
  </si>
  <si>
    <t>Gregorio</t>
  </si>
  <si>
    <t>Butron</t>
  </si>
  <si>
    <t>Karkainen</t>
  </si>
  <si>
    <t>Luiza</t>
  </si>
  <si>
    <t>Doljo</t>
  </si>
  <si>
    <t>Coscos</t>
  </si>
  <si>
    <t>Norberto</t>
  </si>
  <si>
    <t>Pahamutang</t>
  </si>
  <si>
    <t>Jestoni</t>
  </si>
  <si>
    <t>09484647865</t>
  </si>
  <si>
    <t>Moreno</t>
  </si>
  <si>
    <t>Procoro</t>
  </si>
  <si>
    <t>Julius Jay</t>
  </si>
  <si>
    <t>09279171769</t>
  </si>
  <si>
    <t>Nicasio</t>
  </si>
  <si>
    <t>09512351775</t>
  </si>
  <si>
    <t>Pancho</t>
  </si>
  <si>
    <t>Manuelito</t>
  </si>
  <si>
    <t>Leo</t>
  </si>
  <si>
    <t>Manatad</t>
  </si>
  <si>
    <t>Bayag</t>
  </si>
  <si>
    <t xml:space="preserve">Indiana </t>
  </si>
  <si>
    <t>Brendo</t>
  </si>
  <si>
    <t>09078395488</t>
  </si>
  <si>
    <t>Mariana</t>
  </si>
  <si>
    <t>09502317676</t>
  </si>
  <si>
    <t xml:space="preserve">Bulala </t>
  </si>
  <si>
    <t>09121253424</t>
  </si>
  <si>
    <t>Gelicame</t>
  </si>
  <si>
    <t>Cansubayon</t>
  </si>
  <si>
    <t>Ngujo</t>
  </si>
  <si>
    <t>Gaterin</t>
  </si>
  <si>
    <t>Marilyn</t>
  </si>
  <si>
    <t>Tanday</t>
  </si>
  <si>
    <t>LGU-Corella</t>
  </si>
  <si>
    <t>Campecino</t>
  </si>
  <si>
    <t>Joan</t>
  </si>
  <si>
    <t>Manga</t>
  </si>
  <si>
    <t>09055489451</t>
  </si>
  <si>
    <t>Gandulfos</t>
  </si>
  <si>
    <t>Jhon</t>
  </si>
  <si>
    <t>09050424911</t>
  </si>
  <si>
    <t>Michael</t>
  </si>
  <si>
    <t>09759161371</t>
  </si>
  <si>
    <t xml:space="preserve">Dacul </t>
  </si>
  <si>
    <t>Jesah</t>
  </si>
  <si>
    <t>09108773608</t>
  </si>
  <si>
    <t>Primo</t>
  </si>
  <si>
    <t>Baguhan</t>
  </si>
  <si>
    <t>09685858458</t>
  </si>
  <si>
    <t>Dureo</t>
  </si>
  <si>
    <t>Dagala</t>
  </si>
  <si>
    <t>Dexter Niño</t>
  </si>
  <si>
    <t>Tulang</t>
  </si>
  <si>
    <t>09606766905</t>
  </si>
  <si>
    <t>Awing</t>
  </si>
  <si>
    <t>Niño</t>
  </si>
  <si>
    <t>09333342682</t>
  </si>
  <si>
    <t xml:space="preserve">Gamorot </t>
  </si>
  <si>
    <t>09661563338</t>
  </si>
  <si>
    <t xml:space="preserve">Wahing </t>
  </si>
  <si>
    <t>Lorenzo</t>
  </si>
  <si>
    <t>Tandog</t>
  </si>
  <si>
    <t>Charice Mae</t>
  </si>
  <si>
    <t>09562010385</t>
  </si>
  <si>
    <t>Erica</t>
  </si>
  <si>
    <t>Tandugon</t>
  </si>
  <si>
    <t>Anthony</t>
  </si>
  <si>
    <t>09519978991</t>
  </si>
  <si>
    <t>Lilibeth</t>
  </si>
  <si>
    <t>09662584002</t>
  </si>
  <si>
    <t>Tiongco</t>
  </si>
  <si>
    <t>Lesthel</t>
  </si>
  <si>
    <t>Irenea</t>
  </si>
  <si>
    <t>09677040318</t>
  </si>
  <si>
    <t>Marcela Farms</t>
  </si>
  <si>
    <t>Catagbacan</t>
  </si>
  <si>
    <t>09176297279</t>
  </si>
  <si>
    <t>Santos Salimbangon</t>
  </si>
  <si>
    <t>Mencina</t>
  </si>
  <si>
    <t>09395213493</t>
  </si>
  <si>
    <t>Dupa</t>
  </si>
  <si>
    <t>09946433614</t>
  </si>
  <si>
    <t>Sablas</t>
  </si>
  <si>
    <t>Julieta</t>
  </si>
  <si>
    <t>Libertad Norte</t>
  </si>
  <si>
    <t>09096800749</t>
  </si>
  <si>
    <t>August 1-6</t>
  </si>
  <si>
    <t>Aug 2-6</t>
  </si>
  <si>
    <t xml:space="preserve">Femal </t>
  </si>
  <si>
    <t>Annabelle Lanoy</t>
  </si>
  <si>
    <t>Baay</t>
  </si>
  <si>
    <t>Ma. Lorme</t>
  </si>
  <si>
    <t>Cabigohan</t>
  </si>
  <si>
    <t>09384698302</t>
  </si>
  <si>
    <t>Balili</t>
  </si>
  <si>
    <t>Medardo</t>
  </si>
  <si>
    <t>09128130120</t>
  </si>
  <si>
    <t>Turbiso</t>
  </si>
  <si>
    <t>Julieto</t>
  </si>
  <si>
    <t>09071488792</t>
  </si>
  <si>
    <t>Limbago</t>
  </si>
  <si>
    <t>Escabas</t>
  </si>
  <si>
    <t>Anselmo</t>
  </si>
  <si>
    <t>Sumayaya</t>
  </si>
  <si>
    <t>Buenvinedo</t>
  </si>
  <si>
    <t>Elpedio</t>
  </si>
  <si>
    <t>Parinasan</t>
  </si>
  <si>
    <t>Henara</t>
  </si>
  <si>
    <t>Liloan Norte</t>
  </si>
  <si>
    <t>Eddie Menajon</t>
  </si>
  <si>
    <t>Arellano Blvd.</t>
  </si>
  <si>
    <t>Rico Ynot</t>
  </si>
  <si>
    <t xml:space="preserve">Villanueva </t>
  </si>
  <si>
    <t>Ytem</t>
  </si>
  <si>
    <t>Glenn Lesther</t>
  </si>
  <si>
    <t>09075313804</t>
  </si>
  <si>
    <t>Tirso</t>
  </si>
  <si>
    <t>09505530897</t>
  </si>
  <si>
    <t xml:space="preserve">Gorosin </t>
  </si>
  <si>
    <t>Floribel</t>
  </si>
  <si>
    <t>Matunhay</t>
  </si>
  <si>
    <t>09216328604</t>
  </si>
  <si>
    <t>Blaya</t>
  </si>
  <si>
    <t>Chiquito</t>
  </si>
  <si>
    <t>09512336419</t>
  </si>
  <si>
    <t>Doydoy</t>
  </si>
  <si>
    <t>Jimboy</t>
  </si>
  <si>
    <t>09388288326</t>
  </si>
  <si>
    <t>Borja</t>
  </si>
  <si>
    <t>09176294231</t>
  </si>
  <si>
    <t xml:space="preserve">Pacaldo </t>
  </si>
  <si>
    <t>09480549154</t>
  </si>
  <si>
    <t>Estillore</t>
  </si>
  <si>
    <t>09486150740</t>
  </si>
  <si>
    <t>Chaves</t>
  </si>
  <si>
    <t>Maximo Jr.</t>
  </si>
  <si>
    <t>Cantuba</t>
  </si>
  <si>
    <t>09950366040</t>
  </si>
  <si>
    <t>Anagon</t>
  </si>
  <si>
    <t>Rosalio</t>
  </si>
  <si>
    <t>09656791745</t>
  </si>
  <si>
    <t>Sumalinog</t>
  </si>
  <si>
    <t>Poncia</t>
  </si>
  <si>
    <t>Ponciano</t>
  </si>
  <si>
    <t>09472828224</t>
  </si>
  <si>
    <t>Torreon</t>
  </si>
  <si>
    <t>Bato</t>
  </si>
  <si>
    <t>09179439972</t>
  </si>
  <si>
    <t>Dait</t>
  </si>
  <si>
    <t>09471668948</t>
  </si>
  <si>
    <t>Lacierda</t>
  </si>
  <si>
    <t>09958296386</t>
  </si>
  <si>
    <t>Gudarido</t>
  </si>
  <si>
    <t>Virgel Marion</t>
  </si>
  <si>
    <t>Tagum Sur</t>
  </si>
  <si>
    <t>09925538684</t>
  </si>
  <si>
    <t>09655772394</t>
  </si>
  <si>
    <t>Cartoneros</t>
  </si>
  <si>
    <t>Bagacay</t>
  </si>
  <si>
    <t>Tagsip</t>
  </si>
  <si>
    <t>09302933951</t>
  </si>
  <si>
    <t>Ajoc</t>
  </si>
  <si>
    <t>Benjamin</t>
  </si>
  <si>
    <t>09610464996</t>
  </si>
  <si>
    <t>Cresencio</t>
  </si>
  <si>
    <t>Tanquilan</t>
  </si>
  <si>
    <t>Rube</t>
  </si>
  <si>
    <t>Baloria</t>
  </si>
  <si>
    <t>Cabawan</t>
  </si>
  <si>
    <t>09468184590</t>
  </si>
  <si>
    <t>Dumandan</t>
  </si>
  <si>
    <t>Pilaria</t>
  </si>
  <si>
    <t>09461730523</t>
  </si>
  <si>
    <t>Marcos</t>
  </si>
  <si>
    <t>09070998165</t>
  </si>
  <si>
    <t>Agocoy</t>
  </si>
  <si>
    <t>Antonio Jr</t>
  </si>
  <si>
    <t>Cansague Sur</t>
  </si>
  <si>
    <t>09302333877</t>
  </si>
  <si>
    <t>Buaya</t>
  </si>
  <si>
    <t>Tito</t>
  </si>
  <si>
    <t>09095255667</t>
  </si>
  <si>
    <t>Osunil</t>
  </si>
  <si>
    <t>Gabriel</t>
  </si>
  <si>
    <t>09771361016</t>
  </si>
  <si>
    <t>Jumawid</t>
  </si>
  <si>
    <t>Crispin</t>
  </si>
  <si>
    <t>09099995355</t>
  </si>
  <si>
    <t>Espejo</t>
  </si>
  <si>
    <t>Ernie</t>
  </si>
  <si>
    <t>09518711693</t>
  </si>
  <si>
    <t>Maglajos</t>
  </si>
  <si>
    <t>Misael</t>
  </si>
  <si>
    <t>09232847082</t>
  </si>
  <si>
    <t>Orang</t>
  </si>
  <si>
    <t>Marites</t>
  </si>
  <si>
    <t>09382691467</t>
  </si>
  <si>
    <t>Sullano</t>
  </si>
  <si>
    <t>Genaro</t>
  </si>
  <si>
    <t>09499370730</t>
  </si>
  <si>
    <t>Calingacion</t>
  </si>
  <si>
    <t>09813892662</t>
  </si>
  <si>
    <t>Rubin</t>
  </si>
  <si>
    <t>Salces</t>
  </si>
  <si>
    <t>Donald</t>
  </si>
  <si>
    <t>09078320830</t>
  </si>
  <si>
    <t>Maestrado</t>
  </si>
  <si>
    <t>Dodie</t>
  </si>
  <si>
    <t>Abacharan</t>
  </si>
  <si>
    <t>09266112428</t>
  </si>
  <si>
    <t>Tagaytay</t>
  </si>
  <si>
    <t>Adelfa</t>
  </si>
  <si>
    <t>09173074599</t>
  </si>
  <si>
    <t>Manching</t>
  </si>
  <si>
    <t>09674195066</t>
  </si>
  <si>
    <t>Busano</t>
  </si>
  <si>
    <t>Gemer</t>
  </si>
  <si>
    <t>09077622961</t>
  </si>
  <si>
    <t>Jacinto</t>
  </si>
  <si>
    <t>09924942282</t>
  </si>
  <si>
    <t>August 8-14</t>
  </si>
  <si>
    <t>LGU-Buenavista</t>
  </si>
  <si>
    <t>Lino Divinagracia</t>
  </si>
  <si>
    <t xml:space="preserve">2 male </t>
  </si>
  <si>
    <t>Bonghanoy</t>
  </si>
  <si>
    <t>Jacob Isidore</t>
  </si>
  <si>
    <t>09533340999</t>
  </si>
  <si>
    <t>09234310226</t>
  </si>
  <si>
    <t>09773220290</t>
  </si>
  <si>
    <t>Anzano</t>
  </si>
  <si>
    <t>Adrian</t>
  </si>
  <si>
    <t>Sua</t>
  </si>
  <si>
    <t>09754507491</t>
  </si>
  <si>
    <t>Ryan Greg</t>
  </si>
  <si>
    <t>Cabiguhan</t>
  </si>
  <si>
    <t>09502270471</t>
  </si>
  <si>
    <t>Bag-ao</t>
  </si>
  <si>
    <t>Cantigdas</t>
  </si>
  <si>
    <t>09059052819</t>
  </si>
  <si>
    <t>LGU-Baclayon</t>
  </si>
  <si>
    <t>09525093133</t>
  </si>
  <si>
    <t>Cresente Bernaldez</t>
  </si>
  <si>
    <t>LGU-Loboc</t>
  </si>
  <si>
    <t>09510776676</t>
  </si>
  <si>
    <t>Raymart G. Lomay</t>
  </si>
  <si>
    <t>Omapas</t>
  </si>
  <si>
    <t>Conrado</t>
  </si>
  <si>
    <t>Mahayag Sur</t>
  </si>
  <si>
    <t>09289136968</t>
  </si>
  <si>
    <t>Magdua</t>
  </si>
  <si>
    <t>Felomino II</t>
  </si>
  <si>
    <t>09979927942</t>
  </si>
  <si>
    <t>Jayson</t>
  </si>
  <si>
    <t>09776210370</t>
  </si>
  <si>
    <t>Estorgio</t>
  </si>
  <si>
    <t>Lilie</t>
  </si>
  <si>
    <t>09506656881</t>
  </si>
  <si>
    <t>Jumamoy</t>
  </si>
  <si>
    <t>Boy</t>
  </si>
  <si>
    <t>09198680200</t>
  </si>
  <si>
    <t>Tagayong</t>
  </si>
  <si>
    <t>09193937723</t>
  </si>
  <si>
    <t>Baritua</t>
  </si>
  <si>
    <t>Jose Carlo</t>
  </si>
  <si>
    <t>09165332472</t>
  </si>
  <si>
    <t>James</t>
  </si>
  <si>
    <t>09461833223</t>
  </si>
  <si>
    <t>Frelan</t>
  </si>
  <si>
    <t>Sambayon</t>
  </si>
  <si>
    <t>Lilia</t>
  </si>
  <si>
    <t>Aloha</t>
  </si>
  <si>
    <t>Palingcod</t>
  </si>
  <si>
    <t>Rosaryohan</t>
  </si>
  <si>
    <t>09262949042</t>
  </si>
  <si>
    <t>Gerald</t>
  </si>
  <si>
    <t>Jamel</t>
  </si>
  <si>
    <t>Eugenia</t>
  </si>
  <si>
    <t>09667564563</t>
  </si>
  <si>
    <t>LGU-Batuan</t>
  </si>
  <si>
    <t>Antonino Pancho</t>
  </si>
  <si>
    <t>August 14-19</t>
  </si>
  <si>
    <t>Aug 7-14</t>
  </si>
  <si>
    <t>Aug 15-19</t>
  </si>
  <si>
    <t>3 male</t>
  </si>
  <si>
    <t>Larson</t>
  </si>
  <si>
    <t>Flordeliza</t>
  </si>
  <si>
    <t>09369411255</t>
  </si>
  <si>
    <t>Ampasil</t>
  </si>
  <si>
    <t>Cerelo</t>
  </si>
  <si>
    <t>09814000288</t>
  </si>
  <si>
    <t>Yon</t>
  </si>
  <si>
    <t xml:space="preserve">Bonajos </t>
  </si>
  <si>
    <t>09125363239</t>
  </si>
  <si>
    <t xml:space="preserve">Mesiona </t>
  </si>
  <si>
    <t>Miguel</t>
  </si>
  <si>
    <t>09399183894</t>
  </si>
  <si>
    <t>Jorge</t>
  </si>
  <si>
    <t>Gumer</t>
  </si>
  <si>
    <t>09500343320</t>
  </si>
  <si>
    <t>Jesus</t>
  </si>
  <si>
    <t>Ramel</t>
  </si>
  <si>
    <t>09703813259</t>
  </si>
  <si>
    <t>Bitagan</t>
  </si>
  <si>
    <t>Malano</t>
  </si>
  <si>
    <t>Clydel June</t>
  </si>
  <si>
    <t>09921935568</t>
  </si>
  <si>
    <t>Claire Cagalitan</t>
  </si>
  <si>
    <t>Margarito</t>
  </si>
  <si>
    <t>Mantacida</t>
  </si>
  <si>
    <t>Laguros</t>
  </si>
  <si>
    <t>Geraldo</t>
  </si>
  <si>
    <t>Dumadag</t>
  </si>
  <si>
    <t>Abundio</t>
  </si>
  <si>
    <t>Bebelyn</t>
  </si>
  <si>
    <t>Suaybaguio</t>
  </si>
  <si>
    <t>Christian</t>
  </si>
  <si>
    <t>09359780284</t>
  </si>
  <si>
    <t>09304278839</t>
  </si>
  <si>
    <t>Dario</t>
  </si>
  <si>
    <t>Teopiz</t>
  </si>
  <si>
    <t>Eric</t>
  </si>
  <si>
    <t>San Francisco</t>
  </si>
  <si>
    <t>09263410564</t>
  </si>
  <si>
    <t>Lord Mawin</t>
  </si>
  <si>
    <t>09308789957</t>
  </si>
  <si>
    <t>Baguio</t>
  </si>
  <si>
    <t>Ulbujan</t>
  </si>
  <si>
    <t>09208343323</t>
  </si>
  <si>
    <t>Adriano</t>
  </si>
  <si>
    <t>09754507991</t>
  </si>
  <si>
    <t>Paekan</t>
  </si>
  <si>
    <t>Bolo</t>
  </si>
  <si>
    <t>Rodulfo</t>
  </si>
  <si>
    <t>09063296932</t>
  </si>
  <si>
    <t>Caloyloy</t>
  </si>
  <si>
    <t>Abondio</t>
  </si>
  <si>
    <t>09155079148</t>
  </si>
  <si>
    <t>Mandin</t>
  </si>
  <si>
    <t>Elizabeth</t>
  </si>
  <si>
    <t>09773428209</t>
  </si>
  <si>
    <t>Forthon</t>
  </si>
  <si>
    <t>09483211431</t>
  </si>
  <si>
    <t>Maraat</t>
  </si>
  <si>
    <t>Julita</t>
  </si>
  <si>
    <t>09635309087</t>
  </si>
  <si>
    <t>Boyog Proper</t>
  </si>
  <si>
    <t>Agta</t>
  </si>
  <si>
    <t>Pablo</t>
  </si>
  <si>
    <t>Catoc</t>
  </si>
  <si>
    <t>Fidel</t>
  </si>
  <si>
    <t>Boyog Sur</t>
  </si>
  <si>
    <t>Alabado</t>
  </si>
  <si>
    <t>Jemmuel</t>
  </si>
  <si>
    <t>Leonardo</t>
  </si>
  <si>
    <t>Del Rosario</t>
  </si>
  <si>
    <t>Cagabcab</t>
  </si>
  <si>
    <t>Dominic</t>
  </si>
  <si>
    <t>Sagasa</t>
  </si>
  <si>
    <t>Gemine</t>
  </si>
  <si>
    <t>Greno</t>
  </si>
  <si>
    <t>09069484290</t>
  </si>
  <si>
    <t>Cempron</t>
  </si>
  <si>
    <t>Lexter</t>
  </si>
  <si>
    <t>Lomocho</t>
  </si>
  <si>
    <t>Cansaque Sur</t>
  </si>
  <si>
    <t>Vaño</t>
  </si>
  <si>
    <t>Novo</t>
  </si>
  <si>
    <t>Delia</t>
  </si>
  <si>
    <t>09094486759</t>
  </si>
  <si>
    <t>Amba</t>
  </si>
  <si>
    <t>09759153928</t>
  </si>
  <si>
    <t>Bulawan</t>
  </si>
  <si>
    <t>Mariel</t>
  </si>
  <si>
    <t>Mella</t>
  </si>
  <si>
    <t>Emilio</t>
  </si>
  <si>
    <t>09705013845</t>
  </si>
  <si>
    <t>09074331470</t>
  </si>
  <si>
    <t>Villamia</t>
  </si>
  <si>
    <t>Jay</t>
  </si>
  <si>
    <t>09512400866</t>
  </si>
  <si>
    <t>Juit</t>
  </si>
  <si>
    <t>Rachil</t>
  </si>
  <si>
    <t>09858845584</t>
  </si>
  <si>
    <t>Merano</t>
  </si>
  <si>
    <t>Edgardo</t>
  </si>
  <si>
    <t>Cabral</t>
  </si>
  <si>
    <t>09329277235</t>
  </si>
  <si>
    <t>Erlinda</t>
  </si>
  <si>
    <t>09462692224</t>
  </si>
  <si>
    <t>Betaizar</t>
  </si>
  <si>
    <t>Rosita</t>
  </si>
  <si>
    <t>Delapaz</t>
  </si>
  <si>
    <t>09958849865</t>
  </si>
  <si>
    <t>Cubillo</t>
  </si>
  <si>
    <t>Claudine</t>
  </si>
  <si>
    <t>Eherson</t>
  </si>
  <si>
    <t>09481606478</t>
  </si>
  <si>
    <t>Leperto</t>
  </si>
  <si>
    <t>Jecelyn</t>
  </si>
  <si>
    <t>09094688175</t>
  </si>
  <si>
    <t>Alayaay</t>
  </si>
  <si>
    <t>Rudy</t>
  </si>
  <si>
    <t>Campos</t>
  </si>
  <si>
    <t>August 20-27</t>
  </si>
  <si>
    <r>
      <t>Total No. Of Beneficiaries:</t>
    </r>
    <r>
      <rPr>
        <b/>
        <u/>
        <sz val="10"/>
        <color rgb="FFFF0000"/>
        <rFont val="Arial"/>
        <family val="2"/>
      </rPr>
      <t xml:space="preserve"> 222</t>
    </r>
  </si>
  <si>
    <t>Aug 21-27</t>
  </si>
  <si>
    <t>September 2024</t>
  </si>
  <si>
    <t>Pasanan</t>
  </si>
  <si>
    <t xml:space="preserve">Bautista </t>
  </si>
  <si>
    <t>Sopronio</t>
  </si>
  <si>
    <t>Luciano</t>
  </si>
  <si>
    <t>09638138230</t>
  </si>
  <si>
    <t>Caayaman</t>
  </si>
  <si>
    <t>09954759727</t>
  </si>
  <si>
    <t>Quiao</t>
  </si>
  <si>
    <t>Lucino</t>
  </si>
  <si>
    <t>09109131226</t>
  </si>
  <si>
    <t>Demetrio</t>
  </si>
  <si>
    <t>Fermo</t>
  </si>
  <si>
    <t>Culaste</t>
  </si>
  <si>
    <t>09162459074</t>
  </si>
  <si>
    <t>Ogatis</t>
  </si>
  <si>
    <t>Lofranco</t>
  </si>
  <si>
    <t xml:space="preserve">Poblacion </t>
  </si>
  <si>
    <t>09207915015</t>
  </si>
  <si>
    <t>Demalanta</t>
  </si>
  <si>
    <t>Beatriz</t>
  </si>
  <si>
    <t>09949557441</t>
  </si>
  <si>
    <t>Lauron</t>
  </si>
  <si>
    <t>Sanny</t>
  </si>
  <si>
    <t>09197991245</t>
  </si>
  <si>
    <t>Jomar</t>
  </si>
  <si>
    <t>09488675120</t>
  </si>
  <si>
    <t>09166094283</t>
  </si>
  <si>
    <t>Cameros</t>
  </si>
  <si>
    <t>Isabelo</t>
  </si>
  <si>
    <t>09752412113</t>
  </si>
  <si>
    <t>Perlita F. Macabudbud</t>
  </si>
  <si>
    <t>LGU-Sevilla</t>
  </si>
  <si>
    <t>Mayor Anunciacion R. Tuazon National High School</t>
  </si>
  <si>
    <t>09948907354</t>
  </si>
  <si>
    <t>Lorna Abellana</t>
  </si>
  <si>
    <t>Melisa</t>
  </si>
  <si>
    <t>Rijoy</t>
  </si>
  <si>
    <t>Genevy</t>
  </si>
  <si>
    <t>Haguilanan Grande</t>
  </si>
  <si>
    <t>09388807916</t>
  </si>
  <si>
    <t>Ayeng</t>
  </si>
  <si>
    <t>Ted</t>
  </si>
  <si>
    <t>09981703374</t>
  </si>
  <si>
    <t>SWISA Association</t>
  </si>
  <si>
    <t>09759149186</t>
  </si>
  <si>
    <t>Petronelo Cabulao</t>
  </si>
  <si>
    <t>CAGYO Danao Irrigators Association Inc.</t>
  </si>
  <si>
    <t>09537765401</t>
  </si>
  <si>
    <t>Medardo Digal</t>
  </si>
  <si>
    <t>Tumanda</t>
  </si>
  <si>
    <t>Mark Brian</t>
  </si>
  <si>
    <t>Balorio</t>
  </si>
  <si>
    <t>Justiniano</t>
  </si>
  <si>
    <t>Seladis</t>
  </si>
  <si>
    <t>Virgie</t>
  </si>
  <si>
    <t>Omilig</t>
  </si>
  <si>
    <t>John Mark</t>
  </si>
  <si>
    <t>09550833498</t>
  </si>
  <si>
    <t>Ponte</t>
  </si>
  <si>
    <t>Marionito</t>
  </si>
  <si>
    <t>09071229882</t>
  </si>
  <si>
    <t>Borinago</t>
  </si>
  <si>
    <t>Cliford</t>
  </si>
  <si>
    <t>09128443038</t>
  </si>
  <si>
    <t>Cabangbang</t>
  </si>
  <si>
    <t>Cosare</t>
  </si>
  <si>
    <t>Tinangnan</t>
  </si>
  <si>
    <t>09508841071</t>
  </si>
  <si>
    <t>09617432287</t>
  </si>
  <si>
    <t>Pataganao</t>
  </si>
  <si>
    <t>Avilina</t>
  </si>
  <si>
    <t>Restituto</t>
  </si>
  <si>
    <t>Diacon</t>
  </si>
  <si>
    <t>Rufo Hill</t>
  </si>
  <si>
    <t>09859714627</t>
  </si>
  <si>
    <t>San Isidro National High School</t>
  </si>
  <si>
    <t>09460333014</t>
  </si>
  <si>
    <t>Marloue N. Mahumot</t>
  </si>
  <si>
    <t>Ranulfo</t>
  </si>
  <si>
    <t>Jimenez</t>
  </si>
  <si>
    <t>Walter</t>
  </si>
  <si>
    <t>Alboroto</t>
  </si>
  <si>
    <t>Donato</t>
  </si>
  <si>
    <t>Pacanza</t>
  </si>
  <si>
    <t>Buntod</t>
  </si>
  <si>
    <t>Charlie</t>
  </si>
  <si>
    <t>09155081808</t>
  </si>
  <si>
    <t>Sept. 2-11</t>
  </si>
  <si>
    <t>09079133225</t>
  </si>
  <si>
    <t>Margate</t>
  </si>
  <si>
    <t>Arlina</t>
  </si>
  <si>
    <t>Sendo</t>
  </si>
  <si>
    <t>Jocy</t>
  </si>
  <si>
    <t>09484584760</t>
  </si>
  <si>
    <t>Camacho</t>
  </si>
  <si>
    <t>Casey</t>
  </si>
  <si>
    <t>09175272983</t>
  </si>
  <si>
    <t>Chatto</t>
  </si>
  <si>
    <t>Antidio</t>
  </si>
  <si>
    <t>09457591554</t>
  </si>
  <si>
    <t>Tirol</t>
  </si>
  <si>
    <t>Christine</t>
  </si>
  <si>
    <t>Tasangan</t>
  </si>
  <si>
    <t>Russ</t>
  </si>
  <si>
    <t>09073694388</t>
  </si>
  <si>
    <t>Batistis</t>
  </si>
  <si>
    <t>Ebeth</t>
  </si>
  <si>
    <t>09079400912</t>
  </si>
  <si>
    <t>Cosmo</t>
  </si>
  <si>
    <t>Sept. 2-12</t>
  </si>
  <si>
    <t>September 2-12</t>
  </si>
  <si>
    <t>Eyas</t>
  </si>
  <si>
    <t>Bunotbunot</t>
  </si>
  <si>
    <t>09933079171</t>
  </si>
  <si>
    <t>Clarita</t>
  </si>
  <si>
    <t>09519604765</t>
  </si>
  <si>
    <t>Felisilda</t>
  </si>
  <si>
    <t>09163339129</t>
  </si>
  <si>
    <t>Taganahan</t>
  </si>
  <si>
    <t>Emelda</t>
  </si>
  <si>
    <t>Tampon</t>
  </si>
  <si>
    <t>LDFF</t>
  </si>
  <si>
    <t>Union</t>
  </si>
  <si>
    <t>09338191852</t>
  </si>
  <si>
    <t>Ma. Genevieve Cosenas</t>
  </si>
  <si>
    <t>Tilapia broodstock</t>
  </si>
  <si>
    <t>Bagsic</t>
  </si>
  <si>
    <t>Arvin</t>
  </si>
  <si>
    <t>Talenceras</t>
  </si>
  <si>
    <t>Montajes</t>
  </si>
  <si>
    <t>Kevin</t>
  </si>
  <si>
    <t>09172073596</t>
  </si>
  <si>
    <t>PFO-Bohol</t>
  </si>
  <si>
    <t>411-4602</t>
  </si>
  <si>
    <t>Jean Ludripas</t>
  </si>
  <si>
    <t xml:space="preserve">Saletrero </t>
  </si>
  <si>
    <t>Sandimas</t>
  </si>
  <si>
    <t>Galo</t>
  </si>
  <si>
    <t>09519311486</t>
  </si>
  <si>
    <t>Laguitao</t>
  </si>
  <si>
    <t>09126556821</t>
  </si>
  <si>
    <t>Tuntunan</t>
  </si>
  <si>
    <t>09948049586</t>
  </si>
  <si>
    <t>Melicor</t>
  </si>
  <si>
    <t>Raymund</t>
  </si>
  <si>
    <t>09066983141</t>
  </si>
  <si>
    <t>Magallanes</t>
  </si>
  <si>
    <t>Bernardo</t>
  </si>
  <si>
    <t>Calipes</t>
  </si>
  <si>
    <t>Celmario</t>
  </si>
  <si>
    <t>Cansague Norte</t>
  </si>
  <si>
    <t>Talan</t>
  </si>
  <si>
    <t>Mark Joseph</t>
  </si>
  <si>
    <t>09664551108</t>
  </si>
  <si>
    <t>Gentapan</t>
  </si>
  <si>
    <t>John Bert</t>
  </si>
  <si>
    <t>09532644080</t>
  </si>
  <si>
    <t>Santander</t>
  </si>
  <si>
    <t>09516137001</t>
  </si>
  <si>
    <t>Franklin</t>
  </si>
  <si>
    <t>Estaniola</t>
  </si>
  <si>
    <t>Isidro</t>
  </si>
  <si>
    <t>0930989393</t>
  </si>
  <si>
    <t>Pacatang</t>
  </si>
  <si>
    <t>Celestino</t>
  </si>
  <si>
    <t>09207697156</t>
  </si>
  <si>
    <t>Liro</t>
  </si>
  <si>
    <t>09302065710</t>
  </si>
  <si>
    <t>Cosgafa</t>
  </si>
  <si>
    <t>Marino</t>
  </si>
  <si>
    <t>Candungao</t>
  </si>
  <si>
    <t>09708022180</t>
  </si>
  <si>
    <t>Tabaranza</t>
  </si>
  <si>
    <t>09456815178</t>
  </si>
  <si>
    <t xml:space="preserve">Agon </t>
  </si>
  <si>
    <t>Aniceta</t>
  </si>
  <si>
    <t>09399241742</t>
  </si>
  <si>
    <t>Pecolades</t>
  </si>
  <si>
    <t>Rhenner</t>
  </si>
  <si>
    <t>Cahulogan</t>
  </si>
  <si>
    <t>Rosalina</t>
  </si>
  <si>
    <t>09266604438</t>
  </si>
  <si>
    <t>Mark Gil</t>
  </si>
  <si>
    <t>09074013091</t>
  </si>
  <si>
    <t>09269242576</t>
  </si>
  <si>
    <t>Alejandro Magbanua</t>
  </si>
  <si>
    <t>Silvino Jr.</t>
  </si>
  <si>
    <t>09482127843</t>
  </si>
  <si>
    <t>Tayag</t>
  </si>
  <si>
    <t>Villa Aurora</t>
  </si>
  <si>
    <t>09265679215</t>
  </si>
  <si>
    <t>Anuengo</t>
  </si>
  <si>
    <t>Grace</t>
  </si>
  <si>
    <t>Hermes</t>
  </si>
  <si>
    <t>Sta. Fe</t>
  </si>
  <si>
    <t>09636882509</t>
  </si>
  <si>
    <t>Balansag</t>
  </si>
  <si>
    <t>Zandro</t>
  </si>
  <si>
    <t>09060637805</t>
  </si>
  <si>
    <t>Abonete</t>
  </si>
  <si>
    <t>Prudencio</t>
  </si>
  <si>
    <t>09309433964</t>
  </si>
  <si>
    <t>Pahang</t>
  </si>
  <si>
    <t>Lord Francis</t>
  </si>
  <si>
    <t xml:space="preserve">M. Roxas </t>
  </si>
  <si>
    <t>09071923992</t>
  </si>
  <si>
    <t>Juliebeth</t>
  </si>
  <si>
    <t>09108895231</t>
  </si>
  <si>
    <t>Golez</t>
  </si>
  <si>
    <t>09513271342</t>
  </si>
  <si>
    <t>Belamia</t>
  </si>
  <si>
    <t>Josefina</t>
  </si>
  <si>
    <t>09812921608</t>
  </si>
  <si>
    <t>09509617939</t>
  </si>
  <si>
    <t>Pacog</t>
  </si>
  <si>
    <t>09489861788</t>
  </si>
  <si>
    <t>Rosaupan</t>
  </si>
  <si>
    <t>Valeriano</t>
  </si>
  <si>
    <t>09707656992</t>
  </si>
  <si>
    <t>Auxilio</t>
  </si>
  <si>
    <t>Panfilo</t>
  </si>
  <si>
    <t>Catmonan</t>
  </si>
  <si>
    <t>09925889988</t>
  </si>
  <si>
    <t>Esteban</t>
  </si>
  <si>
    <t>09388046407</t>
  </si>
  <si>
    <t>Timbal</t>
  </si>
  <si>
    <t>09814476978</t>
  </si>
  <si>
    <t>Mahumot</t>
  </si>
  <si>
    <t>Catalino</t>
  </si>
  <si>
    <t>09482256074</t>
  </si>
  <si>
    <t>Andres</t>
  </si>
  <si>
    <t>09948906855</t>
  </si>
  <si>
    <t>Shocrates</t>
  </si>
  <si>
    <t>Langtad</t>
  </si>
  <si>
    <t>09129900080</t>
  </si>
  <si>
    <t>Sept. 16-19</t>
  </si>
  <si>
    <t>September 16-19</t>
  </si>
  <si>
    <t>Joel Clapano</t>
  </si>
  <si>
    <t>Sept. 13-17</t>
  </si>
  <si>
    <t>breeders</t>
  </si>
  <si>
    <t>3 male 3 female</t>
  </si>
  <si>
    <t>2 male 2 female</t>
  </si>
  <si>
    <t>Sarte</t>
  </si>
  <si>
    <t>Clemente</t>
  </si>
  <si>
    <t>09260354733</t>
  </si>
  <si>
    <t>09303072843</t>
  </si>
  <si>
    <t>Mary Cris</t>
  </si>
  <si>
    <t>09505214868</t>
  </si>
  <si>
    <t>Calimbo</t>
  </si>
  <si>
    <t>Sulpicio</t>
  </si>
  <si>
    <t>Baryongdaan</t>
  </si>
  <si>
    <t>Puracan</t>
  </si>
  <si>
    <t>Avelino</t>
  </si>
  <si>
    <t>Asna</t>
  </si>
  <si>
    <t>Esperidion</t>
  </si>
  <si>
    <t>Rinconada</t>
  </si>
  <si>
    <t>Pedro</t>
  </si>
  <si>
    <t>09813920758</t>
  </si>
  <si>
    <t>Taño</t>
  </si>
  <si>
    <t>09066083031</t>
  </si>
  <si>
    <t>Viodor</t>
  </si>
  <si>
    <t>Merlinda</t>
  </si>
  <si>
    <t>Jamuya</t>
  </si>
  <si>
    <t>Jerald</t>
  </si>
  <si>
    <t>09507594200</t>
  </si>
  <si>
    <t>Cristal</t>
  </si>
  <si>
    <t>09694354929</t>
  </si>
  <si>
    <t>Rojas</t>
  </si>
  <si>
    <t>Letecia</t>
  </si>
  <si>
    <t>09460066402</t>
  </si>
  <si>
    <t>Supieza</t>
  </si>
  <si>
    <t>09106684876</t>
  </si>
  <si>
    <t>Bernalte</t>
  </si>
  <si>
    <t>Meriam</t>
  </si>
  <si>
    <t>09095711288</t>
  </si>
  <si>
    <t>Visto</t>
  </si>
  <si>
    <t>09926343489</t>
  </si>
  <si>
    <t>Sercia</t>
  </si>
  <si>
    <t>09214894205</t>
  </si>
  <si>
    <t>Victoriano Jr.</t>
  </si>
  <si>
    <t>09308058261</t>
  </si>
  <si>
    <t>Sept. 20-23</t>
  </si>
  <si>
    <t>September 20-23</t>
  </si>
  <si>
    <t>October 2024</t>
  </si>
  <si>
    <t>Cepe</t>
  </si>
  <si>
    <t>Giovanni</t>
  </si>
  <si>
    <t>P</t>
  </si>
  <si>
    <t>09452772169</t>
  </si>
  <si>
    <t>Rojo</t>
  </si>
  <si>
    <t>Eliezer</t>
  </si>
  <si>
    <t>09319352411</t>
  </si>
  <si>
    <t>Luel</t>
  </si>
  <si>
    <t>09636368968</t>
  </si>
  <si>
    <t>Gulilat</t>
  </si>
  <si>
    <t>Jeromei</t>
  </si>
  <si>
    <t>Rodriguez</t>
  </si>
  <si>
    <t>Rosalino</t>
  </si>
  <si>
    <t>Hagbuyo</t>
  </si>
  <si>
    <t>09464397082</t>
  </si>
  <si>
    <t>Orlando Jr.</t>
  </si>
  <si>
    <t>09291231124</t>
  </si>
  <si>
    <t>LGU-Buenvista</t>
  </si>
  <si>
    <t>09056198532</t>
  </si>
  <si>
    <t>Racho</t>
  </si>
  <si>
    <t>Jucris</t>
  </si>
  <si>
    <t>Acorda</t>
  </si>
  <si>
    <t>Gessardo</t>
  </si>
  <si>
    <t>Bugang Norte</t>
  </si>
  <si>
    <t>09354359509</t>
  </si>
  <si>
    <t>Evangelista</t>
  </si>
  <si>
    <t>09517132307</t>
  </si>
  <si>
    <t>09389285746</t>
  </si>
  <si>
    <t>Cabusao</t>
  </si>
  <si>
    <t>Nicolas</t>
  </si>
  <si>
    <t>Ole</t>
  </si>
  <si>
    <t>Fredie</t>
  </si>
  <si>
    <t>R</t>
  </si>
  <si>
    <t>Baldon</t>
  </si>
  <si>
    <t>Joseph Sr.</t>
  </si>
  <si>
    <t>09127948087</t>
  </si>
  <si>
    <t>Kristell Mae Alingasa</t>
  </si>
  <si>
    <t>Gambuta</t>
  </si>
  <si>
    <t>09482236929</t>
  </si>
  <si>
    <t>Jaya</t>
  </si>
  <si>
    <t>Roxas</t>
  </si>
  <si>
    <t>09106688414</t>
  </si>
  <si>
    <t>Pacaldo</t>
  </si>
  <si>
    <t>Sobiodro</t>
  </si>
  <si>
    <t>Jestony</t>
  </si>
  <si>
    <t>09069309746</t>
  </si>
  <si>
    <t>Alibo</t>
  </si>
  <si>
    <t>Ela Mae</t>
  </si>
  <si>
    <t>09850022904</t>
  </si>
  <si>
    <t>Anatalio</t>
  </si>
  <si>
    <t>09859433265</t>
  </si>
  <si>
    <t>Jhunjie</t>
  </si>
  <si>
    <t>T</t>
  </si>
  <si>
    <t>09467236536</t>
  </si>
  <si>
    <t>Apita</t>
  </si>
  <si>
    <t>Erwin</t>
  </si>
  <si>
    <t>09462544752</t>
  </si>
  <si>
    <t>Beltran</t>
  </si>
  <si>
    <t>Leopoldo</t>
  </si>
  <si>
    <t>Sanchez</t>
  </si>
  <si>
    <t>Cristino</t>
  </si>
  <si>
    <t>09773330979</t>
  </si>
  <si>
    <t>Danghel</t>
  </si>
  <si>
    <t>Simplicio</t>
  </si>
  <si>
    <t>09127078413</t>
  </si>
  <si>
    <t>Udtohan</t>
  </si>
  <si>
    <t>09165333231</t>
  </si>
  <si>
    <t>Cogo</t>
  </si>
  <si>
    <t>Kane Ryan</t>
  </si>
  <si>
    <t>09108648093</t>
  </si>
  <si>
    <t>Philip</t>
  </si>
  <si>
    <t>09271866995</t>
  </si>
  <si>
    <t>Estoque</t>
  </si>
  <si>
    <t>09683306317</t>
  </si>
  <si>
    <t>Godofreda</t>
  </si>
  <si>
    <t>09275683077</t>
  </si>
  <si>
    <t>Landa</t>
  </si>
  <si>
    <t>Elgen Hope</t>
  </si>
  <si>
    <t>09976713525</t>
  </si>
  <si>
    <t>L</t>
  </si>
  <si>
    <t>O</t>
  </si>
  <si>
    <t>Genson</t>
  </si>
  <si>
    <t xml:space="preserve">Josema </t>
  </si>
  <si>
    <t>C</t>
  </si>
  <si>
    <t>09260358360</t>
  </si>
  <si>
    <t>Bahinting</t>
  </si>
  <si>
    <t>Cirilo</t>
  </si>
  <si>
    <t>09814681567</t>
  </si>
  <si>
    <t>Margie</t>
  </si>
  <si>
    <t>A</t>
  </si>
  <si>
    <t>09199889821</t>
  </si>
  <si>
    <t>Harris</t>
  </si>
  <si>
    <t>Sam III</t>
  </si>
  <si>
    <t>Guiwanon</t>
  </si>
  <si>
    <t>09159402878</t>
  </si>
  <si>
    <t>Lagang</t>
  </si>
  <si>
    <t>09399237947</t>
  </si>
  <si>
    <t>Asumbrado</t>
  </si>
  <si>
    <t>Lourdes</t>
  </si>
  <si>
    <t>09947854079</t>
  </si>
  <si>
    <t>Gatan</t>
  </si>
  <si>
    <t>Lolita</t>
  </si>
  <si>
    <t>Jimark</t>
  </si>
  <si>
    <t>09126338861</t>
  </si>
  <si>
    <t>Gasco</t>
  </si>
  <si>
    <t>Jomarie</t>
  </si>
  <si>
    <t>M</t>
  </si>
  <si>
    <t>09483724634</t>
  </si>
  <si>
    <t>Mancha</t>
  </si>
  <si>
    <t xml:space="preserve">Antonio </t>
  </si>
  <si>
    <t>09603913327</t>
  </si>
  <si>
    <t>09765306973</t>
  </si>
  <si>
    <t>09630346699</t>
  </si>
  <si>
    <t>Sherwin B. Jaum</t>
  </si>
  <si>
    <t>Dulang</t>
  </si>
  <si>
    <t>Gary</t>
  </si>
  <si>
    <t>Tanghaligi</t>
  </si>
  <si>
    <t>09491612691</t>
  </si>
  <si>
    <t>Ligaya</t>
  </si>
  <si>
    <t>Gaudencio</t>
  </si>
  <si>
    <t>09471405693</t>
  </si>
  <si>
    <t>Almedilla</t>
  </si>
  <si>
    <t>Marcian</t>
  </si>
  <si>
    <t>Tomoc</t>
  </si>
  <si>
    <t>09207829564</t>
  </si>
  <si>
    <t>LGU-Dimiao</t>
  </si>
  <si>
    <t>09177103900</t>
  </si>
  <si>
    <t>Judil Adanza</t>
  </si>
  <si>
    <t>Cimene</t>
  </si>
  <si>
    <t>09164154881</t>
  </si>
  <si>
    <t>09385143003</t>
  </si>
  <si>
    <t>Mary Rose Tubig</t>
  </si>
  <si>
    <t>Policher</t>
  </si>
  <si>
    <t>Mark Anthony</t>
  </si>
  <si>
    <t>East Poblacion</t>
  </si>
  <si>
    <t>09958856384</t>
  </si>
  <si>
    <t>Sto.Niño</t>
  </si>
  <si>
    <t>Duallo</t>
  </si>
  <si>
    <t>Emelito</t>
  </si>
  <si>
    <t>Panghagban</t>
  </si>
  <si>
    <t>09650498052</t>
  </si>
  <si>
    <t>Moring</t>
  </si>
  <si>
    <t>Arthur</t>
  </si>
  <si>
    <t>09632738206</t>
  </si>
  <si>
    <t>Tubig</t>
  </si>
  <si>
    <t>Mary Rose</t>
  </si>
  <si>
    <t>Layao</t>
  </si>
  <si>
    <t>Geronimo Jr.</t>
  </si>
  <si>
    <t>Cantomimbo</t>
  </si>
  <si>
    <t>09070918890</t>
  </si>
  <si>
    <t>Reyes</t>
  </si>
  <si>
    <t>Hercules</t>
  </si>
  <si>
    <t>09954761885</t>
  </si>
  <si>
    <t>Adanza</t>
  </si>
  <si>
    <t>Judil</t>
  </si>
  <si>
    <t>Canhayupon</t>
  </si>
  <si>
    <t>09531184788</t>
  </si>
  <si>
    <t>Tambis</t>
  </si>
  <si>
    <t>09858280143</t>
  </si>
  <si>
    <t>Torrefalma</t>
  </si>
  <si>
    <t>Bahan</t>
  </si>
  <si>
    <t>09562746926</t>
  </si>
  <si>
    <t>Carnice</t>
  </si>
  <si>
    <t>Jezriel</t>
  </si>
  <si>
    <t>09358292952</t>
  </si>
  <si>
    <t>October 1-7</t>
  </si>
  <si>
    <t>Oct. 1-7</t>
  </si>
  <si>
    <t>4 male 3 male</t>
  </si>
  <si>
    <t>Arig</t>
  </si>
  <si>
    <t>U</t>
  </si>
  <si>
    <t>Blawis</t>
  </si>
  <si>
    <t>09759105684</t>
  </si>
  <si>
    <t>Jabonillo</t>
  </si>
  <si>
    <t xml:space="preserve">Josephine </t>
  </si>
  <si>
    <t>B</t>
  </si>
  <si>
    <t>09516415062</t>
  </si>
  <si>
    <t>Cacho</t>
  </si>
  <si>
    <t>Bartolome</t>
  </si>
  <si>
    <t>09129493427</t>
  </si>
  <si>
    <t>Sabidor</t>
  </si>
  <si>
    <t>Brian</t>
  </si>
  <si>
    <t>San Vicente Norte</t>
  </si>
  <si>
    <t>Sendrijas</t>
  </si>
  <si>
    <t>Trifon</t>
  </si>
  <si>
    <t>09273844193</t>
  </si>
  <si>
    <t>Lanzaderas</t>
  </si>
  <si>
    <t>Pinky</t>
  </si>
  <si>
    <t>Cantamucad</t>
  </si>
  <si>
    <t>Ricalde</t>
  </si>
  <si>
    <t>Eduardo</t>
  </si>
  <si>
    <t>09303419902</t>
  </si>
  <si>
    <t>LGU-Maribojoc</t>
  </si>
  <si>
    <t>09852710009</t>
  </si>
  <si>
    <t>Ingrid Ena Gay Hibaya</t>
  </si>
  <si>
    <t>504-9979</t>
  </si>
  <si>
    <t>Hibaya</t>
  </si>
  <si>
    <t>Ingrid Ena Gay</t>
  </si>
  <si>
    <t>Dipatlong</t>
  </si>
  <si>
    <t>Napallacan</t>
  </si>
  <si>
    <t>Torrejos</t>
  </si>
  <si>
    <t>Nel Anthony</t>
  </si>
  <si>
    <t>09275841925</t>
  </si>
  <si>
    <t>Garduque</t>
  </si>
  <si>
    <t>Josemari Jason</t>
  </si>
  <si>
    <t xml:space="preserve">Cogon </t>
  </si>
  <si>
    <t>09389479685</t>
  </si>
  <si>
    <t>Parohinog</t>
  </si>
  <si>
    <t>Jaynus</t>
  </si>
  <si>
    <t>Candajec</t>
  </si>
  <si>
    <t>09954373462</t>
  </si>
  <si>
    <t>Meomeo</t>
  </si>
  <si>
    <t>Emma</t>
  </si>
  <si>
    <t>09124544850</t>
  </si>
  <si>
    <t>Montes</t>
  </si>
  <si>
    <t>Legaspi</t>
  </si>
  <si>
    <t>09198530316</t>
  </si>
  <si>
    <t>October 8-14</t>
  </si>
  <si>
    <t>Oct. 9</t>
  </si>
  <si>
    <t>Rudo</t>
  </si>
  <si>
    <t xml:space="preserve">Bonier </t>
  </si>
  <si>
    <t>Avergonzado</t>
  </si>
  <si>
    <t>Campoamor</t>
  </si>
  <si>
    <t>Gervacio</t>
  </si>
  <si>
    <t>Solarte</t>
  </si>
  <si>
    <t>Jalem</t>
  </si>
  <si>
    <t>Calabacita</t>
  </si>
  <si>
    <t>09302556588</t>
  </si>
  <si>
    <t>Calabacita Farmers and Sustainable Tree Planters Association</t>
  </si>
  <si>
    <t>Josephine P. Jalem</t>
  </si>
  <si>
    <t>Sto. Niño, San Miguel Association</t>
  </si>
  <si>
    <t>09915855869</t>
  </si>
  <si>
    <t>Marita C. Masong</t>
  </si>
  <si>
    <t>Bague</t>
  </si>
  <si>
    <t>D.</t>
  </si>
  <si>
    <t>09073825931</t>
  </si>
  <si>
    <t>Palacat</t>
  </si>
  <si>
    <t>Romulo Johma</t>
  </si>
  <si>
    <t>09291183438</t>
  </si>
  <si>
    <t>Labandria</t>
  </si>
  <si>
    <t>Willie</t>
  </si>
  <si>
    <t>09389478912</t>
  </si>
  <si>
    <t>Exequiel</t>
  </si>
  <si>
    <t>09486885612</t>
  </si>
  <si>
    <t>Monil</t>
  </si>
  <si>
    <t>Dionesia</t>
  </si>
  <si>
    <t>Bayongan Sustainable Livelihood Beneficiaries Association</t>
  </si>
  <si>
    <t>Bayongan</t>
  </si>
  <si>
    <t>09463155833</t>
  </si>
  <si>
    <t>Ilaud irrigators Association</t>
  </si>
  <si>
    <t>09707762928</t>
  </si>
  <si>
    <t>Saturnino B. Dagasdas</t>
  </si>
  <si>
    <t>Pabe</t>
  </si>
  <si>
    <t>Faustino</t>
  </si>
  <si>
    <t>09465736923</t>
  </si>
  <si>
    <t>Romeo Jr.</t>
  </si>
  <si>
    <t>09751976766</t>
  </si>
  <si>
    <t>Amad</t>
  </si>
  <si>
    <t>Dies</t>
  </si>
  <si>
    <t>Hanopol Norte</t>
  </si>
  <si>
    <t>09636904789</t>
  </si>
  <si>
    <t>09947871989</t>
  </si>
  <si>
    <t>Estenita Balian</t>
  </si>
  <si>
    <t>G</t>
  </si>
  <si>
    <t>Anib</t>
  </si>
  <si>
    <t>James Argie</t>
  </si>
  <si>
    <t>09267525723</t>
  </si>
  <si>
    <t>09091600196</t>
  </si>
  <si>
    <t>Labonite</t>
  </si>
  <si>
    <t>Marjoe Rey</t>
  </si>
  <si>
    <t>Dao</t>
  </si>
  <si>
    <t>09292450222</t>
  </si>
  <si>
    <t>Sosimo</t>
  </si>
  <si>
    <t>Amegable</t>
  </si>
  <si>
    <t>Piñafort Jr.</t>
  </si>
  <si>
    <t>09100727254</t>
  </si>
  <si>
    <t>Baluca</t>
  </si>
  <si>
    <t>Timoteo</t>
  </si>
  <si>
    <t>Pooc Oriental</t>
  </si>
  <si>
    <t>09621102776</t>
  </si>
  <si>
    <t>Guday</t>
  </si>
  <si>
    <t>Joselito P. Abello</t>
  </si>
  <si>
    <t>CVMNDTC</t>
  </si>
  <si>
    <t>Rodolfo M. Guisihan</t>
  </si>
  <si>
    <t>Oct. 17-29</t>
  </si>
  <si>
    <t>October 16-29</t>
  </si>
  <si>
    <t>October 16-30</t>
  </si>
  <si>
    <t>November 2024</t>
  </si>
  <si>
    <t>Candajec Women's Association</t>
  </si>
  <si>
    <t>09071975659</t>
  </si>
  <si>
    <t>Marilyn Aradilla</t>
  </si>
  <si>
    <t>Marzon</t>
  </si>
  <si>
    <t>Peregrino Jr.</t>
  </si>
  <si>
    <t>09532082909</t>
  </si>
  <si>
    <t>09266396267</t>
  </si>
  <si>
    <t>Sabijon</t>
  </si>
  <si>
    <t>Paranza</t>
  </si>
  <si>
    <t>Marjorie</t>
  </si>
  <si>
    <t>09954750097</t>
  </si>
  <si>
    <t>09525581147</t>
  </si>
  <si>
    <t>Cajes</t>
  </si>
  <si>
    <t>09466207667</t>
  </si>
  <si>
    <t>Asucan</t>
  </si>
  <si>
    <t>Artemio</t>
  </si>
  <si>
    <t>09069379893</t>
  </si>
  <si>
    <t>Corag</t>
  </si>
  <si>
    <t>Kawayan</t>
  </si>
  <si>
    <t>09480036702</t>
  </si>
  <si>
    <t>Geoffrey</t>
  </si>
  <si>
    <t>0955498900</t>
  </si>
  <si>
    <t>Geloca</t>
  </si>
  <si>
    <t>Rodrigo</t>
  </si>
  <si>
    <t>09692616040</t>
  </si>
  <si>
    <t>Sumagaysay</t>
  </si>
  <si>
    <t>09101241947</t>
  </si>
  <si>
    <t>09648905787</t>
  </si>
  <si>
    <t>09108556672</t>
  </si>
  <si>
    <t>Ronald Valentos</t>
  </si>
  <si>
    <t>Mayol</t>
  </si>
  <si>
    <t>Pablo Leo Jr.</t>
  </si>
  <si>
    <t>09108808201</t>
  </si>
  <si>
    <t>Limbaga</t>
  </si>
  <si>
    <t>09560028556</t>
  </si>
  <si>
    <t>Tinaco</t>
  </si>
  <si>
    <t>Bantulinao</t>
  </si>
  <si>
    <t xml:space="preserve">Batoon </t>
  </si>
  <si>
    <t>09487646591</t>
  </si>
  <si>
    <t>J</t>
  </si>
  <si>
    <t>Cartejos</t>
  </si>
  <si>
    <t>Balonga</t>
  </si>
  <si>
    <t>Sto. Tomas</t>
  </si>
  <si>
    <t>09487557114</t>
  </si>
  <si>
    <t>09279170454</t>
  </si>
  <si>
    <t>Magdula</t>
  </si>
  <si>
    <t>Sto.Rosario</t>
  </si>
  <si>
    <t>Jelson</t>
  </si>
  <si>
    <t>09389407747</t>
  </si>
  <si>
    <t>Luzviminda</t>
  </si>
  <si>
    <t>09502242028</t>
  </si>
  <si>
    <t>Mula</t>
  </si>
  <si>
    <t>Cristian</t>
  </si>
  <si>
    <t>09974264850</t>
  </si>
  <si>
    <t>Gaudencio Jr.</t>
  </si>
  <si>
    <t>LGU-Trinidad</t>
  </si>
  <si>
    <t>09551604068</t>
  </si>
  <si>
    <t>Felipe Cajes</t>
  </si>
  <si>
    <t>Son-oc</t>
  </si>
  <si>
    <t>09463697830</t>
  </si>
  <si>
    <t>Sedrick Culaste</t>
  </si>
  <si>
    <t>Breeders (Red Tilapia)</t>
  </si>
  <si>
    <t>Asube</t>
  </si>
  <si>
    <t>Oliver</t>
  </si>
  <si>
    <t>09563474954</t>
  </si>
  <si>
    <t>Tan</t>
  </si>
  <si>
    <t>09486180029</t>
  </si>
  <si>
    <t>Cabillanes</t>
  </si>
  <si>
    <t>Roque</t>
  </si>
  <si>
    <t>09062273891</t>
  </si>
  <si>
    <t>Bongasiso</t>
  </si>
  <si>
    <t>Delantar</t>
  </si>
  <si>
    <t>Adones</t>
  </si>
  <si>
    <t>09665934097</t>
  </si>
  <si>
    <t>09097200809</t>
  </si>
  <si>
    <t>Petagara</t>
  </si>
  <si>
    <t>09651464714</t>
  </si>
  <si>
    <t>Nerie</t>
  </si>
  <si>
    <t>Dacayan</t>
  </si>
  <si>
    <t>Silvan Jove</t>
  </si>
  <si>
    <t>Olandria</t>
  </si>
  <si>
    <t>Cyril Joy</t>
  </si>
  <si>
    <t>Panas</t>
  </si>
  <si>
    <t>09279157473</t>
  </si>
  <si>
    <t>Labastida</t>
  </si>
  <si>
    <t>Cherryl</t>
  </si>
  <si>
    <t>09451646858</t>
  </si>
  <si>
    <t>Gina</t>
  </si>
  <si>
    <t>Dango</t>
  </si>
  <si>
    <t>Poblacion II</t>
  </si>
  <si>
    <t>09612307335</t>
  </si>
  <si>
    <t>Jamin</t>
  </si>
  <si>
    <t>Angilan</t>
  </si>
  <si>
    <t>09504169032</t>
  </si>
  <si>
    <t>Escol</t>
  </si>
  <si>
    <t>09364321366</t>
  </si>
  <si>
    <t>LGU-Guindulman</t>
  </si>
  <si>
    <t>09482547754</t>
  </si>
  <si>
    <t>Andrew F. Simo</t>
  </si>
  <si>
    <t>Nov. 5-12</t>
  </si>
  <si>
    <t>Nov. 4-12</t>
  </si>
  <si>
    <t>Breeders</t>
  </si>
  <si>
    <t>November 4-12</t>
  </si>
  <si>
    <t>Amparo</t>
  </si>
  <si>
    <t>Conrada</t>
  </si>
  <si>
    <t>09274174825</t>
  </si>
  <si>
    <t>LGU-Danao</t>
  </si>
  <si>
    <t>09639012434</t>
  </si>
  <si>
    <t>Ma. Genieveb Butal</t>
  </si>
  <si>
    <t>Nogalada</t>
  </si>
  <si>
    <t>Rogelio Jr.</t>
  </si>
  <si>
    <t>09384700617</t>
  </si>
  <si>
    <t>Sherly</t>
  </si>
  <si>
    <t>Omac</t>
  </si>
  <si>
    <t>09097928537</t>
  </si>
  <si>
    <t>Edmund</t>
  </si>
  <si>
    <t>09507035831</t>
  </si>
  <si>
    <t>Alejandro</t>
  </si>
  <si>
    <t>09094059361</t>
  </si>
  <si>
    <t>Casia</t>
  </si>
  <si>
    <t>William</t>
  </si>
  <si>
    <t>09616041890</t>
  </si>
  <si>
    <t>Nov. 12-15</t>
  </si>
  <si>
    <t>November 12-13</t>
  </si>
  <si>
    <t>Bodiongan</t>
  </si>
  <si>
    <t>Maelen</t>
  </si>
  <si>
    <t>Looc</t>
  </si>
  <si>
    <t>09625268780</t>
  </si>
  <si>
    <t>Dusaban</t>
  </si>
  <si>
    <t>09060711019</t>
  </si>
  <si>
    <t>Senados</t>
  </si>
  <si>
    <t>Deogines</t>
  </si>
  <si>
    <t>09338596122</t>
  </si>
  <si>
    <t>Vedra</t>
  </si>
  <si>
    <t xml:space="preserve">Rogelio </t>
  </si>
  <si>
    <t>Melvic</t>
  </si>
  <si>
    <t>09811804632</t>
  </si>
  <si>
    <t xml:space="preserve">Ronald </t>
  </si>
  <si>
    <t>C.</t>
  </si>
  <si>
    <t>Sarong</t>
  </si>
  <si>
    <t>Ramon Jr.</t>
  </si>
  <si>
    <t>09634889991</t>
  </si>
  <si>
    <t>Abisal</t>
  </si>
  <si>
    <t>Lungay</t>
  </si>
  <si>
    <t>Justine Jake</t>
  </si>
  <si>
    <t>Tangaran</t>
  </si>
  <si>
    <t>09505371093</t>
  </si>
  <si>
    <t>Rizalito</t>
  </si>
  <si>
    <t>09074241837</t>
  </si>
  <si>
    <t xml:space="preserve">Asunto </t>
  </si>
  <si>
    <t>Lemuel John</t>
  </si>
  <si>
    <t>09690696703</t>
  </si>
  <si>
    <t>Labrador</t>
  </si>
  <si>
    <t>Villaver</t>
  </si>
  <si>
    <t>09771241396</t>
  </si>
  <si>
    <t>Gucor</t>
  </si>
  <si>
    <t>Clarenz Alec</t>
  </si>
  <si>
    <t>09382830478</t>
  </si>
  <si>
    <t>Ana Lea</t>
  </si>
  <si>
    <t>09483300316</t>
  </si>
  <si>
    <t>Durante</t>
  </si>
  <si>
    <t>Aimie</t>
  </si>
  <si>
    <t>09389393379</t>
  </si>
  <si>
    <t>Revilla</t>
  </si>
  <si>
    <t>Gaudiosa</t>
  </si>
  <si>
    <t>09463550282</t>
  </si>
  <si>
    <t>Luengas</t>
  </si>
  <si>
    <t>Elino</t>
  </si>
  <si>
    <t>09534214190</t>
  </si>
  <si>
    <t>Petronilo</t>
  </si>
  <si>
    <t>09104902959</t>
  </si>
  <si>
    <t>Busalanan</t>
  </si>
  <si>
    <t>Vincent</t>
  </si>
  <si>
    <t>09389449574</t>
  </si>
  <si>
    <t>09854143444</t>
  </si>
  <si>
    <t>09505609377</t>
  </si>
  <si>
    <t>Muñoz</t>
  </si>
  <si>
    <t>Rey Algen</t>
  </si>
  <si>
    <t>09759156001</t>
  </si>
  <si>
    <t>09382005946</t>
  </si>
  <si>
    <t>Ligan</t>
  </si>
  <si>
    <t>Felix Jr.</t>
  </si>
  <si>
    <t>09466079198</t>
  </si>
  <si>
    <t>Felmar</t>
  </si>
  <si>
    <t>09486769880</t>
  </si>
  <si>
    <t>Agustino</t>
  </si>
  <si>
    <t>09072957022</t>
  </si>
  <si>
    <t>Guillerma</t>
  </si>
  <si>
    <t>09948789741</t>
  </si>
  <si>
    <t>09109136684</t>
  </si>
  <si>
    <t>Villalongja</t>
  </si>
  <si>
    <t>09507842496</t>
  </si>
  <si>
    <t>Teves</t>
  </si>
  <si>
    <t>Jelou</t>
  </si>
  <si>
    <t>09461479751</t>
  </si>
  <si>
    <t>Borbano</t>
  </si>
  <si>
    <t>09488865512</t>
  </si>
  <si>
    <t>Bongansiso</t>
  </si>
  <si>
    <t>Compasion</t>
  </si>
  <si>
    <t>09813890458</t>
  </si>
  <si>
    <t>Atabelo</t>
  </si>
  <si>
    <t>John Nohlan</t>
  </si>
  <si>
    <t>09687781079</t>
  </si>
  <si>
    <t>Maricris</t>
  </si>
  <si>
    <t>Nabuad</t>
  </si>
  <si>
    <t>09109722602</t>
  </si>
  <si>
    <t>LGU-Antequera</t>
  </si>
  <si>
    <t>Anterquera</t>
  </si>
  <si>
    <t>09212996090</t>
  </si>
  <si>
    <t>Paterna Renegado</t>
  </si>
  <si>
    <t>09556345964</t>
  </si>
  <si>
    <t>09391699772</t>
  </si>
  <si>
    <t>Mellisa</t>
  </si>
  <si>
    <t>Rommel</t>
  </si>
  <si>
    <t>Amores</t>
  </si>
  <si>
    <t>Cluyd</t>
  </si>
  <si>
    <t>09858313057</t>
  </si>
  <si>
    <t>Jonalyn</t>
  </si>
  <si>
    <t>09651601341</t>
  </si>
  <si>
    <t>Dompor</t>
  </si>
  <si>
    <t>Roland</t>
  </si>
  <si>
    <t>09485186010</t>
  </si>
  <si>
    <t>Sherwin Jaum</t>
  </si>
  <si>
    <t>San Miguel Tilapia Growers Association (SMTIGA)</t>
  </si>
  <si>
    <t>09693304671</t>
  </si>
  <si>
    <t>Pascual Duavis</t>
  </si>
  <si>
    <t>Bitang</t>
  </si>
  <si>
    <t>09879371970</t>
  </si>
  <si>
    <t>LGU-Candijay</t>
  </si>
  <si>
    <t>09057328426</t>
  </si>
  <si>
    <t>Jesvin R. Lasit</t>
  </si>
  <si>
    <t>09106320773</t>
  </si>
  <si>
    <t>Palban</t>
  </si>
  <si>
    <t>Santiago</t>
  </si>
  <si>
    <t>Tumoc</t>
  </si>
  <si>
    <t>09294343977</t>
  </si>
  <si>
    <t>09380579244</t>
  </si>
  <si>
    <t>Petecio</t>
  </si>
  <si>
    <t>Rolando Jr.</t>
  </si>
  <si>
    <t>09056543241</t>
  </si>
  <si>
    <t xml:space="preserve">Dalagan </t>
  </si>
  <si>
    <t>Padamong</t>
  </si>
  <si>
    <t>Vic Floren</t>
  </si>
  <si>
    <t>09950791692</t>
  </si>
  <si>
    <t>Galingcal</t>
  </si>
  <si>
    <t>09615771115</t>
  </si>
  <si>
    <t>Walo</t>
  </si>
  <si>
    <t>Matias</t>
  </si>
  <si>
    <t>Ma. Grace</t>
  </si>
  <si>
    <t>09475292729</t>
  </si>
  <si>
    <t>Labor</t>
  </si>
  <si>
    <t>Mag-aso</t>
  </si>
  <si>
    <t>09073351911</t>
  </si>
  <si>
    <t>Rendon</t>
  </si>
  <si>
    <t>Lomer</t>
  </si>
  <si>
    <t>09525436089</t>
  </si>
  <si>
    <t>Nov. 18-25</t>
  </si>
  <si>
    <t>Nov. 12</t>
  </si>
  <si>
    <t>Nov. 19-22</t>
  </si>
  <si>
    <t>November 18-25</t>
  </si>
  <si>
    <t>5 male 1 female</t>
  </si>
  <si>
    <t>1female</t>
  </si>
  <si>
    <t>3 male 2 female</t>
  </si>
  <si>
    <t>Diogracio</t>
  </si>
  <si>
    <t>09636436831</t>
  </si>
  <si>
    <t>Logronio</t>
  </si>
  <si>
    <t>09817946349</t>
  </si>
  <si>
    <t>Requistion</t>
  </si>
  <si>
    <t>John James</t>
  </si>
  <si>
    <t>09511196967</t>
  </si>
  <si>
    <t>09260362015</t>
  </si>
  <si>
    <t>Peñaranda</t>
  </si>
  <si>
    <t>Junie</t>
  </si>
  <si>
    <t>09938932280</t>
  </si>
  <si>
    <t>Arawiran</t>
  </si>
  <si>
    <t>Gamaliel</t>
  </si>
  <si>
    <t>09064344064</t>
  </si>
  <si>
    <t>Jerwill</t>
  </si>
  <si>
    <t>09754169501</t>
  </si>
  <si>
    <t>Gonzales</t>
  </si>
  <si>
    <t>Xyriel</t>
  </si>
  <si>
    <t>09551589151</t>
  </si>
  <si>
    <t>09075260029</t>
  </si>
  <si>
    <t>Auza</t>
  </si>
  <si>
    <t>Fanfer Boy</t>
  </si>
  <si>
    <t>09814913385</t>
  </si>
  <si>
    <t>Tranquilino</t>
  </si>
  <si>
    <t>Rendel</t>
  </si>
  <si>
    <t>09092936036</t>
  </si>
  <si>
    <t>09155897470</t>
  </si>
  <si>
    <t>Pillatura</t>
  </si>
  <si>
    <t>Esmeraldo</t>
  </si>
  <si>
    <t>Antonio Jr.</t>
  </si>
  <si>
    <t>09302332877</t>
  </si>
  <si>
    <t>Japos</t>
  </si>
  <si>
    <t>Jemwil</t>
  </si>
  <si>
    <t>09487621166</t>
  </si>
  <si>
    <t>Ludripas</t>
  </si>
  <si>
    <t>Merlita</t>
  </si>
  <si>
    <t>09935789425</t>
  </si>
  <si>
    <t>Peleño</t>
  </si>
  <si>
    <t>Juliet</t>
  </si>
  <si>
    <t>Nov. 25-28</t>
  </si>
  <si>
    <t>Nov. 26</t>
  </si>
  <si>
    <t>November 25-28</t>
  </si>
  <si>
    <t>Marcos Mondredondo</t>
  </si>
  <si>
    <t>Alfredo Piscos</t>
  </si>
  <si>
    <t>December 2024</t>
  </si>
  <si>
    <t>09703285600</t>
  </si>
  <si>
    <t>Ligoyligoy</t>
  </si>
  <si>
    <t>09050227546</t>
  </si>
  <si>
    <t>Cano</t>
  </si>
  <si>
    <t>0926670285</t>
  </si>
  <si>
    <t>Balentucas</t>
  </si>
  <si>
    <t>09754521445</t>
  </si>
  <si>
    <t>Sohoton</t>
  </si>
  <si>
    <t>09165251089</t>
  </si>
  <si>
    <t>Moraga</t>
  </si>
  <si>
    <t>09304908953</t>
  </si>
  <si>
    <t>Kaitlyn</t>
  </si>
  <si>
    <t>09559831419</t>
  </si>
  <si>
    <t>09355104730</t>
  </si>
  <si>
    <t>09094436949</t>
  </si>
  <si>
    <t>Tupas</t>
  </si>
  <si>
    <t>Johnley</t>
  </si>
  <si>
    <t>09532890773</t>
  </si>
  <si>
    <t>Regine</t>
  </si>
  <si>
    <t>Canabe</t>
  </si>
  <si>
    <t>Honorato</t>
  </si>
  <si>
    <t>09059669833</t>
  </si>
  <si>
    <t>Estila</t>
  </si>
  <si>
    <t>Butlig</t>
  </si>
  <si>
    <t>Aproniano</t>
  </si>
  <si>
    <t>Reymundo</t>
  </si>
  <si>
    <t>09487690954</t>
  </si>
  <si>
    <t>Capillan</t>
  </si>
  <si>
    <t>09614052524</t>
  </si>
  <si>
    <t>Bernadette</t>
  </si>
  <si>
    <t>09367631603</t>
  </si>
  <si>
    <t>Papalid</t>
  </si>
  <si>
    <t>Moises</t>
  </si>
  <si>
    <t>Reynante</t>
  </si>
  <si>
    <t>Cagoco</t>
  </si>
  <si>
    <t>Poblacion Occ.</t>
  </si>
  <si>
    <t>Mara</t>
  </si>
  <si>
    <t>Asilo</t>
  </si>
  <si>
    <t>09550653122</t>
  </si>
  <si>
    <t>Damiano</t>
  </si>
  <si>
    <t>Magdalino</t>
  </si>
  <si>
    <t>09308914620</t>
  </si>
  <si>
    <t>09538075141</t>
  </si>
  <si>
    <t>Daguinod</t>
  </si>
  <si>
    <t>Melgie</t>
  </si>
  <si>
    <t xml:space="preserve">Bonbon </t>
  </si>
  <si>
    <t>09949311223</t>
  </si>
  <si>
    <t>Jupiter</t>
  </si>
  <si>
    <t>09857673722</t>
  </si>
  <si>
    <t>Canoy</t>
  </si>
  <si>
    <t>Renel</t>
  </si>
  <si>
    <t>09064526600</t>
  </si>
  <si>
    <t>Malaran</t>
  </si>
  <si>
    <t>Rey Anthony</t>
  </si>
  <si>
    <t>09352502186</t>
  </si>
  <si>
    <t>09537623041</t>
  </si>
  <si>
    <t>Rañola</t>
  </si>
  <si>
    <t>09155078043</t>
  </si>
  <si>
    <t>Cadenas</t>
  </si>
  <si>
    <t>Jovane</t>
  </si>
  <si>
    <t>09774893592</t>
  </si>
  <si>
    <t>LGU-Jagna</t>
  </si>
  <si>
    <t>09890298346</t>
  </si>
  <si>
    <t>Roderick J. Virtudazo</t>
  </si>
  <si>
    <t>09165295011</t>
  </si>
  <si>
    <t>Flavia</t>
  </si>
  <si>
    <t>Abehilan</t>
  </si>
  <si>
    <t>Digal</t>
  </si>
  <si>
    <t>Arnillo</t>
  </si>
  <si>
    <t>09950685532</t>
  </si>
  <si>
    <t>Tagupa</t>
  </si>
  <si>
    <t>Greg</t>
  </si>
  <si>
    <t>Bernante</t>
  </si>
  <si>
    <t>09554075315</t>
  </si>
  <si>
    <t>Galan</t>
  </si>
  <si>
    <t>09817976160</t>
  </si>
  <si>
    <t>Pasagdan</t>
  </si>
  <si>
    <t>Maricel</t>
  </si>
  <si>
    <t>Cogtong</t>
  </si>
  <si>
    <t>09282905915</t>
  </si>
  <si>
    <t>Cabrera</t>
  </si>
  <si>
    <t>09288272023</t>
  </si>
  <si>
    <t>Arong</t>
  </si>
  <si>
    <t>Elexer</t>
  </si>
  <si>
    <t>09973358781</t>
  </si>
  <si>
    <t>Llorente</t>
  </si>
  <si>
    <t>Cosme</t>
  </si>
  <si>
    <t>Anislag</t>
  </si>
  <si>
    <t>09389449660</t>
  </si>
  <si>
    <t>Meradores</t>
  </si>
  <si>
    <t>Julio</t>
  </si>
  <si>
    <t>December 2-9</t>
  </si>
  <si>
    <t>Dec. 3-6</t>
  </si>
  <si>
    <t>LGU-Garcia Hernandez</t>
  </si>
  <si>
    <t>09706281632</t>
  </si>
  <si>
    <t>Mary Ann Abucejo</t>
  </si>
  <si>
    <t>Abucejo</t>
  </si>
  <si>
    <t>Mary Ann</t>
  </si>
  <si>
    <t>Subsuban</t>
  </si>
  <si>
    <t>Celestino Sr.</t>
  </si>
  <si>
    <t>09934256202</t>
  </si>
  <si>
    <t>09152127860</t>
  </si>
  <si>
    <t>Carcueva</t>
  </si>
  <si>
    <t>Ralph Joshua</t>
  </si>
  <si>
    <t>09073488693</t>
  </si>
  <si>
    <t>Ijhon Lloyd</t>
  </si>
  <si>
    <t>09050487786</t>
  </si>
  <si>
    <t xml:space="preserve">Bueno </t>
  </si>
  <si>
    <t>Arthur Jr.</t>
  </si>
  <si>
    <t>09457382224</t>
  </si>
  <si>
    <t>Sancho</t>
  </si>
  <si>
    <t>Salarda</t>
  </si>
  <si>
    <t>Dexter</t>
  </si>
  <si>
    <t>09206608119</t>
  </si>
  <si>
    <t>Sherwin</t>
  </si>
  <si>
    <t>09257776715</t>
  </si>
  <si>
    <t>Syndel</t>
  </si>
  <si>
    <t>09307914354</t>
  </si>
  <si>
    <t>Gagape</t>
  </si>
  <si>
    <t>Carlos</t>
  </si>
  <si>
    <t>Cansungay</t>
  </si>
  <si>
    <t>09850812602</t>
  </si>
  <si>
    <t>Miano</t>
  </si>
  <si>
    <t>December 11-12</t>
  </si>
  <si>
    <t>Susana</t>
  </si>
  <si>
    <t>E</t>
  </si>
  <si>
    <r>
      <t>Da</t>
    </r>
    <r>
      <rPr>
        <sz val="10"/>
        <rFont val="Calibri"/>
        <family val="2"/>
      </rPr>
      <t>ñ</t>
    </r>
    <r>
      <rPr>
        <sz val="10"/>
        <rFont val="Arial"/>
        <family val="2"/>
      </rPr>
      <t>o</t>
    </r>
  </si>
  <si>
    <t>Gaspar Jr.</t>
  </si>
  <si>
    <t>Petalco</t>
  </si>
  <si>
    <t>Gorgonio</t>
  </si>
  <si>
    <t>Aparri</t>
  </si>
  <si>
    <t>Angelyn</t>
  </si>
  <si>
    <t>Domingo</t>
  </si>
  <si>
    <t>Regulacion</t>
  </si>
  <si>
    <t>Gelyn</t>
  </si>
  <si>
    <t>Nuez</t>
  </si>
  <si>
    <t>Maximino</t>
  </si>
  <si>
    <t>Castolo</t>
  </si>
  <si>
    <t>Rossel</t>
  </si>
  <si>
    <t>Alingig</t>
  </si>
  <si>
    <t>Junior</t>
  </si>
  <si>
    <t>Almonte</t>
  </si>
  <si>
    <t>Venchito</t>
  </si>
  <si>
    <t>Bulala</t>
  </si>
  <si>
    <t>Wendel</t>
  </si>
  <si>
    <t>Lantad</t>
  </si>
  <si>
    <t>Aradilla</t>
  </si>
  <si>
    <t>Cabuga</t>
  </si>
  <si>
    <t>Louie</t>
  </si>
  <si>
    <t>Celmar</t>
  </si>
  <si>
    <t>Jose Melvin</t>
  </si>
  <si>
    <t>Junas</t>
  </si>
  <si>
    <t>Cortez</t>
  </si>
  <si>
    <t>Vallente</t>
  </si>
  <si>
    <t>Kent Mark</t>
  </si>
  <si>
    <t>Payot</t>
  </si>
  <si>
    <t>Jonathan</t>
  </si>
  <si>
    <t>Renante</t>
  </si>
  <si>
    <t>Estanislao</t>
  </si>
  <si>
    <t>Ayenza</t>
  </si>
  <si>
    <t>Jesenio</t>
  </si>
  <si>
    <t>Walawala</t>
  </si>
  <si>
    <t>Gerly</t>
  </si>
  <si>
    <t>Casusula</t>
  </si>
  <si>
    <t>John Riel</t>
  </si>
  <si>
    <r>
      <t>Va</t>
    </r>
    <r>
      <rPr>
        <sz val="10"/>
        <rFont val="Calibri"/>
        <family val="2"/>
      </rPr>
      <t>ño</t>
    </r>
  </si>
  <si>
    <t>Mabel</t>
  </si>
  <si>
    <t>Suelo</t>
  </si>
  <si>
    <t>Remegildo</t>
  </si>
  <si>
    <t>Bagolor</t>
  </si>
  <si>
    <t>Zosimo</t>
  </si>
  <si>
    <t>Liloan Sur</t>
  </si>
  <si>
    <t>Lumangog</t>
  </si>
  <si>
    <t>Montecida</t>
  </si>
  <si>
    <t>Dec. 11</t>
  </si>
  <si>
    <t>Dec. 18</t>
  </si>
  <si>
    <t>December 17-26</t>
  </si>
  <si>
    <t>TOTAL PRODUCTION AREA</t>
  </si>
  <si>
    <t xml:space="preserve">7,000 sqm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</si>
</sst>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d\-mmm\-yyyy;@"/>
    <numFmt numFmtId="165" formatCode="_(* #,##0_);_(* \(#,##0\);_(* &quot;-&quot;??_);_(@_)"/>
    <numFmt numFmtId="166" formatCode="_(* #,##0.0_);_(* \(#,##0.0\);_(* &quot;-&quot;?_);_(@_)"/>
    <numFmt numFmtId="167" formatCode="_(* #,##0_);_(* \(#,##0\);_(* &quot;-&quot;?_);_(@_)"/>
  </numFmts>
  <fonts count="64" x14ac:knownFonts="1">
    <font>
      <sz val="11"/>
      <color theme="1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u/>
      <sz val="10"/>
      <name val="Arial"/>
      <family val="2"/>
    </font>
    <font>
      <u/>
      <sz val="9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3"/>
      <color theme="1"/>
      <name val="Calibri"/>
      <family val="2"/>
      <scheme val="minor"/>
    </font>
    <font>
      <b/>
      <i/>
      <sz val="20"/>
      <color theme="3"/>
      <name val="Cambria"/>
      <family val="1"/>
      <scheme val="major"/>
    </font>
    <font>
      <b/>
      <u/>
      <sz val="10"/>
      <color rgb="FFFF0000"/>
      <name val="Arial"/>
      <family val="2"/>
    </font>
    <font>
      <b/>
      <u/>
      <sz val="9"/>
      <color rgb="FFFF0000"/>
      <name val="Arial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b/>
      <u/>
      <sz val="11"/>
      <color rgb="FFFF0000"/>
      <name val="Calibri"/>
      <family val="2"/>
      <scheme val="minor"/>
    </font>
    <font>
      <sz val="11"/>
      <color theme="5"/>
      <name val="Arial"/>
      <family val="2"/>
    </font>
    <font>
      <sz val="14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i/>
      <sz val="10"/>
      <name val="Arial"/>
      <family val="2"/>
    </font>
    <font>
      <b/>
      <i/>
      <sz val="18"/>
      <color rgb="FFFF000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i/>
      <sz val="14"/>
      <color rgb="FF00B0F0"/>
      <name val="Calibri"/>
      <family val="2"/>
      <scheme val="minor"/>
    </font>
    <font>
      <sz val="11"/>
      <name val="Arial"/>
      <family val="2"/>
    </font>
    <font>
      <b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rgb="FF0070C0"/>
      <name val="Cambria"/>
      <family val="1"/>
      <scheme val="major"/>
    </font>
    <font>
      <b/>
      <sz val="15"/>
      <color theme="1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20"/>
      <color rgb="FF0070C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4"/>
      <color rgb="FF002060"/>
      <name val="Calibri"/>
      <family val="2"/>
      <scheme val="minor"/>
    </font>
    <font>
      <sz val="14"/>
      <color rgb="FF0070C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i/>
      <sz val="9"/>
      <color rgb="FFFF0000"/>
      <name val="Arial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DB3"/>
        <bgColor indexed="64"/>
      </patternFill>
    </fill>
    <fill>
      <patternFill patternType="solid">
        <fgColor rgb="FFFF9E6D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9A6E4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BD3F2"/>
        <bgColor indexed="64"/>
      </patternFill>
    </fill>
    <fill>
      <patternFill patternType="solid">
        <fgColor rgb="FFB2C3F4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0"/>
        <bgColor theme="6" tint="0.79998168889431442"/>
      </patternFill>
    </fill>
    <fill>
      <patternFill patternType="solid">
        <fgColor rgb="FFF8D590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3">
    <xf numFmtId="0" fontId="0" fillId="0" borderId="0"/>
    <xf numFmtId="43" fontId="11" fillId="0" borderId="0" applyFont="0" applyFill="0" applyBorder="0" applyAlignment="0" applyProtection="0"/>
    <xf numFmtId="0" fontId="16" fillId="0" borderId="0"/>
  </cellStyleXfs>
  <cellXfs count="651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/>
    <xf numFmtId="0" fontId="4" fillId="0" borderId="0" xfId="0" applyFont="1" applyAlignment="1">
      <alignment horizontal="right"/>
    </xf>
    <xf numFmtId="0" fontId="0" fillId="0" borderId="0" xfId="0" applyBorder="1" applyAlignment="1">
      <alignment horizontal="left"/>
    </xf>
    <xf numFmtId="0" fontId="0" fillId="0" borderId="1" xfId="0" applyBorder="1" applyAlignment="1">
      <alignment horizontal="left"/>
    </xf>
    <xf numFmtId="0" fontId="5" fillId="0" borderId="5" xfId="0" applyFont="1" applyBorder="1"/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4" xfId="0" applyFont="1" applyBorder="1" applyAlignment="1">
      <alignment horizontal="center"/>
    </xf>
    <xf numFmtId="0" fontId="8" fillId="0" borderId="11" xfId="0" applyFont="1" applyFill="1" applyBorder="1"/>
    <xf numFmtId="38" fontId="9" fillId="0" borderId="4" xfId="0" applyNumberFormat="1" applyFont="1" applyFill="1" applyBorder="1" applyAlignment="1">
      <alignment horizontal="center"/>
    </xf>
    <xf numFmtId="4" fontId="9" fillId="0" borderId="4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4" xfId="0" applyBorder="1" applyAlignment="1">
      <alignment horizontal="left"/>
    </xf>
    <xf numFmtId="0" fontId="0" fillId="0" borderId="11" xfId="0" applyBorder="1" applyAlignment="1">
      <alignment horizontal="left"/>
    </xf>
    <xf numFmtId="0" fontId="8" fillId="0" borderId="4" xfId="0" applyFont="1" applyFill="1" applyBorder="1"/>
    <xf numFmtId="0" fontId="9" fillId="0" borderId="11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7" fillId="0" borderId="5" xfId="0" applyFont="1" applyFill="1" applyBorder="1"/>
    <xf numFmtId="0" fontId="7" fillId="0" borderId="5" xfId="0" applyFont="1" applyBorder="1"/>
    <xf numFmtId="0" fontId="7" fillId="0" borderId="5" xfId="0" applyFont="1" applyBorder="1" applyAlignment="1">
      <alignment horizontal="center"/>
    </xf>
    <xf numFmtId="0" fontId="0" fillId="0" borderId="14" xfId="0" applyBorder="1"/>
    <xf numFmtId="3" fontId="0" fillId="0" borderId="14" xfId="0" applyNumberFormat="1" applyBorder="1"/>
    <xf numFmtId="3" fontId="0" fillId="0" borderId="0" xfId="0" applyNumberFormat="1" applyBorder="1"/>
    <xf numFmtId="0" fontId="4" fillId="0" borderId="0" xfId="0" applyFont="1"/>
    <xf numFmtId="0" fontId="7" fillId="0" borderId="0" xfId="0" applyFont="1"/>
    <xf numFmtId="3" fontId="0" fillId="0" borderId="0" xfId="0" applyNumberFormat="1"/>
    <xf numFmtId="0" fontId="0" fillId="0" borderId="0" xfId="0" applyAlignment="1">
      <alignment horizontal="right"/>
    </xf>
    <xf numFmtId="4" fontId="0" fillId="0" borderId="0" xfId="0" applyNumberFormat="1"/>
    <xf numFmtId="0" fontId="0" fillId="0" borderId="2" xfId="0" applyBorder="1"/>
    <xf numFmtId="0" fontId="5" fillId="0" borderId="12" xfId="0" applyFont="1" applyBorder="1"/>
    <xf numFmtId="0" fontId="7" fillId="0" borderId="0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/>
    <xf numFmtId="0" fontId="8" fillId="0" borderId="2" xfId="0" applyFont="1" applyBorder="1" applyAlignment="1">
      <alignment horizontal="center"/>
    </xf>
    <xf numFmtId="0" fontId="8" fillId="0" borderId="1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4" fontId="0" fillId="0" borderId="2" xfId="0" applyNumberFormat="1" applyBorder="1"/>
    <xf numFmtId="0" fontId="8" fillId="0" borderId="11" xfId="0" applyFont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3" fontId="8" fillId="0" borderId="4" xfId="0" applyNumberFormat="1" applyFont="1" applyFill="1" applyBorder="1" applyAlignment="1">
      <alignment horizontal="center"/>
    </xf>
    <xf numFmtId="0" fontId="8" fillId="0" borderId="11" xfId="0" applyFont="1" applyFill="1" applyBorder="1" applyAlignment="1">
      <alignment horizontal="right"/>
    </xf>
    <xf numFmtId="3" fontId="8" fillId="0" borderId="4" xfId="0" applyNumberFormat="1" applyFont="1" applyBorder="1" applyAlignment="1">
      <alignment horizontal="center"/>
    </xf>
    <xf numFmtId="4" fontId="7" fillId="0" borderId="4" xfId="0" applyNumberFormat="1" applyFont="1" applyBorder="1"/>
    <xf numFmtId="0" fontId="0" fillId="0" borderId="5" xfId="0" applyBorder="1" applyAlignment="1">
      <alignment horizontal="right"/>
    </xf>
    <xf numFmtId="0" fontId="8" fillId="0" borderId="0" xfId="0" applyFont="1" applyFill="1" applyAlignment="1">
      <alignment horizontal="center"/>
    </xf>
    <xf numFmtId="0" fontId="7" fillId="0" borderId="5" xfId="0" applyFont="1" applyFill="1" applyBorder="1" applyAlignment="1">
      <alignment horizontal="center"/>
    </xf>
    <xf numFmtId="0" fontId="7" fillId="0" borderId="5" xfId="0" applyFont="1" applyBorder="1" applyAlignment="1">
      <alignment horizontal="right"/>
    </xf>
    <xf numFmtId="3" fontId="8" fillId="0" borderId="6" xfId="0" applyNumberFormat="1" applyFont="1" applyBorder="1" applyAlignment="1">
      <alignment horizontal="center"/>
    </xf>
    <xf numFmtId="4" fontId="7" fillId="0" borderId="5" xfId="0" applyNumberFormat="1" applyFont="1" applyBorder="1"/>
    <xf numFmtId="0" fontId="10" fillId="0" borderId="14" xfId="0" applyFont="1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4" xfId="0" applyBorder="1" applyAlignment="1">
      <alignment horizontal="right"/>
    </xf>
    <xf numFmtId="4" fontId="0" fillId="0" borderId="14" xfId="0" applyNumberFormat="1" applyBorder="1"/>
    <xf numFmtId="0" fontId="0" fillId="0" borderId="14" xfId="0" applyFill="1" applyBorder="1"/>
    <xf numFmtId="0" fontId="0" fillId="0" borderId="0" xfId="0" applyFill="1" applyBorder="1"/>
    <xf numFmtId="3" fontId="0" fillId="0" borderId="0" xfId="0" applyNumberFormat="1" applyFill="1" applyBorder="1"/>
    <xf numFmtId="0" fontId="0" fillId="0" borderId="0" xfId="0" applyFill="1"/>
    <xf numFmtId="0" fontId="9" fillId="0" borderId="0" xfId="0" applyFont="1"/>
    <xf numFmtId="0" fontId="16" fillId="0" borderId="3" xfId="0" applyFont="1" applyBorder="1"/>
    <xf numFmtId="0" fontId="16" fillId="0" borderId="4" xfId="0" applyFont="1" applyBorder="1"/>
    <xf numFmtId="0" fontId="16" fillId="0" borderId="6" xfId="0" applyFont="1" applyBorder="1"/>
    <xf numFmtId="0" fontId="0" fillId="0" borderId="9" xfId="0" applyBorder="1"/>
    <xf numFmtId="0" fontId="15" fillId="0" borderId="9" xfId="0" applyFont="1" applyBorder="1" applyAlignment="1">
      <alignment horizontal="center" vertical="center"/>
    </xf>
    <xf numFmtId="165" fontId="0" fillId="0" borderId="0" xfId="0" applyNumberFormat="1"/>
    <xf numFmtId="0" fontId="4" fillId="0" borderId="0" xfId="0" applyFont="1" applyFill="1"/>
    <xf numFmtId="3" fontId="4" fillId="0" borderId="0" xfId="0" applyNumberFormat="1" applyFont="1" applyFill="1"/>
    <xf numFmtId="0" fontId="0" fillId="0" borderId="0" xfId="0" applyAlignment="1">
      <alignment vertical="center"/>
    </xf>
    <xf numFmtId="0" fontId="7" fillId="0" borderId="4" xfId="0" applyFont="1" applyFill="1" applyBorder="1" applyAlignment="1">
      <alignment horizontal="center"/>
    </xf>
    <xf numFmtId="43" fontId="9" fillId="0" borderId="4" xfId="1" applyFont="1" applyFill="1" applyBorder="1" applyAlignment="1">
      <alignment horizontal="center"/>
    </xf>
    <xf numFmtId="43" fontId="0" fillId="0" borderId="14" xfId="1" applyFont="1" applyFill="1" applyBorder="1"/>
    <xf numFmtId="0" fontId="19" fillId="0" borderId="14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4" fillId="0" borderId="0" xfId="0" applyFont="1" applyFill="1" applyAlignment="1">
      <alignment horizontal="right"/>
    </xf>
    <xf numFmtId="0" fontId="4" fillId="0" borderId="0" xfId="0" applyFont="1" applyFill="1" applyBorder="1" applyAlignment="1">
      <alignment horizontal="right"/>
    </xf>
    <xf numFmtId="0" fontId="4" fillId="0" borderId="2" xfId="0" applyFont="1" applyFill="1" applyBorder="1" applyAlignment="1">
      <alignment horizontal="right"/>
    </xf>
    <xf numFmtId="0" fontId="4" fillId="0" borderId="11" xfId="0" applyFont="1" applyFill="1" applyBorder="1" applyAlignment="1">
      <alignment horizontal="right"/>
    </xf>
    <xf numFmtId="0" fontId="4" fillId="0" borderId="5" xfId="0" applyFont="1" applyFill="1" applyBorder="1" applyAlignment="1">
      <alignment horizontal="right"/>
    </xf>
    <xf numFmtId="38" fontId="4" fillId="0" borderId="0" xfId="0" applyNumberFormat="1" applyFont="1" applyFill="1"/>
    <xf numFmtId="38" fontId="4" fillId="0" borderId="0" xfId="0" applyNumberFormat="1" applyFont="1" applyFill="1" applyBorder="1"/>
    <xf numFmtId="0" fontId="9" fillId="0" borderId="5" xfId="0" applyFont="1" applyFill="1" applyBorder="1" applyAlignment="1">
      <alignment horizontal="right"/>
    </xf>
    <xf numFmtId="38" fontId="9" fillId="0" borderId="6" xfId="0" applyNumberFormat="1" applyFont="1" applyFill="1" applyBorder="1" applyAlignment="1">
      <alignment horizontal="center"/>
    </xf>
    <xf numFmtId="0" fontId="20" fillId="0" borderId="10" xfId="0" applyFont="1" applyBorder="1" applyAlignment="1">
      <alignment horizontal="center" vertical="center"/>
    </xf>
    <xf numFmtId="0" fontId="16" fillId="0" borderId="7" xfId="0" applyFont="1" applyBorder="1"/>
    <xf numFmtId="0" fontId="16" fillId="0" borderId="12" xfId="0" applyFont="1" applyBorder="1"/>
    <xf numFmtId="0" fontId="16" fillId="0" borderId="13" xfId="0" applyFont="1" applyBorder="1"/>
    <xf numFmtId="166" fontId="0" fillId="0" borderId="0" xfId="0" applyNumberFormat="1"/>
    <xf numFmtId="0" fontId="20" fillId="0" borderId="14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2" fillId="0" borderId="0" xfId="0" applyFont="1" applyFill="1" applyBorder="1"/>
    <xf numFmtId="0" fontId="2" fillId="0" borderId="11" xfId="0" applyFont="1" applyFill="1" applyBorder="1"/>
    <xf numFmtId="167" fontId="0" fillId="0" borderId="0" xfId="0" applyNumberFormat="1"/>
    <xf numFmtId="165" fontId="0" fillId="0" borderId="0" xfId="0" applyNumberFormat="1" applyFill="1"/>
    <xf numFmtId="0" fontId="7" fillId="0" borderId="0" xfId="0" applyFont="1" applyFill="1"/>
    <xf numFmtId="0" fontId="2" fillId="0" borderId="14" xfId="0" applyFont="1" applyFill="1" applyBorder="1"/>
    <xf numFmtId="0" fontId="2" fillId="0" borderId="5" xfId="0" applyFont="1" applyFill="1" applyBorder="1"/>
    <xf numFmtId="0" fontId="0" fillId="0" borderId="0" xfId="0" applyFill="1" applyAlignment="1">
      <alignment horizontal="left"/>
    </xf>
    <xf numFmtId="43" fontId="4" fillId="0" borderId="0" xfId="1" applyFont="1" applyFill="1"/>
    <xf numFmtId="0" fontId="2" fillId="0" borderId="2" xfId="0" applyFont="1" applyFill="1" applyBorder="1"/>
    <xf numFmtId="0" fontId="2" fillId="0" borderId="3" xfId="0" applyFont="1" applyFill="1" applyBorder="1"/>
    <xf numFmtId="43" fontId="4" fillId="0" borderId="4" xfId="1" applyFont="1" applyFill="1" applyBorder="1"/>
    <xf numFmtId="0" fontId="0" fillId="0" borderId="0" xfId="0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2" fillId="0" borderId="6" xfId="0" applyFont="1" applyFill="1" applyBorder="1"/>
    <xf numFmtId="0" fontId="0" fillId="0" borderId="7" xfId="0" applyFill="1" applyBorder="1" applyAlignment="1">
      <alignment horizontal="center"/>
    </xf>
    <xf numFmtId="0" fontId="0" fillId="0" borderId="3" xfId="0" applyFill="1" applyBorder="1" applyAlignment="1">
      <alignment horizontal="left"/>
    </xf>
    <xf numFmtId="43" fontId="4" fillId="0" borderId="2" xfId="1" applyFont="1" applyFill="1" applyBorder="1"/>
    <xf numFmtId="0" fontId="0" fillId="0" borderId="11" xfId="0" applyFill="1" applyBorder="1"/>
    <xf numFmtId="0" fontId="0" fillId="0" borderId="12" xfId="0" applyFill="1" applyBorder="1" applyAlignment="1">
      <alignment horizontal="center"/>
    </xf>
    <xf numFmtId="0" fontId="0" fillId="0" borderId="4" xfId="0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43" fontId="9" fillId="0" borderId="4" xfId="1" applyFont="1" applyFill="1" applyBorder="1"/>
    <xf numFmtId="0" fontId="0" fillId="0" borderId="13" xfId="0" applyFill="1" applyBorder="1" applyAlignment="1">
      <alignment horizontal="center"/>
    </xf>
    <xf numFmtId="0" fontId="0" fillId="0" borderId="6" xfId="0" applyFill="1" applyBorder="1" applyAlignment="1">
      <alignment horizontal="left"/>
    </xf>
    <xf numFmtId="43" fontId="9" fillId="0" borderId="5" xfId="1" applyFont="1" applyFill="1" applyBorder="1"/>
    <xf numFmtId="43" fontId="0" fillId="0" borderId="0" xfId="1" applyFont="1" applyFill="1" applyBorder="1"/>
    <xf numFmtId="43" fontId="0" fillId="0" borderId="0" xfId="1" applyFont="1" applyFill="1"/>
    <xf numFmtId="43" fontId="9" fillId="0" borderId="0" xfId="1" applyFont="1" applyFill="1"/>
    <xf numFmtId="0" fontId="12" fillId="0" borderId="0" xfId="0" applyFont="1" applyFill="1"/>
    <xf numFmtId="43" fontId="4" fillId="0" borderId="0" xfId="1" applyFont="1" applyFill="1" applyAlignment="1">
      <alignment horizontal="right"/>
    </xf>
    <xf numFmtId="0" fontId="26" fillId="0" borderId="4" xfId="0" applyFont="1" applyFill="1" applyBorder="1" applyAlignment="1">
      <alignment horizontal="left"/>
    </xf>
    <xf numFmtId="0" fontId="27" fillId="0" borderId="0" xfId="0" applyFont="1" applyFill="1" applyAlignment="1">
      <alignment horizontal="left"/>
    </xf>
    <xf numFmtId="3" fontId="27" fillId="0" borderId="0" xfId="0" applyNumberFormat="1" applyFont="1" applyFill="1" applyAlignment="1">
      <alignment horizontal="left"/>
    </xf>
    <xf numFmtId="0" fontId="30" fillId="0" borderId="4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8" fillId="0" borderId="0" xfId="0" applyFont="1"/>
    <xf numFmtId="3" fontId="27" fillId="0" borderId="0" xfId="0" applyNumberFormat="1" applyFont="1" applyAlignment="1">
      <alignment horizontal="left"/>
    </xf>
    <xf numFmtId="165" fontId="32" fillId="0" borderId="14" xfId="1" applyNumberFormat="1" applyFont="1" applyFill="1" applyBorder="1"/>
    <xf numFmtId="165" fontId="33" fillId="0" borderId="14" xfId="1" applyNumberFormat="1" applyFont="1" applyFill="1" applyBorder="1"/>
    <xf numFmtId="165" fontId="33" fillId="0" borderId="14" xfId="0" applyNumberFormat="1" applyFont="1" applyFill="1" applyBorder="1"/>
    <xf numFmtId="165" fontId="32" fillId="0" borderId="14" xfId="1" applyNumberFormat="1" applyFont="1" applyFill="1" applyBorder="1" applyAlignment="1">
      <alignment vertical="center"/>
    </xf>
    <xf numFmtId="0" fontId="32" fillId="0" borderId="14" xfId="0" applyFont="1" applyBorder="1"/>
    <xf numFmtId="165" fontId="32" fillId="0" borderId="14" xfId="1" applyNumberFormat="1" applyFont="1" applyBorder="1"/>
    <xf numFmtId="0" fontId="32" fillId="0" borderId="14" xfId="0" applyFont="1" applyFill="1" applyBorder="1"/>
    <xf numFmtId="0" fontId="34" fillId="0" borderId="14" xfId="0" applyFont="1" applyFill="1" applyBorder="1" applyAlignment="1">
      <alignment horizontal="right"/>
    </xf>
    <xf numFmtId="0" fontId="14" fillId="0" borderId="0" xfId="0" applyFont="1"/>
    <xf numFmtId="0" fontId="10" fillId="0" borderId="14" xfId="0" applyFont="1" applyFill="1" applyBorder="1" applyAlignment="1">
      <alignment horizontal="center"/>
    </xf>
    <xf numFmtId="0" fontId="37" fillId="0" borderId="17" xfId="0" applyFont="1" applyFill="1" applyBorder="1"/>
    <xf numFmtId="165" fontId="14" fillId="0" borderId="0" xfId="0" applyNumberFormat="1" applyFont="1"/>
    <xf numFmtId="17" fontId="22" fillId="0" borderId="27" xfId="0" applyNumberFormat="1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15" fillId="0" borderId="21" xfId="0" applyFont="1" applyBorder="1" applyAlignment="1">
      <alignment vertical="center"/>
    </xf>
    <xf numFmtId="3" fontId="0" fillId="0" borderId="29" xfId="0" applyNumberFormat="1" applyBorder="1" applyAlignment="1">
      <alignment horizontal="right" vertical="center"/>
    </xf>
    <xf numFmtId="165" fontId="0" fillId="0" borderId="30" xfId="1" applyNumberFormat="1" applyFont="1" applyBorder="1" applyAlignment="1">
      <alignment vertical="center"/>
    </xf>
    <xf numFmtId="165" fontId="0" fillId="0" borderId="29" xfId="1" applyNumberFormat="1" applyFont="1" applyBorder="1" applyAlignment="1">
      <alignment vertical="center"/>
    </xf>
    <xf numFmtId="167" fontId="0" fillId="0" borderId="30" xfId="0" applyNumberFormat="1" applyBorder="1" applyAlignment="1">
      <alignment vertical="center"/>
    </xf>
    <xf numFmtId="0" fontId="0" fillId="0" borderId="29" xfId="0" applyBorder="1" applyAlignment="1">
      <alignment vertical="center"/>
    </xf>
    <xf numFmtId="3" fontId="0" fillId="0" borderId="30" xfId="0" applyNumberFormat="1" applyBorder="1" applyAlignment="1">
      <alignment vertical="center"/>
    </xf>
    <xf numFmtId="3" fontId="0" fillId="0" borderId="26" xfId="0" applyNumberFormat="1" applyBorder="1" applyAlignment="1">
      <alignment horizontal="right" vertical="center"/>
    </xf>
    <xf numFmtId="165" fontId="0" fillId="0" borderId="26" xfId="1" applyNumberFormat="1" applyFont="1" applyBorder="1" applyAlignment="1">
      <alignment vertical="center"/>
    </xf>
    <xf numFmtId="3" fontId="0" fillId="0" borderId="26" xfId="0" applyNumberFormat="1" applyBorder="1" applyAlignment="1">
      <alignment vertical="center"/>
    </xf>
    <xf numFmtId="0" fontId="0" fillId="0" borderId="26" xfId="0" applyBorder="1" applyAlignment="1">
      <alignment vertical="center"/>
    </xf>
    <xf numFmtId="165" fontId="0" fillId="0" borderId="26" xfId="1" applyNumberFormat="1" applyFont="1" applyBorder="1" applyAlignment="1">
      <alignment horizontal="right" vertical="center"/>
    </xf>
    <xf numFmtId="0" fontId="0" fillId="0" borderId="31" xfId="0" applyBorder="1" applyAlignment="1">
      <alignment vertical="center"/>
    </xf>
    <xf numFmtId="3" fontId="0" fillId="0" borderId="24" xfId="0" applyNumberFormat="1" applyFont="1" applyBorder="1" applyAlignment="1">
      <alignment vertical="center"/>
    </xf>
    <xf numFmtId="165" fontId="11" fillId="0" borderId="25" xfId="1" applyNumberFormat="1" applyFont="1" applyBorder="1" applyAlignment="1">
      <alignment vertical="center"/>
    </xf>
    <xf numFmtId="165" fontId="0" fillId="0" borderId="24" xfId="0" applyNumberFormat="1" applyFont="1" applyBorder="1" applyAlignment="1">
      <alignment vertical="center"/>
    </xf>
    <xf numFmtId="3" fontId="0" fillId="0" borderId="25" xfId="0" applyNumberFormat="1" applyFont="1" applyBorder="1" applyAlignment="1">
      <alignment vertical="center"/>
    </xf>
    <xf numFmtId="165" fontId="11" fillId="0" borderId="24" xfId="1" applyNumberFormat="1" applyFont="1" applyBorder="1" applyAlignment="1">
      <alignment vertical="center"/>
    </xf>
    <xf numFmtId="0" fontId="0" fillId="0" borderId="12" xfId="0" applyBorder="1" applyAlignment="1">
      <alignment horizontal="center"/>
    </xf>
    <xf numFmtId="0" fontId="39" fillId="0" borderId="0" xfId="0" applyFont="1" applyFill="1"/>
    <xf numFmtId="165" fontId="25" fillId="10" borderId="14" xfId="0" applyNumberFormat="1" applyFont="1" applyFill="1" applyBorder="1" applyAlignment="1">
      <alignment vertical="center"/>
    </xf>
    <xf numFmtId="2" fontId="25" fillId="10" borderId="14" xfId="0" applyNumberFormat="1" applyFont="1" applyFill="1" applyBorder="1" applyAlignment="1">
      <alignment vertical="center"/>
    </xf>
    <xf numFmtId="0" fontId="0" fillId="0" borderId="2" xfId="0" applyFill="1" applyBorder="1" applyAlignment="1">
      <alignment horizontal="left"/>
    </xf>
    <xf numFmtId="0" fontId="0" fillId="0" borderId="5" xfId="0" applyFill="1" applyBorder="1" applyAlignment="1">
      <alignment horizontal="left"/>
    </xf>
    <xf numFmtId="43" fontId="0" fillId="0" borderId="0" xfId="0" applyNumberFormat="1"/>
    <xf numFmtId="20" fontId="0" fillId="0" borderId="0" xfId="0" applyNumberFormat="1"/>
    <xf numFmtId="0" fontId="40" fillId="0" borderId="0" xfId="0" applyFont="1"/>
    <xf numFmtId="165" fontId="40" fillId="6" borderId="0" xfId="0" applyNumberFormat="1" applyFont="1" applyFill="1"/>
    <xf numFmtId="165" fontId="40" fillId="0" borderId="0" xfId="0" applyNumberFormat="1" applyFont="1"/>
    <xf numFmtId="0" fontId="40" fillId="6" borderId="0" xfId="0" applyFont="1" applyFill="1"/>
    <xf numFmtId="0" fontId="41" fillId="0" borderId="0" xfId="0" applyFont="1"/>
    <xf numFmtId="165" fontId="41" fillId="0" borderId="0" xfId="0" applyNumberFormat="1" applyFont="1"/>
    <xf numFmtId="166" fontId="41" fillId="0" borderId="0" xfId="0" applyNumberFormat="1" applyFont="1"/>
    <xf numFmtId="166" fontId="40" fillId="6" borderId="0" xfId="0" applyNumberFormat="1" applyFont="1" applyFill="1"/>
    <xf numFmtId="0" fontId="38" fillId="0" borderId="14" xfId="0" applyFont="1" applyFill="1" applyBorder="1" applyAlignment="1">
      <alignment vertical="center"/>
    </xf>
    <xf numFmtId="0" fontId="40" fillId="0" borderId="0" xfId="0" applyFont="1" applyFill="1"/>
    <xf numFmtId="165" fontId="40" fillId="0" borderId="0" xfId="0" applyNumberFormat="1" applyFont="1" applyFill="1"/>
    <xf numFmtId="165" fontId="41" fillId="0" borderId="0" xfId="0" applyNumberFormat="1" applyFont="1" applyFill="1"/>
    <xf numFmtId="0" fontId="44" fillId="12" borderId="14" xfId="0" applyFont="1" applyFill="1" applyBorder="1"/>
    <xf numFmtId="165" fontId="44" fillId="12" borderId="14" xfId="0" applyNumberFormat="1" applyFont="1" applyFill="1" applyBorder="1"/>
    <xf numFmtId="0" fontId="45" fillId="12" borderId="14" xfId="0" applyFont="1" applyFill="1" applyBorder="1"/>
    <xf numFmtId="17" fontId="33" fillId="0" borderId="14" xfId="0" quotePrefix="1" applyNumberFormat="1" applyFont="1" applyFill="1" applyBorder="1" applyAlignment="1">
      <alignment horizontal="center" vertical="center"/>
    </xf>
    <xf numFmtId="165" fontId="32" fillId="0" borderId="14" xfId="1" applyNumberFormat="1" applyFont="1" applyFill="1" applyBorder="1" applyAlignment="1">
      <alignment horizontal="center" vertical="center"/>
    </xf>
    <xf numFmtId="165" fontId="33" fillId="0" borderId="14" xfId="1" applyNumberFormat="1" applyFont="1" applyFill="1" applyBorder="1" applyAlignment="1">
      <alignment horizontal="center" vertical="center"/>
    </xf>
    <xf numFmtId="165" fontId="33" fillId="0" borderId="14" xfId="0" applyNumberFormat="1" applyFont="1" applyFill="1" applyBorder="1" applyAlignment="1">
      <alignment horizontal="center" vertical="center"/>
    </xf>
    <xf numFmtId="165" fontId="47" fillId="0" borderId="14" xfId="1" applyNumberFormat="1" applyFont="1" applyFill="1" applyBorder="1" applyAlignment="1">
      <alignment horizontal="center" vertical="center"/>
    </xf>
    <xf numFmtId="3" fontId="47" fillId="0" borderId="14" xfId="0" applyNumberFormat="1" applyFont="1" applyBorder="1" applyAlignment="1">
      <alignment horizontal="center" vertical="center"/>
    </xf>
    <xf numFmtId="17" fontId="33" fillId="0" borderId="14" xfId="0" quotePrefix="1" applyNumberFormat="1" applyFont="1" applyFill="1" applyBorder="1" applyAlignment="1">
      <alignment horizontal="center" vertical="center" wrapText="1"/>
    </xf>
    <xf numFmtId="0" fontId="47" fillId="0" borderId="14" xfId="0" applyFont="1" applyBorder="1" applyAlignment="1">
      <alignment horizontal="center" vertical="center"/>
    </xf>
    <xf numFmtId="17" fontId="33" fillId="0" borderId="5" xfId="0" quotePrefix="1" applyNumberFormat="1" applyFont="1" applyFill="1" applyBorder="1" applyAlignment="1">
      <alignment horizontal="center" vertical="center"/>
    </xf>
    <xf numFmtId="165" fontId="32" fillId="0" borderId="5" xfId="1" applyNumberFormat="1" applyFont="1" applyFill="1" applyBorder="1" applyAlignment="1">
      <alignment horizontal="center" vertical="center"/>
    </xf>
    <xf numFmtId="165" fontId="33" fillId="0" borderId="5" xfId="1" applyNumberFormat="1" applyFont="1" applyFill="1" applyBorder="1" applyAlignment="1">
      <alignment horizontal="center" vertical="center"/>
    </xf>
    <xf numFmtId="165" fontId="33" fillId="0" borderId="5" xfId="0" applyNumberFormat="1" applyFont="1" applyFill="1" applyBorder="1" applyAlignment="1">
      <alignment horizontal="center" vertical="center"/>
    </xf>
    <xf numFmtId="165" fontId="47" fillId="0" borderId="5" xfId="1" applyNumberFormat="1" applyFont="1" applyFill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 wrapText="1"/>
    </xf>
    <xf numFmtId="0" fontId="43" fillId="0" borderId="27" xfId="0" applyFont="1" applyBorder="1" applyAlignment="1">
      <alignment horizontal="center" vertical="center"/>
    </xf>
    <xf numFmtId="0" fontId="43" fillId="0" borderId="28" xfId="0" applyFont="1" applyBorder="1" applyAlignment="1">
      <alignment horizontal="center" vertical="center" wrapText="1"/>
    </xf>
    <xf numFmtId="0" fontId="46" fillId="9" borderId="35" xfId="0" applyFont="1" applyFill="1" applyBorder="1" applyAlignment="1">
      <alignment horizontal="center" vertical="center"/>
    </xf>
    <xf numFmtId="0" fontId="43" fillId="0" borderId="36" xfId="0" applyFont="1" applyBorder="1" applyAlignment="1">
      <alignment horizontal="center" vertical="center" wrapText="1"/>
    </xf>
    <xf numFmtId="0" fontId="2" fillId="0" borderId="14" xfId="0" applyFont="1" applyFill="1" applyBorder="1" applyAlignment="1">
      <alignment wrapText="1"/>
    </xf>
    <xf numFmtId="0" fontId="0" fillId="0" borderId="0" xfId="0" applyFill="1" applyAlignment="1">
      <alignment vertical="center"/>
    </xf>
    <xf numFmtId="165" fontId="33" fillId="8" borderId="14" xfId="1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49" fillId="0" borderId="14" xfId="0" applyFont="1" applyFill="1" applyBorder="1" applyAlignment="1">
      <alignment horizontal="center"/>
    </xf>
    <xf numFmtId="0" fontId="49" fillId="0" borderId="14" xfId="0" applyFont="1" applyFill="1" applyBorder="1"/>
    <xf numFmtId="0" fontId="49" fillId="0" borderId="14" xfId="0" quotePrefix="1" applyFont="1" applyFill="1" applyBorder="1" applyAlignment="1">
      <alignment vertical="center"/>
    </xf>
    <xf numFmtId="0" fontId="38" fillId="0" borderId="14" xfId="0" applyFont="1" applyFill="1" applyBorder="1"/>
    <xf numFmtId="165" fontId="49" fillId="0" borderId="14" xfId="1" applyNumberFormat="1" applyFont="1" applyFill="1" applyBorder="1" applyAlignment="1">
      <alignment vertical="center"/>
    </xf>
    <xf numFmtId="2" fontId="49" fillId="0" borderId="14" xfId="0" applyNumberFormat="1" applyFont="1" applyFill="1" applyBorder="1" applyAlignment="1">
      <alignment vertical="center"/>
    </xf>
    <xf numFmtId="165" fontId="49" fillId="0" borderId="14" xfId="1" applyNumberFormat="1" applyFont="1" applyFill="1" applyBorder="1"/>
    <xf numFmtId="0" fontId="2" fillId="0" borderId="14" xfId="0" applyFont="1" applyFill="1" applyBorder="1" applyAlignment="1">
      <alignment horizontal="center"/>
    </xf>
    <xf numFmtId="0" fontId="50" fillId="0" borderId="14" xfId="0" applyFont="1" applyFill="1" applyBorder="1" applyAlignment="1">
      <alignment horizontal="center"/>
    </xf>
    <xf numFmtId="0" fontId="50" fillId="0" borderId="14" xfId="0" applyFont="1" applyFill="1" applyBorder="1"/>
    <xf numFmtId="0" fontId="50" fillId="0" borderId="14" xfId="0" quotePrefix="1" applyFont="1" applyFill="1" applyBorder="1"/>
    <xf numFmtId="3" fontId="2" fillId="0" borderId="14" xfId="0" applyNumberFormat="1" applyFont="1" applyFill="1" applyBorder="1"/>
    <xf numFmtId="43" fontId="2" fillId="0" borderId="14" xfId="1" applyFont="1" applyFill="1" applyBorder="1"/>
    <xf numFmtId="0" fontId="50" fillId="11" borderId="14" xfId="0" applyFont="1" applyFill="1" applyBorder="1" applyAlignment="1">
      <alignment horizontal="center"/>
    </xf>
    <xf numFmtId="43" fontId="2" fillId="11" borderId="14" xfId="1" applyFont="1" applyFill="1" applyBorder="1"/>
    <xf numFmtId="0" fontId="50" fillId="11" borderId="14" xfId="0" applyFont="1" applyFill="1" applyBorder="1"/>
    <xf numFmtId="0" fontId="50" fillId="11" borderId="14" xfId="0" quotePrefix="1" applyFont="1" applyFill="1" applyBorder="1"/>
    <xf numFmtId="3" fontId="2" fillId="11" borderId="14" xfId="0" applyNumberFormat="1" applyFont="1" applyFill="1" applyBorder="1"/>
    <xf numFmtId="0" fontId="2" fillId="11" borderId="14" xfId="0" applyFont="1" applyFill="1" applyBorder="1"/>
    <xf numFmtId="165" fontId="50" fillId="0" borderId="14" xfId="1" applyNumberFormat="1" applyFont="1" applyFill="1" applyBorder="1"/>
    <xf numFmtId="43" fontId="50" fillId="0" borderId="14" xfId="1" applyFont="1" applyFill="1" applyBorder="1"/>
    <xf numFmtId="165" fontId="50" fillId="11" borderId="14" xfId="1" applyNumberFormat="1" applyFont="1" applyFill="1" applyBorder="1"/>
    <xf numFmtId="0" fontId="38" fillId="0" borderId="14" xfId="0" applyFont="1" applyBorder="1" applyAlignment="1">
      <alignment horizontal="center"/>
    </xf>
    <xf numFmtId="0" fontId="49" fillId="0" borderId="14" xfId="0" applyFont="1" applyBorder="1" applyAlignment="1">
      <alignment horizontal="left"/>
    </xf>
    <xf numFmtId="3" fontId="49" fillId="0" borderId="14" xfId="0" applyNumberFormat="1" applyFont="1" applyBorder="1"/>
    <xf numFmtId="0" fontId="49" fillId="0" borderId="14" xfId="0" applyFont="1" applyFill="1" applyBorder="1" applyAlignment="1">
      <alignment horizontal="center" vertical="center"/>
    </xf>
    <xf numFmtId="0" fontId="49" fillId="0" borderId="14" xfId="0" quotePrefix="1" applyFont="1" applyFill="1" applyBorder="1"/>
    <xf numFmtId="0" fontId="38" fillId="0" borderId="14" xfId="0" applyFont="1" applyFill="1" applyBorder="1" applyAlignment="1">
      <alignment wrapText="1"/>
    </xf>
    <xf numFmtId="0" fontId="23" fillId="0" borderId="14" xfId="0" applyFont="1" applyBorder="1"/>
    <xf numFmtId="0" fontId="23" fillId="13" borderId="14" xfId="0" applyFont="1" applyFill="1" applyBorder="1" applyAlignment="1">
      <alignment vertical="center"/>
    </xf>
    <xf numFmtId="0" fontId="40" fillId="12" borderId="14" xfId="0" applyFont="1" applyFill="1" applyBorder="1"/>
    <xf numFmtId="0" fontId="2" fillId="11" borderId="14" xfId="0" applyFont="1" applyFill="1" applyBorder="1" applyAlignment="1">
      <alignment horizontal="center"/>
    </xf>
    <xf numFmtId="165" fontId="33" fillId="11" borderId="14" xfId="1" applyNumberFormat="1" applyFont="1" applyFill="1" applyBorder="1" applyAlignment="1"/>
    <xf numFmtId="17" fontId="32" fillId="0" borderId="14" xfId="0" quotePrefix="1" applyNumberFormat="1" applyFont="1" applyFill="1" applyBorder="1" applyAlignment="1">
      <alignment horizontal="left"/>
    </xf>
    <xf numFmtId="165" fontId="33" fillId="11" borderId="14" xfId="0" applyNumberFormat="1" applyFont="1" applyFill="1" applyBorder="1" applyAlignment="1"/>
    <xf numFmtId="165" fontId="32" fillId="0" borderId="14" xfId="1" applyNumberFormat="1" applyFont="1" applyFill="1" applyBorder="1" applyAlignment="1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65" fontId="33" fillId="11" borderId="14" xfId="1" applyNumberFormat="1" applyFont="1" applyFill="1" applyBorder="1"/>
    <xf numFmtId="0" fontId="23" fillId="11" borderId="14" xfId="0" applyFont="1" applyFill="1" applyBorder="1"/>
    <xf numFmtId="17" fontId="32" fillId="11" borderId="14" xfId="0" applyNumberFormat="1" applyFont="1" applyFill="1" applyBorder="1" applyAlignment="1">
      <alignment horizontal="left"/>
    </xf>
    <xf numFmtId="17" fontId="32" fillId="11" borderId="14" xfId="0" quotePrefix="1" applyNumberFormat="1" applyFont="1" applyFill="1" applyBorder="1" applyAlignment="1">
      <alignment horizontal="left"/>
    </xf>
    <xf numFmtId="165" fontId="32" fillId="11" borderId="14" xfId="1" applyNumberFormat="1" applyFont="1" applyFill="1" applyBorder="1" applyAlignment="1"/>
    <xf numFmtId="0" fontId="23" fillId="11" borderId="14" xfId="0" applyFont="1" applyFill="1" applyBorder="1" applyAlignment="1"/>
    <xf numFmtId="165" fontId="32" fillId="11" borderId="14" xfId="1" applyNumberFormat="1" applyFont="1" applyFill="1" applyBorder="1" applyAlignment="1">
      <alignment vertical="center"/>
    </xf>
    <xf numFmtId="0" fontId="52" fillId="11" borderId="14" xfId="0" applyFont="1" applyFill="1" applyBorder="1"/>
    <xf numFmtId="0" fontId="35" fillId="3" borderId="0" xfId="0" applyFont="1" applyFill="1" applyBorder="1" applyAlignment="1">
      <alignment horizontal="center" vertical="center"/>
    </xf>
    <xf numFmtId="0" fontId="35" fillId="4" borderId="0" xfId="0" applyFont="1" applyFill="1" applyBorder="1" applyAlignment="1">
      <alignment horizontal="center" vertical="center"/>
    </xf>
    <xf numFmtId="0" fontId="35" fillId="2" borderId="0" xfId="0" applyFont="1" applyFill="1" applyBorder="1" applyAlignment="1">
      <alignment horizontal="center" vertical="center"/>
    </xf>
    <xf numFmtId="0" fontId="35" fillId="5" borderId="0" xfId="0" applyFont="1" applyFill="1" applyBorder="1" applyAlignment="1">
      <alignment horizontal="center" vertical="center"/>
    </xf>
    <xf numFmtId="0" fontId="35" fillId="7" borderId="0" xfId="0" applyFont="1" applyFill="1" applyBorder="1" applyAlignment="1">
      <alignment horizontal="center" vertical="center"/>
    </xf>
    <xf numFmtId="0" fontId="35" fillId="9" borderId="0" xfId="0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50" fillId="14" borderId="14" xfId="0" applyFont="1" applyFill="1" applyBorder="1"/>
    <xf numFmtId="0" fontId="49" fillId="0" borderId="14" xfId="0" quotePrefix="1" applyFont="1" applyBorder="1"/>
    <xf numFmtId="43" fontId="50" fillId="11" borderId="14" xfId="1" applyFont="1" applyFill="1" applyBorder="1"/>
    <xf numFmtId="43" fontId="0" fillId="15" borderId="0" xfId="0" quotePrefix="1" applyNumberFormat="1" applyFill="1"/>
    <xf numFmtId="0" fontId="2" fillId="8" borderId="14" xfId="0" applyFont="1" applyFill="1" applyBorder="1" applyAlignment="1">
      <alignment horizontal="center"/>
    </xf>
    <xf numFmtId="0" fontId="0" fillId="0" borderId="0" xfId="0" quotePrefix="1"/>
    <xf numFmtId="0" fontId="49" fillId="8" borderId="14" xfId="0" applyFont="1" applyFill="1" applyBorder="1" applyAlignment="1">
      <alignment horizontal="center"/>
    </xf>
    <xf numFmtId="3" fontId="0" fillId="0" borderId="0" xfId="0" quotePrefix="1" applyNumberFormat="1"/>
    <xf numFmtId="0" fontId="38" fillId="0" borderId="14" xfId="0" applyFont="1" applyFill="1" applyBorder="1" applyAlignment="1">
      <alignment vertical="center" wrapText="1"/>
    </xf>
    <xf numFmtId="165" fontId="55" fillId="11" borderId="14" xfId="0" applyNumberFormat="1" applyFont="1" applyFill="1" applyBorder="1"/>
    <xf numFmtId="0" fontId="52" fillId="11" borderId="14" xfId="0" applyFont="1" applyFill="1" applyBorder="1" applyAlignment="1"/>
    <xf numFmtId="165" fontId="55" fillId="11" borderId="14" xfId="0" applyNumberFormat="1" applyFont="1" applyFill="1" applyBorder="1" applyAlignment="1"/>
    <xf numFmtId="0" fontId="52" fillId="0" borderId="14" xfId="0" applyFont="1" applyFill="1" applyBorder="1"/>
    <xf numFmtId="0" fontId="52" fillId="0" borderId="14" xfId="0" applyFont="1" applyBorder="1"/>
    <xf numFmtId="0" fontId="50" fillId="4" borderId="14" xfId="0" applyFont="1" applyFill="1" applyBorder="1"/>
    <xf numFmtId="0" fontId="50" fillId="0" borderId="14" xfId="0" quotePrefix="1" applyFont="1" applyFill="1" applyBorder="1" applyAlignment="1">
      <alignment vertical="center"/>
    </xf>
    <xf numFmtId="0" fontId="2" fillId="0" borderId="8" xfId="0" applyFont="1" applyFill="1" applyBorder="1" applyAlignment="1">
      <alignment horizontal="center"/>
    </xf>
    <xf numFmtId="0" fontId="50" fillId="3" borderId="14" xfId="0" applyFont="1" applyFill="1" applyBorder="1"/>
    <xf numFmtId="165" fontId="0" fillId="0" borderId="0" xfId="1" applyNumberFormat="1" applyFont="1"/>
    <xf numFmtId="165" fontId="56" fillId="0" borderId="0" xfId="1" applyNumberFormat="1" applyFont="1" applyFill="1" applyAlignment="1"/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2" fillId="3" borderId="14" xfId="0" applyFont="1" applyFill="1" applyBorder="1"/>
    <xf numFmtId="43" fontId="0" fillId="11" borderId="0" xfId="0" quotePrefix="1" applyNumberFormat="1" applyFill="1"/>
    <xf numFmtId="0" fontId="38" fillId="11" borderId="14" xfId="0" applyFont="1" applyFill="1" applyBorder="1" applyAlignment="1">
      <alignment horizontal="center"/>
    </xf>
    <xf numFmtId="0" fontId="49" fillId="11" borderId="14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17" fontId="32" fillId="16" borderId="14" xfId="0" quotePrefix="1" applyNumberFormat="1" applyFont="1" applyFill="1" applyBorder="1"/>
    <xf numFmtId="165" fontId="32" fillId="16" borderId="14" xfId="1" applyNumberFormat="1" applyFont="1" applyFill="1" applyBorder="1"/>
    <xf numFmtId="165" fontId="33" fillId="16" borderId="14" xfId="1" applyNumberFormat="1" applyFont="1" applyFill="1" applyBorder="1"/>
    <xf numFmtId="165" fontId="33" fillId="16" borderId="14" xfId="0" applyNumberFormat="1" applyFont="1" applyFill="1" applyBorder="1"/>
    <xf numFmtId="165" fontId="53" fillId="16" borderId="14" xfId="0" applyNumberFormat="1" applyFont="1" applyFill="1" applyBorder="1"/>
    <xf numFmtId="0" fontId="52" fillId="16" borderId="14" xfId="0" applyFont="1" applyFill="1" applyBorder="1"/>
    <xf numFmtId="165" fontId="52" fillId="16" borderId="14" xfId="1" applyNumberFormat="1" applyFont="1" applyFill="1" applyBorder="1"/>
    <xf numFmtId="17" fontId="32" fillId="16" borderId="14" xfId="0" quotePrefix="1" applyNumberFormat="1" applyFont="1" applyFill="1" applyBorder="1" applyAlignment="1">
      <alignment horizontal="left"/>
    </xf>
    <xf numFmtId="165" fontId="54" fillId="16" borderId="14" xfId="0" applyNumberFormat="1" applyFont="1" applyFill="1" applyBorder="1"/>
    <xf numFmtId="0" fontId="23" fillId="16" borderId="14" xfId="0" applyFont="1" applyFill="1" applyBorder="1"/>
    <xf numFmtId="165" fontId="55" fillId="16" borderId="14" xfId="0" applyNumberFormat="1" applyFont="1" applyFill="1" applyBorder="1"/>
    <xf numFmtId="0" fontId="38" fillId="8" borderId="14" xfId="0" applyFont="1" applyFill="1" applyBorder="1" applyAlignment="1">
      <alignment horizontal="center"/>
    </xf>
    <xf numFmtId="0" fontId="7" fillId="0" borderId="11" xfId="0" applyFont="1" applyBorder="1" applyAlignment="1">
      <alignment horizontal="center"/>
    </xf>
    <xf numFmtId="17" fontId="32" fillId="17" borderId="14" xfId="0" applyNumberFormat="1" applyFont="1" applyFill="1" applyBorder="1" applyAlignment="1">
      <alignment horizontal="left"/>
    </xf>
    <xf numFmtId="165" fontId="32" fillId="17" borderId="14" xfId="1" applyNumberFormat="1" applyFont="1" applyFill="1" applyBorder="1"/>
    <xf numFmtId="165" fontId="33" fillId="17" borderId="14" xfId="1" applyNumberFormat="1" applyFont="1" applyFill="1" applyBorder="1"/>
    <xf numFmtId="165" fontId="33" fillId="17" borderId="14" xfId="0" applyNumberFormat="1" applyFont="1" applyFill="1" applyBorder="1"/>
    <xf numFmtId="0" fontId="52" fillId="17" borderId="14" xfId="0" applyFont="1" applyFill="1" applyBorder="1"/>
    <xf numFmtId="165" fontId="55" fillId="17" borderId="14" xfId="0" applyNumberFormat="1" applyFont="1" applyFill="1" applyBorder="1"/>
    <xf numFmtId="0" fontId="23" fillId="17" borderId="14" xfId="0" applyFont="1" applyFill="1" applyBorder="1"/>
    <xf numFmtId="17" fontId="32" fillId="17" borderId="14" xfId="0" quotePrefix="1" applyNumberFormat="1" applyFont="1" applyFill="1" applyBorder="1" applyAlignment="1">
      <alignment horizontal="left"/>
    </xf>
    <xf numFmtId="0" fontId="57" fillId="15" borderId="14" xfId="0" applyFont="1" applyFill="1" applyBorder="1"/>
    <xf numFmtId="0" fontId="0" fillId="0" borderId="0" xfId="0" applyBorder="1"/>
    <xf numFmtId="43" fontId="0" fillId="11" borderId="0" xfId="0" quotePrefix="1" applyNumberFormat="1" applyFill="1" applyBorder="1" applyAlignment="1">
      <alignment horizontal="left"/>
    </xf>
    <xf numFmtId="165" fontId="0" fillId="0" borderId="0" xfId="0" applyNumberFormat="1" applyBorder="1"/>
    <xf numFmtId="0" fontId="50" fillId="8" borderId="14" xfId="0" applyFont="1" applyFill="1" applyBorder="1" applyAlignment="1">
      <alignment horizontal="center"/>
    </xf>
    <xf numFmtId="0" fontId="49" fillId="14" borderId="14" xfId="0" applyFont="1" applyFill="1" applyBorder="1" applyAlignment="1">
      <alignment horizontal="left"/>
    </xf>
    <xf numFmtId="3" fontId="0" fillId="0" borderId="0" xfId="0" applyNumberFormat="1" applyFill="1"/>
    <xf numFmtId="16" fontId="0" fillId="0" borderId="0" xfId="0" quotePrefix="1" applyNumberFormat="1"/>
    <xf numFmtId="0" fontId="50" fillId="18" borderId="14" xfId="0" applyFont="1" applyFill="1" applyBorder="1"/>
    <xf numFmtId="16" fontId="0" fillId="0" borderId="0" xfId="0" applyNumberFormat="1"/>
    <xf numFmtId="0" fontId="38" fillId="14" borderId="14" xfId="0" applyFont="1" applyFill="1" applyBorder="1" applyAlignment="1">
      <alignment vertical="center"/>
    </xf>
    <xf numFmtId="0" fontId="7" fillId="0" borderId="1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49" fillId="11" borderId="14" xfId="0" applyFont="1" applyFill="1" applyBorder="1" applyAlignment="1">
      <alignment horizontal="left"/>
    </xf>
    <xf numFmtId="0" fontId="0" fillId="11" borderId="14" xfId="0" applyFill="1" applyBorder="1" applyAlignment="1">
      <alignment horizontal="right"/>
    </xf>
    <xf numFmtId="0" fontId="0" fillId="11" borderId="14" xfId="0" applyFill="1" applyBorder="1" applyAlignment="1">
      <alignment horizontal="left"/>
    </xf>
    <xf numFmtId="0" fontId="49" fillId="11" borderId="14" xfId="0" quotePrefix="1" applyFont="1" applyFill="1" applyBorder="1"/>
    <xf numFmtId="3" fontId="49" fillId="11" borderId="14" xfId="0" applyNumberFormat="1" applyFont="1" applyFill="1" applyBorder="1"/>
    <xf numFmtId="0" fontId="38" fillId="11" borderId="14" xfId="0" applyFont="1" applyFill="1" applyBorder="1" applyAlignment="1">
      <alignment vertical="center" wrapText="1"/>
    </xf>
    <xf numFmtId="0" fontId="49" fillId="11" borderId="14" xfId="0" applyFont="1" applyFill="1" applyBorder="1"/>
    <xf numFmtId="0" fontId="38" fillId="11" borderId="14" xfId="0" applyFont="1" applyFill="1" applyBorder="1" applyAlignment="1">
      <alignment vertical="center"/>
    </xf>
    <xf numFmtId="0" fontId="49" fillId="11" borderId="14" xfId="0" quotePrefix="1" applyFont="1" applyFill="1" applyBorder="1" applyAlignment="1">
      <alignment vertical="center"/>
    </xf>
    <xf numFmtId="0" fontId="38" fillId="11" borderId="14" xfId="0" applyFont="1" applyFill="1" applyBorder="1"/>
    <xf numFmtId="165" fontId="49" fillId="11" borderId="14" xfId="1" applyNumberFormat="1" applyFont="1" applyFill="1" applyBorder="1" applyAlignment="1">
      <alignment vertical="center"/>
    </xf>
    <xf numFmtId="165" fontId="49" fillId="11" borderId="14" xfId="1" applyNumberFormat="1" applyFont="1" applyFill="1" applyBorder="1"/>
    <xf numFmtId="0" fontId="38" fillId="11" borderId="14" xfId="0" applyFont="1" applyFill="1" applyBorder="1" applyAlignment="1">
      <alignment wrapText="1"/>
    </xf>
    <xf numFmtId="0" fontId="2" fillId="12" borderId="14" xfId="0" applyFont="1" applyFill="1" applyBorder="1"/>
    <xf numFmtId="0" fontId="0" fillId="0" borderId="8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0" fillId="11" borderId="14" xfId="0" applyFont="1" applyFill="1" applyBorder="1" applyAlignment="1">
      <alignment horizontal="left"/>
    </xf>
    <xf numFmtId="0" fontId="2" fillId="11" borderId="14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50" fillId="19" borderId="14" xfId="0" applyFont="1" applyFill="1" applyBorder="1"/>
    <xf numFmtId="0" fontId="49" fillId="11" borderId="14" xfId="0" applyFont="1" applyFill="1" applyBorder="1" applyAlignment="1">
      <alignment horizontal="left" wrapText="1"/>
    </xf>
    <xf numFmtId="0" fontId="58" fillId="11" borderId="14" xfId="0" applyFont="1" applyFill="1" applyBorder="1" applyAlignment="1">
      <alignment horizontal="left"/>
    </xf>
    <xf numFmtId="0" fontId="59" fillId="0" borderId="0" xfId="0" quotePrefix="1" applyFont="1"/>
    <xf numFmtId="17" fontId="32" fillId="20" borderId="14" xfId="0" quotePrefix="1" applyNumberFormat="1" applyFont="1" applyFill="1" applyBorder="1" applyAlignment="1">
      <alignment horizontal="left"/>
    </xf>
    <xf numFmtId="165" fontId="32" fillId="20" borderId="14" xfId="1" applyNumberFormat="1" applyFont="1" applyFill="1" applyBorder="1"/>
    <xf numFmtId="165" fontId="33" fillId="20" borderId="14" xfId="1" applyNumberFormat="1" applyFont="1" applyFill="1" applyBorder="1"/>
    <xf numFmtId="165" fontId="33" fillId="20" borderId="14" xfId="0" applyNumberFormat="1" applyFont="1" applyFill="1" applyBorder="1"/>
    <xf numFmtId="0" fontId="52" fillId="20" borderId="14" xfId="0" applyFont="1" applyFill="1" applyBorder="1"/>
    <xf numFmtId="165" fontId="52" fillId="20" borderId="14" xfId="1" applyNumberFormat="1" applyFont="1" applyFill="1" applyBorder="1"/>
    <xf numFmtId="165" fontId="55" fillId="20" borderId="14" xfId="0" applyNumberFormat="1" applyFont="1" applyFill="1" applyBorder="1"/>
    <xf numFmtId="0" fontId="23" fillId="20" borderId="14" xfId="0" applyFont="1" applyFill="1" applyBorder="1"/>
    <xf numFmtId="165" fontId="32" fillId="20" borderId="14" xfId="1" applyNumberFormat="1" applyFont="1" applyFill="1" applyBorder="1" applyAlignment="1"/>
    <xf numFmtId="165" fontId="33" fillId="20" borderId="14" xfId="1" applyNumberFormat="1" applyFont="1" applyFill="1" applyBorder="1" applyAlignment="1"/>
    <xf numFmtId="165" fontId="33" fillId="20" borderId="14" xfId="0" applyNumberFormat="1" applyFont="1" applyFill="1" applyBorder="1" applyAlignment="1"/>
    <xf numFmtId="0" fontId="52" fillId="20" borderId="14" xfId="0" applyFont="1" applyFill="1" applyBorder="1" applyAlignment="1"/>
    <xf numFmtId="3" fontId="52" fillId="20" borderId="14" xfId="0" applyNumberFormat="1" applyFont="1" applyFill="1" applyBorder="1" applyAlignment="1"/>
    <xf numFmtId="0" fontId="23" fillId="20" borderId="14" xfId="0" applyFont="1" applyFill="1" applyBorder="1" applyAlignment="1"/>
    <xf numFmtId="165" fontId="32" fillId="20" borderId="14" xfId="1" applyNumberFormat="1" applyFont="1" applyFill="1" applyBorder="1" applyAlignment="1">
      <alignment vertical="center"/>
    </xf>
    <xf numFmtId="37" fontId="52" fillId="20" borderId="14" xfId="1" applyNumberFormat="1" applyFont="1" applyFill="1" applyBorder="1"/>
    <xf numFmtId="0" fontId="7" fillId="0" borderId="1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17" fontId="32" fillId="21" borderId="14" xfId="0" quotePrefix="1" applyNumberFormat="1" applyFont="1" applyFill="1" applyBorder="1" applyAlignment="1">
      <alignment horizontal="left"/>
    </xf>
    <xf numFmtId="165" fontId="32" fillId="21" borderId="14" xfId="1" applyNumberFormat="1" applyFont="1" applyFill="1" applyBorder="1" applyAlignment="1"/>
    <xf numFmtId="165" fontId="33" fillId="21" borderId="14" xfId="1" applyNumberFormat="1" applyFont="1" applyFill="1" applyBorder="1"/>
    <xf numFmtId="165" fontId="32" fillId="21" borderId="14" xfId="1" applyNumberFormat="1" applyFont="1" applyFill="1" applyBorder="1" applyAlignment="1">
      <alignment vertical="center"/>
    </xf>
    <xf numFmtId="165" fontId="33" fillId="21" borderId="14" xfId="0" applyNumberFormat="1" applyFont="1" applyFill="1" applyBorder="1"/>
    <xf numFmtId="0" fontId="52" fillId="21" borderId="14" xfId="0" applyFont="1" applyFill="1" applyBorder="1"/>
    <xf numFmtId="165" fontId="55" fillId="21" borderId="14" xfId="0" applyNumberFormat="1" applyFont="1" applyFill="1" applyBorder="1"/>
    <xf numFmtId="0" fontId="23" fillId="21" borderId="14" xfId="0" applyFont="1" applyFill="1" applyBorder="1"/>
    <xf numFmtId="165" fontId="33" fillId="21" borderId="14" xfId="1" applyNumberFormat="1" applyFont="1" applyFill="1" applyBorder="1" applyAlignment="1"/>
    <xf numFmtId="165" fontId="33" fillId="21" borderId="14" xfId="0" applyNumberFormat="1" applyFont="1" applyFill="1" applyBorder="1" applyAlignment="1"/>
    <xf numFmtId="0" fontId="52" fillId="21" borderId="14" xfId="0" applyFont="1" applyFill="1" applyBorder="1" applyAlignment="1"/>
    <xf numFmtId="3" fontId="52" fillId="21" borderId="14" xfId="0" applyNumberFormat="1" applyFont="1" applyFill="1" applyBorder="1" applyAlignment="1"/>
    <xf numFmtId="0" fontId="23" fillId="21" borderId="14" xfId="0" applyFont="1" applyFill="1" applyBorder="1" applyAlignment="1"/>
    <xf numFmtId="165" fontId="32" fillId="21" borderId="14" xfId="1" applyNumberFormat="1" applyFont="1" applyFill="1" applyBorder="1" applyAlignment="1">
      <alignment horizontal="center"/>
    </xf>
    <xf numFmtId="0" fontId="2" fillId="22" borderId="14" xfId="0" applyFont="1" applyFill="1" applyBorder="1"/>
    <xf numFmtId="0" fontId="2" fillId="4" borderId="14" xfId="0" applyFont="1" applyFill="1" applyBorder="1"/>
    <xf numFmtId="0" fontId="2" fillId="23" borderId="14" xfId="0" applyFont="1" applyFill="1" applyBorder="1"/>
    <xf numFmtId="43" fontId="0" fillId="11" borderId="0" xfId="0" applyNumberFormat="1" applyFill="1"/>
    <xf numFmtId="0" fontId="7" fillId="0" borderId="1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2" fillId="14" borderId="14" xfId="0" applyFont="1" applyFill="1" applyBorder="1"/>
    <xf numFmtId="0" fontId="2" fillId="24" borderId="14" xfId="0" applyFont="1" applyFill="1" applyBorder="1"/>
    <xf numFmtId="17" fontId="32" fillId="12" borderId="14" xfId="0" quotePrefix="1" applyNumberFormat="1" applyFont="1" applyFill="1" applyBorder="1" applyAlignment="1">
      <alignment horizontal="left"/>
    </xf>
    <xf numFmtId="165" fontId="32" fillId="12" borderId="14" xfId="1" applyNumberFormat="1" applyFont="1" applyFill="1" applyBorder="1" applyAlignment="1"/>
    <xf numFmtId="165" fontId="33" fillId="12" borderId="14" xfId="1" applyNumberFormat="1" applyFont="1" applyFill="1" applyBorder="1"/>
    <xf numFmtId="165" fontId="32" fillId="12" borderId="14" xfId="1" applyNumberFormat="1" applyFont="1" applyFill="1" applyBorder="1" applyAlignment="1">
      <alignment vertical="center"/>
    </xf>
    <xf numFmtId="165" fontId="33" fillId="12" borderId="14" xfId="0" applyNumberFormat="1" applyFont="1" applyFill="1" applyBorder="1" applyAlignment="1"/>
    <xf numFmtId="0" fontId="52" fillId="12" borderId="14" xfId="0" applyFont="1" applyFill="1" applyBorder="1"/>
    <xf numFmtId="165" fontId="55" fillId="12" borderId="14" xfId="0" applyNumberFormat="1" applyFont="1" applyFill="1" applyBorder="1"/>
    <xf numFmtId="0" fontId="23" fillId="12" borderId="14" xfId="0" applyFont="1" applyFill="1" applyBorder="1"/>
    <xf numFmtId="17" fontId="32" fillId="12" borderId="14" xfId="0" quotePrefix="1" applyNumberFormat="1" applyFont="1" applyFill="1" applyBorder="1" applyAlignment="1"/>
    <xf numFmtId="0" fontId="4" fillId="11" borderId="14" xfId="0" applyFont="1" applyFill="1" applyBorder="1"/>
    <xf numFmtId="0" fontId="10" fillId="11" borderId="14" xfId="0" applyFont="1" applyFill="1" applyBorder="1"/>
    <xf numFmtId="0" fontId="7" fillId="0" borderId="1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17" fontId="32" fillId="25" borderId="14" xfId="0" quotePrefix="1" applyNumberFormat="1" applyFont="1" applyFill="1" applyBorder="1" applyAlignment="1"/>
    <xf numFmtId="165" fontId="32" fillId="25" borderId="14" xfId="1" applyNumberFormat="1" applyFont="1" applyFill="1" applyBorder="1" applyAlignment="1"/>
    <xf numFmtId="165" fontId="33" fillId="25" borderId="14" xfId="1" applyNumberFormat="1" applyFont="1" applyFill="1" applyBorder="1"/>
    <xf numFmtId="165" fontId="33" fillId="25" borderId="14" xfId="1" applyNumberFormat="1" applyFont="1" applyFill="1" applyBorder="1" applyAlignment="1"/>
    <xf numFmtId="165" fontId="32" fillId="25" borderId="14" xfId="1" applyNumberFormat="1" applyFont="1" applyFill="1" applyBorder="1" applyAlignment="1">
      <alignment vertical="center"/>
    </xf>
    <xf numFmtId="165" fontId="33" fillId="25" borderId="14" xfId="0" applyNumberFormat="1" applyFont="1" applyFill="1" applyBorder="1" applyAlignment="1"/>
    <xf numFmtId="0" fontId="52" fillId="25" borderId="14" xfId="0" applyFont="1" applyFill="1" applyBorder="1"/>
    <xf numFmtId="165" fontId="55" fillId="25" borderId="14" xfId="0" applyNumberFormat="1" applyFont="1" applyFill="1" applyBorder="1"/>
    <xf numFmtId="0" fontId="23" fillId="25" borderId="14" xfId="0" applyFont="1" applyFill="1" applyBorder="1"/>
    <xf numFmtId="17" fontId="32" fillId="25" borderId="14" xfId="0" quotePrefix="1" applyNumberFormat="1" applyFont="1" applyFill="1" applyBorder="1" applyAlignment="1">
      <alignment horizontal="left"/>
    </xf>
    <xf numFmtId="0" fontId="52" fillId="25" borderId="14" xfId="0" applyFont="1" applyFill="1" applyBorder="1" applyAlignment="1"/>
    <xf numFmtId="0" fontId="23" fillId="25" borderId="14" xfId="0" applyFont="1" applyFill="1" applyBorder="1" applyAlignment="1"/>
    <xf numFmtId="0" fontId="50" fillId="20" borderId="14" xfId="0" applyFont="1" applyFill="1" applyBorder="1"/>
    <xf numFmtId="165" fontId="0" fillId="0" borderId="0" xfId="0" quotePrefix="1" applyNumberFormat="1"/>
    <xf numFmtId="0" fontId="4" fillId="11" borderId="14" xfId="0" applyFont="1" applyFill="1" applyBorder="1" applyAlignment="1">
      <alignment vertical="center"/>
    </xf>
    <xf numFmtId="0" fontId="7" fillId="0" borderId="1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165" fontId="32" fillId="26" borderId="14" xfId="1" applyNumberFormat="1" applyFont="1" applyFill="1" applyBorder="1" applyAlignment="1"/>
    <xf numFmtId="165" fontId="33" fillId="26" borderId="14" xfId="1" applyNumberFormat="1" applyFont="1" applyFill="1" applyBorder="1" applyAlignment="1"/>
    <xf numFmtId="165" fontId="33" fillId="26" borderId="14" xfId="0" applyNumberFormat="1" applyFont="1" applyFill="1" applyBorder="1" applyAlignment="1"/>
    <xf numFmtId="0" fontId="52" fillId="26" borderId="14" xfId="0" applyFont="1" applyFill="1" applyBorder="1" applyAlignment="1"/>
    <xf numFmtId="41" fontId="55" fillId="26" borderId="14" xfId="1" applyNumberFormat="1" applyFont="1" applyFill="1" applyBorder="1" applyAlignment="1"/>
    <xf numFmtId="165" fontId="55" fillId="26" borderId="14" xfId="0" applyNumberFormat="1" applyFont="1" applyFill="1" applyBorder="1" applyAlignment="1"/>
    <xf numFmtId="0" fontId="23" fillId="26" borderId="14" xfId="0" applyFont="1" applyFill="1" applyBorder="1" applyAlignment="1"/>
    <xf numFmtId="165" fontId="32" fillId="26" borderId="14" xfId="1" applyNumberFormat="1" applyFont="1" applyFill="1" applyBorder="1" applyAlignment="1">
      <alignment vertical="center"/>
    </xf>
    <xf numFmtId="0" fontId="52" fillId="26" borderId="14" xfId="0" applyFont="1" applyFill="1" applyBorder="1"/>
    <xf numFmtId="165" fontId="55" fillId="26" borderId="14" xfId="0" applyNumberFormat="1" applyFont="1" applyFill="1" applyBorder="1"/>
    <xf numFmtId="0" fontId="23" fillId="26" borderId="14" xfId="0" applyFont="1" applyFill="1" applyBorder="1"/>
    <xf numFmtId="0" fontId="51" fillId="26" borderId="14" xfId="0" applyFont="1" applyFill="1" applyBorder="1"/>
    <xf numFmtId="165" fontId="33" fillId="26" borderId="14" xfId="1" applyNumberFormat="1" applyFont="1" applyFill="1" applyBorder="1"/>
    <xf numFmtId="17" fontId="32" fillId="26" borderId="14" xfId="0" quotePrefix="1" applyNumberFormat="1" applyFont="1" applyFill="1" applyBorder="1" applyAlignment="1">
      <alignment horizontal="left"/>
    </xf>
    <xf numFmtId="0" fontId="49" fillId="11" borderId="14" xfId="0" applyFont="1" applyFill="1" applyBorder="1" applyAlignment="1"/>
    <xf numFmtId="0" fontId="38" fillId="11" borderId="14" xfId="0" applyFont="1" applyFill="1" applyBorder="1" applyAlignment="1"/>
    <xf numFmtId="0" fontId="49" fillId="11" borderId="14" xfId="0" quotePrefix="1" applyFont="1" applyFill="1" applyBorder="1" applyAlignment="1"/>
    <xf numFmtId="0" fontId="2" fillId="11" borderId="14" xfId="0" applyFont="1" applyFill="1" applyBorder="1" applyAlignment="1">
      <alignment vertical="center"/>
    </xf>
    <xf numFmtId="0" fontId="50" fillId="27" borderId="14" xfId="0" applyFont="1" applyFill="1" applyBorder="1"/>
    <xf numFmtId="0" fontId="49" fillId="8" borderId="14" xfId="0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49" fillId="11" borderId="14" xfId="0" applyFont="1" applyFill="1" applyBorder="1" applyAlignment="1">
      <alignment horizontal="center" vertical="center"/>
    </xf>
    <xf numFmtId="0" fontId="2" fillId="11" borderId="14" xfId="0" applyFont="1" applyFill="1" applyBorder="1" applyAlignment="1">
      <alignment wrapText="1"/>
    </xf>
    <xf numFmtId="165" fontId="49" fillId="11" borderId="14" xfId="1" applyNumberFormat="1" applyFont="1" applyFill="1" applyBorder="1" applyAlignment="1"/>
    <xf numFmtId="0" fontId="58" fillId="11" borderId="14" xfId="0" applyFont="1" applyFill="1" applyBorder="1"/>
    <xf numFmtId="165" fontId="32" fillId="17" borderId="14" xfId="1" applyNumberFormat="1" applyFont="1" applyFill="1" applyBorder="1" applyAlignment="1"/>
    <xf numFmtId="165" fontId="32" fillId="17" borderId="14" xfId="1" applyNumberFormat="1" applyFont="1" applyFill="1" applyBorder="1" applyAlignment="1">
      <alignment vertical="center"/>
    </xf>
    <xf numFmtId="165" fontId="33" fillId="17" borderId="14" xfId="1" applyNumberFormat="1" applyFont="1" applyFill="1" applyBorder="1" applyAlignment="1"/>
    <xf numFmtId="165" fontId="33" fillId="17" borderId="14" xfId="0" applyNumberFormat="1" applyFont="1" applyFill="1" applyBorder="1" applyAlignment="1"/>
    <xf numFmtId="0" fontId="2" fillId="10" borderId="14" xfId="0" applyFont="1" applyFill="1" applyBorder="1"/>
    <xf numFmtId="165" fontId="2" fillId="11" borderId="14" xfId="1" applyNumberFormat="1" applyFont="1" applyFill="1" applyBorder="1"/>
    <xf numFmtId="0" fontId="7" fillId="0" borderId="1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left"/>
    </xf>
    <xf numFmtId="0" fontId="0" fillId="0" borderId="8" xfId="0" applyFill="1" applyBorder="1" applyAlignment="1">
      <alignment horizontal="left"/>
    </xf>
    <xf numFmtId="17" fontId="32" fillId="24" borderId="14" xfId="0" quotePrefix="1" applyNumberFormat="1" applyFont="1" applyFill="1" applyBorder="1" applyAlignment="1">
      <alignment horizontal="left"/>
    </xf>
    <xf numFmtId="165" fontId="32" fillId="24" borderId="14" xfId="1" applyNumberFormat="1" applyFont="1" applyFill="1" applyBorder="1" applyAlignment="1"/>
    <xf numFmtId="165" fontId="33" fillId="24" borderId="14" xfId="1" applyNumberFormat="1" applyFont="1" applyFill="1" applyBorder="1"/>
    <xf numFmtId="165" fontId="32" fillId="24" borderId="14" xfId="1" applyNumberFormat="1" applyFont="1" applyFill="1" applyBorder="1" applyAlignment="1">
      <alignment vertical="center"/>
    </xf>
    <xf numFmtId="165" fontId="33" fillId="24" borderId="14" xfId="1" applyNumberFormat="1" applyFont="1" applyFill="1" applyBorder="1" applyAlignment="1"/>
    <xf numFmtId="165" fontId="33" fillId="24" borderId="14" xfId="0" applyNumberFormat="1" applyFont="1" applyFill="1" applyBorder="1" applyAlignment="1"/>
    <xf numFmtId="0" fontId="52" fillId="24" borderId="14" xfId="0" applyFont="1" applyFill="1" applyBorder="1"/>
    <xf numFmtId="165" fontId="55" fillId="24" borderId="14" xfId="0" applyNumberFormat="1" applyFont="1" applyFill="1" applyBorder="1"/>
    <xf numFmtId="0" fontId="23" fillId="24" borderId="14" xfId="0" applyFont="1" applyFill="1" applyBorder="1"/>
    <xf numFmtId="3" fontId="52" fillId="24" borderId="14" xfId="0" applyNumberFormat="1" applyFont="1" applyFill="1" applyBorder="1"/>
    <xf numFmtId="0" fontId="2" fillId="11" borderId="14" xfId="0" applyFont="1" applyFill="1" applyBorder="1" applyAlignment="1"/>
    <xf numFmtId="0" fontId="59" fillId="15" borderId="0" xfId="0" quotePrefix="1" applyFont="1" applyFill="1"/>
    <xf numFmtId="0" fontId="7" fillId="0" borderId="1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165" fontId="49" fillId="0" borderId="14" xfId="1" applyNumberFormat="1" applyFont="1" applyFill="1" applyBorder="1" applyAlignment="1"/>
    <xf numFmtId="0" fontId="59" fillId="11" borderId="0" xfId="0" quotePrefix="1" applyFont="1" applyFill="1"/>
    <xf numFmtId="17" fontId="32" fillId="6" borderId="14" xfId="0" quotePrefix="1" applyNumberFormat="1" applyFont="1" applyFill="1" applyBorder="1" applyAlignment="1">
      <alignment horizontal="left"/>
    </xf>
    <xf numFmtId="165" fontId="32" fillId="6" borderId="14" xfId="1" applyNumberFormat="1" applyFont="1" applyFill="1" applyBorder="1" applyAlignment="1"/>
    <xf numFmtId="165" fontId="33" fillId="6" borderId="14" xfId="1" applyNumberFormat="1" applyFont="1" applyFill="1" applyBorder="1"/>
    <xf numFmtId="165" fontId="32" fillId="6" borderId="14" xfId="1" applyNumberFormat="1" applyFont="1" applyFill="1" applyBorder="1" applyAlignment="1">
      <alignment vertical="center"/>
    </xf>
    <xf numFmtId="165" fontId="33" fillId="6" borderId="14" xfId="1" applyNumberFormat="1" applyFont="1" applyFill="1" applyBorder="1" applyAlignment="1"/>
    <xf numFmtId="165" fontId="33" fillId="6" borderId="14" xfId="0" applyNumberFormat="1" applyFont="1" applyFill="1" applyBorder="1" applyAlignment="1"/>
    <xf numFmtId="0" fontId="52" fillId="6" borderId="14" xfId="0" applyFont="1" applyFill="1" applyBorder="1"/>
    <xf numFmtId="165" fontId="55" fillId="6" borderId="14" xfId="0" applyNumberFormat="1" applyFont="1" applyFill="1" applyBorder="1"/>
    <xf numFmtId="0" fontId="23" fillId="6" borderId="14" xfId="0" applyFont="1" applyFill="1" applyBorder="1"/>
    <xf numFmtId="0" fontId="50" fillId="0" borderId="14" xfId="2" applyNumberFormat="1" applyFont="1" applyBorder="1" applyAlignment="1">
      <alignment wrapText="1"/>
    </xf>
    <xf numFmtId="0" fontId="50" fillId="28" borderId="14" xfId="2" applyNumberFormat="1" applyFont="1" applyFill="1" applyBorder="1" applyAlignment="1">
      <alignment wrapText="1"/>
    </xf>
    <xf numFmtId="0" fontId="50" fillId="11" borderId="14" xfId="2" applyNumberFormat="1" applyFont="1" applyFill="1" applyBorder="1" applyAlignment="1">
      <alignment wrapText="1"/>
    </xf>
    <xf numFmtId="0" fontId="50" fillId="29" borderId="14" xfId="2" applyNumberFormat="1" applyFont="1" applyFill="1" applyBorder="1" applyAlignment="1">
      <alignment wrapText="1"/>
    </xf>
    <xf numFmtId="0" fontId="7" fillId="0" borderId="11" xfId="0" applyFont="1" applyBorder="1" applyAlignment="1">
      <alignment horizontal="center"/>
    </xf>
    <xf numFmtId="0" fontId="0" fillId="0" borderId="0" xfId="0" applyFill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17" fontId="32" fillId="30" borderId="14" xfId="0" quotePrefix="1" applyNumberFormat="1" applyFont="1" applyFill="1" applyBorder="1" applyAlignment="1">
      <alignment horizontal="left"/>
    </xf>
    <xf numFmtId="165" fontId="32" fillId="30" borderId="14" xfId="1" applyNumberFormat="1" applyFont="1" applyFill="1" applyBorder="1" applyAlignment="1"/>
    <xf numFmtId="165" fontId="33" fillId="30" borderId="14" xfId="1" applyNumberFormat="1" applyFont="1" applyFill="1" applyBorder="1"/>
    <xf numFmtId="165" fontId="32" fillId="30" borderId="14" xfId="1" applyNumberFormat="1" applyFont="1" applyFill="1" applyBorder="1" applyAlignment="1">
      <alignment vertical="center"/>
    </xf>
    <xf numFmtId="165" fontId="33" fillId="30" borderId="14" xfId="1" applyNumberFormat="1" applyFont="1" applyFill="1" applyBorder="1" applyAlignment="1"/>
    <xf numFmtId="165" fontId="33" fillId="30" borderId="14" xfId="0" applyNumberFormat="1" applyFont="1" applyFill="1" applyBorder="1" applyAlignment="1"/>
    <xf numFmtId="0" fontId="52" fillId="30" borderId="14" xfId="0" applyFont="1" applyFill="1" applyBorder="1"/>
    <xf numFmtId="165" fontId="55" fillId="30" borderId="14" xfId="0" applyNumberFormat="1" applyFont="1" applyFill="1" applyBorder="1"/>
    <xf numFmtId="0" fontId="23" fillId="30" borderId="14" xfId="0" applyFont="1" applyFill="1" applyBorder="1"/>
    <xf numFmtId="0" fontId="2" fillId="11" borderId="37" xfId="0" applyFont="1" applyFill="1" applyBorder="1" applyAlignment="1">
      <alignment horizontal="center"/>
    </xf>
    <xf numFmtId="0" fontId="16" fillId="11" borderId="14" xfId="0" applyFont="1" applyFill="1" applyBorder="1" applyAlignment="1">
      <alignment vertical="top" wrapText="1"/>
    </xf>
    <xf numFmtId="43" fontId="50" fillId="11" borderId="14" xfId="1" applyNumberFormat="1" applyFont="1" applyFill="1" applyBorder="1"/>
    <xf numFmtId="0" fontId="2" fillId="11" borderId="39" xfId="0" applyFont="1" applyFill="1" applyBorder="1" applyAlignment="1">
      <alignment horizontal="left"/>
    </xf>
    <xf numFmtId="0" fontId="2" fillId="11" borderId="39" xfId="0" applyFont="1" applyFill="1" applyBorder="1"/>
    <xf numFmtId="0" fontId="50" fillId="11" borderId="39" xfId="0" applyFont="1" applyFill="1" applyBorder="1"/>
    <xf numFmtId="165" fontId="50" fillId="11" borderId="39" xfId="1" applyNumberFormat="1" applyFont="1" applyFill="1" applyBorder="1"/>
    <xf numFmtId="0" fontId="2" fillId="8" borderId="38" xfId="0" applyFont="1" applyFill="1" applyBorder="1" applyAlignment="1">
      <alignment horizontal="center"/>
    </xf>
    <xf numFmtId="0" fontId="2" fillId="8" borderId="37" xfId="0" applyFont="1" applyFill="1" applyBorder="1" applyAlignment="1">
      <alignment horizontal="center"/>
    </xf>
    <xf numFmtId="0" fontId="40" fillId="0" borderId="0" xfId="0" applyFont="1" applyAlignment="1">
      <alignment horizontal="center"/>
    </xf>
    <xf numFmtId="49" fontId="33" fillId="0" borderId="14" xfId="0" quotePrefix="1" applyNumberFormat="1" applyFont="1" applyFill="1" applyBorder="1" applyAlignment="1">
      <alignment horizontal="center" vertical="center" wrapText="1"/>
    </xf>
    <xf numFmtId="0" fontId="46" fillId="15" borderId="35" xfId="0" applyFont="1" applyFill="1" applyBorder="1" applyAlignment="1">
      <alignment horizontal="center" vertical="center" wrapText="1"/>
    </xf>
    <xf numFmtId="0" fontId="46" fillId="15" borderId="36" xfId="0" applyFont="1" applyFill="1" applyBorder="1" applyAlignment="1">
      <alignment horizontal="center" vertical="center" wrapText="1"/>
    </xf>
    <xf numFmtId="0" fontId="46" fillId="12" borderId="35" xfId="0" applyFont="1" applyFill="1" applyBorder="1" applyAlignment="1">
      <alignment horizontal="center" vertical="center" wrapText="1"/>
    </xf>
    <xf numFmtId="0" fontId="46" fillId="12" borderId="36" xfId="0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46" fillId="0" borderId="33" xfId="0" applyFont="1" applyBorder="1" applyAlignment="1">
      <alignment horizontal="center" vertical="center"/>
    </xf>
    <xf numFmtId="0" fontId="46" fillId="0" borderId="34" xfId="0" applyFont="1" applyBorder="1" applyAlignment="1">
      <alignment horizontal="center" vertical="center"/>
    </xf>
    <xf numFmtId="0" fontId="46" fillId="3" borderId="22" xfId="0" applyFont="1" applyFill="1" applyBorder="1" applyAlignment="1">
      <alignment horizontal="center" vertical="center"/>
    </xf>
    <xf numFmtId="0" fontId="46" fillId="3" borderId="32" xfId="0" applyFont="1" applyFill="1" applyBorder="1" applyAlignment="1">
      <alignment horizontal="center" vertical="center"/>
    </xf>
    <xf numFmtId="0" fontId="46" fillId="3" borderId="23" xfId="0" applyFont="1" applyFill="1" applyBorder="1" applyAlignment="1">
      <alignment horizontal="center" vertical="center"/>
    </xf>
    <xf numFmtId="0" fontId="46" fillId="4" borderId="22" xfId="0" applyFont="1" applyFill="1" applyBorder="1" applyAlignment="1">
      <alignment horizontal="center" vertical="center"/>
    </xf>
    <xf numFmtId="0" fontId="46" fillId="4" borderId="32" xfId="0" applyFont="1" applyFill="1" applyBorder="1" applyAlignment="1">
      <alignment horizontal="center" vertical="center"/>
    </xf>
    <xf numFmtId="0" fontId="46" fillId="4" borderId="23" xfId="0" applyFont="1" applyFill="1" applyBorder="1" applyAlignment="1">
      <alignment horizontal="center" vertical="center"/>
    </xf>
    <xf numFmtId="0" fontId="46" fillId="5" borderId="22" xfId="0" applyFont="1" applyFill="1" applyBorder="1" applyAlignment="1">
      <alignment horizontal="center" vertical="center"/>
    </xf>
    <xf numFmtId="0" fontId="46" fillId="5" borderId="32" xfId="0" applyFont="1" applyFill="1" applyBorder="1" applyAlignment="1">
      <alignment horizontal="center" vertical="center"/>
    </xf>
    <xf numFmtId="0" fontId="46" fillId="5" borderId="23" xfId="0" applyFont="1" applyFill="1" applyBorder="1" applyAlignment="1">
      <alignment horizontal="center" vertical="center"/>
    </xf>
    <xf numFmtId="0" fontId="46" fillId="7" borderId="22" xfId="0" applyFont="1" applyFill="1" applyBorder="1" applyAlignment="1">
      <alignment horizontal="center" vertical="center"/>
    </xf>
    <xf numFmtId="0" fontId="46" fillId="7" borderId="32" xfId="0" applyFont="1" applyFill="1" applyBorder="1" applyAlignment="1">
      <alignment horizontal="center" vertical="center"/>
    </xf>
    <xf numFmtId="0" fontId="46" fillId="7" borderId="23" xfId="0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25" fillId="10" borderId="16" xfId="0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35" fillId="2" borderId="9" xfId="0" applyFont="1" applyFill="1" applyBorder="1" applyAlignment="1">
      <alignment horizontal="center" vertical="center"/>
    </xf>
    <xf numFmtId="0" fontId="35" fillId="2" borderId="16" xfId="0" applyFont="1" applyFill="1" applyBorder="1" applyAlignment="1">
      <alignment horizontal="center" vertical="center"/>
    </xf>
    <xf numFmtId="0" fontId="35" fillId="2" borderId="10" xfId="0" applyFont="1" applyFill="1" applyBorder="1" applyAlignment="1">
      <alignment horizontal="center" vertical="center"/>
    </xf>
    <xf numFmtId="0" fontId="35" fillId="5" borderId="9" xfId="0" applyFont="1" applyFill="1" applyBorder="1" applyAlignment="1">
      <alignment horizontal="center" vertical="center"/>
    </xf>
    <xf numFmtId="0" fontId="35" fillId="5" borderId="16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center" vertical="center"/>
    </xf>
    <xf numFmtId="0" fontId="35" fillId="7" borderId="9" xfId="0" applyFont="1" applyFill="1" applyBorder="1" applyAlignment="1">
      <alignment horizontal="center" vertical="center"/>
    </xf>
    <xf numFmtId="0" fontId="35" fillId="7" borderId="16" xfId="0" applyFont="1" applyFill="1" applyBorder="1" applyAlignment="1">
      <alignment horizontal="center" vertical="center"/>
    </xf>
    <xf numFmtId="0" fontId="35" fillId="7" borderId="10" xfId="0" applyFont="1" applyFill="1" applyBorder="1" applyAlignment="1">
      <alignment horizontal="center" vertical="center"/>
    </xf>
    <xf numFmtId="0" fontId="35" fillId="9" borderId="9" xfId="0" applyFont="1" applyFill="1" applyBorder="1" applyAlignment="1">
      <alignment horizontal="center" vertical="center"/>
    </xf>
    <xf numFmtId="0" fontId="35" fillId="9" borderId="16" xfId="0" applyFont="1" applyFill="1" applyBorder="1" applyAlignment="1">
      <alignment horizontal="center" vertical="center"/>
    </xf>
    <xf numFmtId="0" fontId="35" fillId="9" borderId="10" xfId="0" applyFont="1" applyFill="1" applyBorder="1" applyAlignment="1">
      <alignment horizontal="center" vertical="center"/>
    </xf>
    <xf numFmtId="0" fontId="35" fillId="3" borderId="9" xfId="0" applyFont="1" applyFill="1" applyBorder="1" applyAlignment="1">
      <alignment horizontal="center" vertical="center"/>
    </xf>
    <xf numFmtId="0" fontId="35" fillId="3" borderId="16" xfId="0" applyFont="1" applyFill="1" applyBorder="1" applyAlignment="1">
      <alignment horizontal="center" vertical="center"/>
    </xf>
    <xf numFmtId="0" fontId="35" fillId="3" borderId="10" xfId="0" applyFont="1" applyFill="1" applyBorder="1" applyAlignment="1">
      <alignment horizontal="center" vertical="center"/>
    </xf>
    <xf numFmtId="0" fontId="35" fillId="4" borderId="9" xfId="0" applyFont="1" applyFill="1" applyBorder="1" applyAlignment="1">
      <alignment horizontal="center" vertical="center"/>
    </xf>
    <xf numFmtId="0" fontId="35" fillId="4" borderId="16" xfId="0" applyFont="1" applyFill="1" applyBorder="1" applyAlignment="1">
      <alignment horizontal="center" vertical="center"/>
    </xf>
    <xf numFmtId="0" fontId="35" fillId="4" borderId="10" xfId="0" applyFont="1" applyFill="1" applyBorder="1" applyAlignment="1">
      <alignment horizontal="center" vertical="center"/>
    </xf>
    <xf numFmtId="0" fontId="42" fillId="0" borderId="0" xfId="0" applyFont="1" applyFill="1" applyAlignment="1">
      <alignment horizontal="center"/>
    </xf>
    <xf numFmtId="0" fontId="23" fillId="0" borderId="2" xfId="0" applyFont="1" applyBorder="1" applyAlignment="1">
      <alignment horizontal="center" vertical="center"/>
    </xf>
    <xf numFmtId="0" fontId="23" fillId="0" borderId="5" xfId="0" applyFont="1" applyBorder="1" applyAlignment="1">
      <alignment horizontal="center" vertical="center"/>
    </xf>
    <xf numFmtId="0" fontId="23" fillId="9" borderId="14" xfId="0" applyFont="1" applyFill="1" applyBorder="1" applyAlignment="1">
      <alignment horizontal="center" vertical="center"/>
    </xf>
    <xf numFmtId="165" fontId="25" fillId="10" borderId="9" xfId="0" applyNumberFormat="1" applyFont="1" applyFill="1" applyBorder="1" applyAlignment="1">
      <alignment horizontal="center" vertical="center"/>
    </xf>
    <xf numFmtId="165" fontId="25" fillId="10" borderId="16" xfId="0" applyNumberFormat="1" applyFont="1" applyFill="1" applyBorder="1" applyAlignment="1">
      <alignment horizontal="center" vertical="center"/>
    </xf>
    <xf numFmtId="165" fontId="25" fillId="10" borderId="10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0" xfId="0" applyBorder="1" applyAlignment="1">
      <alignment horizontal="center"/>
    </xf>
    <xf numFmtId="166" fontId="31" fillId="0" borderId="9" xfId="0" applyNumberFormat="1" applyFont="1" applyFill="1" applyBorder="1" applyAlignment="1">
      <alignment horizontal="center"/>
    </xf>
    <xf numFmtId="0" fontId="31" fillId="0" borderId="16" xfId="0" applyFont="1" applyFill="1" applyBorder="1" applyAlignment="1">
      <alignment horizontal="center"/>
    </xf>
    <xf numFmtId="0" fontId="31" fillId="0" borderId="10" xfId="0" applyFont="1" applyFill="1" applyBorder="1" applyAlignment="1">
      <alignment horizontal="center"/>
    </xf>
    <xf numFmtId="166" fontId="31" fillId="0" borderId="9" xfId="0" applyNumberFormat="1" applyFont="1" applyFill="1" applyBorder="1" applyAlignment="1">
      <alignment horizontal="right"/>
    </xf>
    <xf numFmtId="166" fontId="31" fillId="0" borderId="16" xfId="0" applyNumberFormat="1" applyFont="1" applyFill="1" applyBorder="1" applyAlignment="1">
      <alignment horizontal="right"/>
    </xf>
    <xf numFmtId="166" fontId="31" fillId="0" borderId="10" xfId="0" applyNumberFormat="1" applyFont="1" applyFill="1" applyBorder="1" applyAlignment="1">
      <alignment horizontal="right"/>
    </xf>
    <xf numFmtId="0" fontId="23" fillId="7" borderId="14" xfId="0" applyFont="1" applyFill="1" applyBorder="1" applyAlignment="1">
      <alignment horizontal="center" vertical="center"/>
    </xf>
    <xf numFmtId="0" fontId="23" fillId="3" borderId="9" xfId="0" applyFont="1" applyFill="1" applyBorder="1" applyAlignment="1">
      <alignment horizontal="center" vertical="center"/>
    </xf>
    <xf numFmtId="0" fontId="23" fillId="3" borderId="16" xfId="0" applyFont="1" applyFill="1" applyBorder="1" applyAlignment="1">
      <alignment horizontal="center" vertical="center"/>
    </xf>
    <xf numFmtId="0" fontId="23" fillId="3" borderId="10" xfId="0" applyFont="1" applyFill="1" applyBorder="1" applyAlignment="1">
      <alignment horizontal="center" vertical="center"/>
    </xf>
    <xf numFmtId="0" fontId="23" fillId="4" borderId="9" xfId="0" applyFont="1" applyFill="1" applyBorder="1" applyAlignment="1">
      <alignment horizontal="center" vertical="center"/>
    </xf>
    <xf numFmtId="0" fontId="23" fillId="4" borderId="16" xfId="0" applyFont="1" applyFill="1" applyBorder="1" applyAlignment="1">
      <alignment horizontal="center" vertical="center"/>
    </xf>
    <xf numFmtId="0" fontId="23" fillId="4" borderId="10" xfId="0" applyFont="1" applyFill="1" applyBorder="1" applyAlignment="1">
      <alignment horizontal="center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5" borderId="9" xfId="0" applyFont="1" applyFill="1" applyBorder="1" applyAlignment="1">
      <alignment horizontal="center" vertical="center"/>
    </xf>
    <xf numFmtId="0" fontId="23" fillId="5" borderId="16" xfId="0" applyFont="1" applyFill="1" applyBorder="1" applyAlignment="1">
      <alignment horizontal="center" vertical="center"/>
    </xf>
    <xf numFmtId="0" fontId="23" fillId="5" borderId="10" xfId="0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 wrapText="1"/>
    </xf>
    <xf numFmtId="0" fontId="25" fillId="10" borderId="16" xfId="0" applyFont="1" applyFill="1" applyBorder="1" applyAlignment="1">
      <alignment horizontal="center" vertical="center" wrapText="1"/>
    </xf>
    <xf numFmtId="0" fontId="25" fillId="10" borderId="10" xfId="0" applyFont="1" applyFill="1" applyBorder="1" applyAlignment="1">
      <alignment horizontal="center" vertical="center" wrapText="1"/>
    </xf>
    <xf numFmtId="166" fontId="31" fillId="0" borderId="16" xfId="0" applyNumberFormat="1" applyFont="1" applyFill="1" applyBorder="1" applyAlignment="1">
      <alignment horizontal="center"/>
    </xf>
    <xf numFmtId="166" fontId="31" fillId="0" borderId="10" xfId="0" applyNumberFormat="1" applyFont="1" applyFill="1" applyBorder="1" applyAlignment="1">
      <alignment horizontal="center"/>
    </xf>
    <xf numFmtId="0" fontId="25" fillId="10" borderId="9" xfId="0" applyFont="1" applyFill="1" applyBorder="1" applyAlignment="1">
      <alignment horizontal="right" vertical="center"/>
    </xf>
    <xf numFmtId="0" fontId="25" fillId="10" borderId="16" xfId="0" applyFont="1" applyFill="1" applyBorder="1" applyAlignment="1">
      <alignment horizontal="right" vertical="center"/>
    </xf>
    <xf numFmtId="0" fontId="25" fillId="10" borderId="10" xfId="0" applyFont="1" applyFill="1" applyBorder="1" applyAlignment="1">
      <alignment horizontal="right" vertical="center"/>
    </xf>
    <xf numFmtId="2" fontId="25" fillId="10" borderId="9" xfId="0" applyNumberFormat="1" applyFont="1" applyFill="1" applyBorder="1" applyAlignment="1">
      <alignment horizontal="right" vertical="center"/>
    </xf>
    <xf numFmtId="2" fontId="25" fillId="10" borderId="16" xfId="0" applyNumberFormat="1" applyFont="1" applyFill="1" applyBorder="1" applyAlignment="1">
      <alignment horizontal="right" vertical="center"/>
    </xf>
    <xf numFmtId="2" fontId="25" fillId="10" borderId="10" xfId="0" applyNumberFormat="1" applyFont="1" applyFill="1" applyBorder="1" applyAlignment="1">
      <alignment horizontal="right" vertical="center"/>
    </xf>
    <xf numFmtId="0" fontId="7" fillId="0" borderId="11" xfId="0" applyFont="1" applyBorder="1" applyAlignment="1">
      <alignment horizontal="center"/>
    </xf>
    <xf numFmtId="0" fontId="7" fillId="0" borderId="11" xfId="0" applyFont="1" applyBorder="1"/>
    <xf numFmtId="0" fontId="1" fillId="0" borderId="0" xfId="0" applyFont="1" applyAlignment="1">
      <alignment horizontal="center"/>
    </xf>
    <xf numFmtId="164" fontId="48" fillId="0" borderId="0" xfId="0" quotePrefix="1" applyNumberFormat="1" applyFont="1" applyAlignment="1">
      <alignment horizontal="center"/>
    </xf>
    <xf numFmtId="164" fontId="48" fillId="0" borderId="0" xfId="0" applyNumberFormat="1" applyFont="1" applyAlignment="1">
      <alignment horizontal="center"/>
    </xf>
    <xf numFmtId="0" fontId="2" fillId="0" borderId="7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8" fillId="0" borderId="7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12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164" fontId="48" fillId="0" borderId="0" xfId="0" quotePrefix="1" applyNumberFormat="1" applyFont="1" applyFill="1" applyAlignment="1">
      <alignment horizontal="center"/>
    </xf>
    <xf numFmtId="164" fontId="48" fillId="0" borderId="0" xfId="0" applyNumberFormat="1" applyFont="1" applyFill="1" applyAlignment="1">
      <alignment horizontal="center"/>
    </xf>
    <xf numFmtId="0" fontId="7" fillId="0" borderId="1" xfId="0" applyFont="1" applyFill="1" applyBorder="1" applyAlignment="1">
      <alignment horizontal="left"/>
    </xf>
    <xf numFmtId="0" fontId="8" fillId="0" borderId="8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0" fontId="7" fillId="0" borderId="10" xfId="0" applyFont="1" applyFill="1" applyBorder="1" applyAlignment="1">
      <alignment horizontal="center"/>
    </xf>
    <xf numFmtId="0" fontId="7" fillId="0" borderId="12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7" fillId="0" borderId="11" xfId="0" applyFont="1" applyFill="1" applyBorder="1" applyAlignment="1">
      <alignment horizontal="center"/>
    </xf>
    <xf numFmtId="0" fontId="7" fillId="0" borderId="11" xfId="0" applyFont="1" applyFill="1" applyBorder="1"/>
    <xf numFmtId="0" fontId="50" fillId="11" borderId="9" xfId="0" applyFont="1" applyFill="1" applyBorder="1" applyAlignment="1"/>
    <xf numFmtId="0" fontId="50" fillId="11" borderId="10" xfId="0" applyFont="1" applyFill="1" applyBorder="1" applyAlignment="1"/>
    <xf numFmtId="0" fontId="46" fillId="2" borderId="22" xfId="0" applyFont="1" applyFill="1" applyBorder="1" applyAlignment="1">
      <alignment horizontal="center" vertical="center"/>
    </xf>
    <xf numFmtId="0" fontId="46" fillId="2" borderId="32" xfId="0" applyFont="1" applyFill="1" applyBorder="1" applyAlignment="1">
      <alignment horizontal="center" vertical="center"/>
    </xf>
    <xf numFmtId="0" fontId="46" fillId="2" borderId="23" xfId="0" applyFont="1" applyFill="1" applyBorder="1" applyAlignment="1">
      <alignment horizontal="center" vertical="center"/>
    </xf>
    <xf numFmtId="166" fontId="0" fillId="0" borderId="0" xfId="0" applyNumberFormat="1" applyAlignment="1">
      <alignment horizontal="center"/>
    </xf>
    <xf numFmtId="0" fontId="23" fillId="0" borderId="0" xfId="0" applyFont="1" applyAlignment="1">
      <alignment horizontal="center" vertical="center"/>
    </xf>
    <xf numFmtId="165" fontId="37" fillId="0" borderId="18" xfId="0" applyNumberFormat="1" applyFont="1" applyBorder="1" applyAlignment="1">
      <alignment horizontal="center"/>
    </xf>
    <xf numFmtId="0" fontId="37" fillId="0" borderId="18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15" fillId="0" borderId="20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0" fontId="36" fillId="0" borderId="17" xfId="0" applyFont="1" applyBorder="1" applyAlignment="1">
      <alignment horizontal="right"/>
    </xf>
    <xf numFmtId="0" fontId="36" fillId="0" borderId="18" xfId="0" applyFont="1" applyBorder="1" applyAlignment="1">
      <alignment horizontal="right"/>
    </xf>
    <xf numFmtId="165" fontId="36" fillId="0" borderId="18" xfId="0" applyNumberFormat="1" applyFont="1" applyBorder="1" applyAlignment="1">
      <alignment horizontal="center"/>
    </xf>
    <xf numFmtId="165" fontId="36" fillId="0" borderId="19" xfId="0" applyNumberFormat="1" applyFont="1" applyBorder="1" applyAlignment="1">
      <alignment horizontal="center"/>
    </xf>
    <xf numFmtId="17" fontId="21" fillId="0" borderId="22" xfId="0" applyNumberFormat="1" applyFont="1" applyBorder="1" applyAlignment="1">
      <alignment horizontal="center" vertical="center"/>
    </xf>
    <xf numFmtId="17" fontId="21" fillId="0" borderId="23" xfId="0" applyNumberFormat="1" applyFont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1" fillId="0" borderId="23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Normal 4 2" xfId="2" xr:uid="{89E4397B-E664-49BB-806C-CDC146AE6071}"/>
  </cellStyles>
  <dxfs count="29"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Medium9"/>
  <colors>
    <mruColors>
      <color rgb="FFF8D590"/>
      <color rgb="FFFFEDB3"/>
      <color rgb="FFB2C3F4"/>
      <color rgb="FF99B0F1"/>
      <color rgb="FFFBD3F2"/>
      <color rgb="FFC9A6E4"/>
      <color rgb="FFFF9E6D"/>
      <color rgb="FFF8D184"/>
      <color rgb="FFF8D388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065CB-B7BB-46DF-BE81-7831B761C9E5}">
  <sheetPr>
    <pageSetUpPr fitToPage="1"/>
  </sheetPr>
  <dimension ref="A1:T19"/>
  <sheetViews>
    <sheetView tabSelected="1" view="pageBreakPreview" zoomScale="73" zoomScaleNormal="84" zoomScaleSheetLayoutView="73" workbookViewId="0">
      <selection activeCell="I29" sqref="I29"/>
    </sheetView>
  </sheetViews>
  <sheetFormatPr defaultRowHeight="15" x14ac:dyDescent="0.25"/>
  <cols>
    <col min="1" max="1" width="16" customWidth="1"/>
    <col min="2" max="3" width="15" customWidth="1"/>
    <col min="4" max="4" width="21.85546875" customWidth="1"/>
    <col min="5" max="5" width="17.7109375" customWidth="1"/>
    <col min="6" max="6" width="12.28515625" customWidth="1"/>
    <col min="7" max="7" width="13" customWidth="1"/>
    <col min="8" max="8" width="18.28515625" customWidth="1"/>
    <col min="9" max="9" width="18" customWidth="1"/>
    <col min="10" max="10" width="11.85546875" customWidth="1"/>
    <col min="11" max="11" width="13.7109375" customWidth="1"/>
    <col min="12" max="12" width="19.28515625" customWidth="1"/>
    <col min="13" max="13" width="18.42578125" customWidth="1"/>
    <col min="14" max="14" width="11.5703125" customWidth="1"/>
    <col min="15" max="15" width="13.42578125" customWidth="1"/>
    <col min="16" max="16" width="18.85546875" customWidth="1"/>
    <col min="17" max="17" width="18.5703125" customWidth="1"/>
    <col min="18" max="19" width="19.42578125" customWidth="1"/>
    <col min="20" max="20" width="25" customWidth="1"/>
  </cols>
  <sheetData>
    <row r="1" spans="1:20" ht="26.25" x14ac:dyDescent="0.4">
      <c r="A1" s="529" t="s">
        <v>142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3"/>
    </row>
    <row r="2" spans="1:20" ht="15.75" thickBot="1" x14ac:dyDescent="0.3"/>
    <row r="3" spans="1:20" ht="39.75" customHeight="1" x14ac:dyDescent="0.25">
      <c r="A3" s="530" t="s">
        <v>139</v>
      </c>
      <c r="B3" s="532" t="s">
        <v>95</v>
      </c>
      <c r="C3" s="533"/>
      <c r="D3" s="533"/>
      <c r="E3" s="534"/>
      <c r="F3" s="535" t="s">
        <v>97</v>
      </c>
      <c r="G3" s="536"/>
      <c r="H3" s="536"/>
      <c r="I3" s="537"/>
      <c r="J3" s="538" t="s">
        <v>105</v>
      </c>
      <c r="K3" s="539"/>
      <c r="L3" s="539"/>
      <c r="M3" s="540"/>
      <c r="N3" s="541" t="s">
        <v>132</v>
      </c>
      <c r="O3" s="542"/>
      <c r="P3" s="542"/>
      <c r="Q3" s="543"/>
      <c r="R3" s="205" t="s">
        <v>136</v>
      </c>
      <c r="S3" s="527" t="s">
        <v>146</v>
      </c>
      <c r="T3" s="525" t="s">
        <v>3858</v>
      </c>
    </row>
    <row r="4" spans="1:20" ht="63.75" customHeight="1" thickBot="1" x14ac:dyDescent="0.3">
      <c r="A4" s="531"/>
      <c r="B4" s="203" t="s">
        <v>93</v>
      </c>
      <c r="C4" s="201" t="s">
        <v>92</v>
      </c>
      <c r="D4" s="202" t="s">
        <v>140</v>
      </c>
      <c r="E4" s="204" t="s">
        <v>141</v>
      </c>
      <c r="F4" s="203" t="s">
        <v>93</v>
      </c>
      <c r="G4" s="201" t="s">
        <v>92</v>
      </c>
      <c r="H4" s="202" t="s">
        <v>140</v>
      </c>
      <c r="I4" s="204" t="s">
        <v>141</v>
      </c>
      <c r="J4" s="203" t="s">
        <v>93</v>
      </c>
      <c r="K4" s="201" t="s">
        <v>92</v>
      </c>
      <c r="L4" s="202" t="s">
        <v>140</v>
      </c>
      <c r="M4" s="204" t="s">
        <v>141</v>
      </c>
      <c r="N4" s="203" t="s">
        <v>93</v>
      </c>
      <c r="O4" s="201" t="s">
        <v>92</v>
      </c>
      <c r="P4" s="202" t="s">
        <v>140</v>
      </c>
      <c r="Q4" s="204" t="s">
        <v>141</v>
      </c>
      <c r="R4" s="206" t="s">
        <v>140</v>
      </c>
      <c r="S4" s="528"/>
      <c r="T4" s="526"/>
    </row>
    <row r="5" spans="1:20" ht="63.75" customHeight="1" x14ac:dyDescent="0.25">
      <c r="A5" s="524">
        <v>2024</v>
      </c>
      <c r="B5" s="189">
        <v>3409605</v>
      </c>
      <c r="C5" s="189">
        <v>1857836</v>
      </c>
      <c r="D5" s="189">
        <v>4907441</v>
      </c>
      <c r="E5" s="190">
        <v>6008929</v>
      </c>
      <c r="F5" s="189">
        <v>1886</v>
      </c>
      <c r="G5" s="189"/>
      <c r="H5" s="189">
        <v>1886</v>
      </c>
      <c r="I5" s="190">
        <v>2763</v>
      </c>
      <c r="J5" s="189">
        <v>207500</v>
      </c>
      <c r="K5" s="189">
        <v>14850</v>
      </c>
      <c r="L5" s="189">
        <v>222350</v>
      </c>
      <c r="M5" s="190">
        <v>266820</v>
      </c>
      <c r="N5" s="189">
        <v>53500</v>
      </c>
      <c r="O5" s="189">
        <v>90330</v>
      </c>
      <c r="P5" s="189">
        <v>143830</v>
      </c>
      <c r="Q5" s="191">
        <v>172596</v>
      </c>
      <c r="R5" s="192">
        <v>22274</v>
      </c>
      <c r="S5" s="193">
        <v>1713</v>
      </c>
      <c r="T5" s="193" t="s">
        <v>3859</v>
      </c>
    </row>
    <row r="6" spans="1:20" ht="31.5" customHeight="1" x14ac:dyDescent="0.25"/>
    <row r="12" spans="1:20" x14ac:dyDescent="0.25">
      <c r="E12" s="171"/>
    </row>
    <row r="19" spans="5:5" x14ac:dyDescent="0.25">
      <c r="E19" s="171"/>
    </row>
  </sheetData>
  <mergeCells count="8">
    <mergeCell ref="T3:T4"/>
    <mergeCell ref="S3:S4"/>
    <mergeCell ref="A1:R1"/>
    <mergeCell ref="A3:A4"/>
    <mergeCell ref="B3:E3"/>
    <mergeCell ref="F3:I3"/>
    <mergeCell ref="J3:M3"/>
    <mergeCell ref="N3:Q3"/>
  </mergeCells>
  <printOptions horizontalCentered="1"/>
  <pageMargins left="0.25" right="0.25" top="0.75" bottom="0.75" header="0.3" footer="0.3"/>
  <pageSetup paperSize="155" scale="3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T86"/>
  <sheetViews>
    <sheetView view="pageBreakPreview" topLeftCell="B49" zoomScale="73" zoomScaleNormal="73" zoomScaleSheetLayoutView="73" zoomScalePageLayoutView="84" workbookViewId="0">
      <selection activeCell="K70" sqref="K70"/>
    </sheetView>
  </sheetViews>
  <sheetFormatPr defaultRowHeight="15" x14ac:dyDescent="0.25"/>
  <cols>
    <col min="1" max="1" width="19.85546875" customWidth="1"/>
    <col min="2" max="2" width="24.28515625" customWidth="1"/>
    <col min="3" max="3" width="19.42578125" customWidth="1"/>
    <col min="4" max="4" width="29.28515625" customWidth="1"/>
    <col min="5" max="5" width="15.7109375" customWidth="1"/>
    <col min="6" max="6" width="13.140625" customWidth="1"/>
    <col min="7" max="7" width="23.140625" customWidth="1"/>
    <col min="8" max="8" width="16.42578125" customWidth="1"/>
    <col min="9" max="9" width="14.7109375" customWidth="1"/>
    <col min="10" max="10" width="17.140625" customWidth="1"/>
    <col min="11" max="11" width="16.85546875" customWidth="1"/>
    <col min="12" max="12" width="15.140625" customWidth="1"/>
    <col min="13" max="13" width="17.7109375" customWidth="1"/>
    <col min="14" max="14" width="14.85546875" customWidth="1"/>
    <col min="15" max="15" width="15.42578125" customWidth="1"/>
    <col min="16" max="16" width="26.28515625" customWidth="1"/>
    <col min="17" max="17" width="18.42578125" customWidth="1"/>
    <col min="18" max="18" width="17.7109375" customWidth="1"/>
    <col min="19" max="19" width="26.7109375" customWidth="1"/>
    <col min="20" max="20" width="22.140625" customWidth="1"/>
    <col min="21" max="21" width="6.28515625" customWidth="1"/>
    <col min="22" max="22" width="21.7109375" customWidth="1"/>
    <col min="23" max="23" width="12.42578125" customWidth="1"/>
    <col min="24" max="24" width="16.5703125" customWidth="1"/>
  </cols>
  <sheetData>
    <row r="1" spans="1:20" ht="25.5" x14ac:dyDescent="0.35">
      <c r="A1" s="565" t="s">
        <v>2305</v>
      </c>
      <c r="B1" s="565"/>
      <c r="C1" s="565"/>
      <c r="D1" s="565"/>
      <c r="E1" s="565"/>
      <c r="F1" s="565"/>
      <c r="G1" s="565"/>
      <c r="H1" s="565"/>
      <c r="I1" s="565"/>
      <c r="J1" s="565"/>
      <c r="K1" s="565"/>
      <c r="L1" s="565"/>
      <c r="M1" s="565"/>
      <c r="N1" s="565"/>
      <c r="O1" s="565"/>
      <c r="P1" s="565"/>
      <c r="Q1" s="565"/>
      <c r="R1" s="565"/>
      <c r="S1" s="565"/>
    </row>
    <row r="3" spans="1:20" ht="30" customHeight="1" x14ac:dyDescent="0.25">
      <c r="A3" s="566" t="s">
        <v>98</v>
      </c>
      <c r="B3" s="582" t="s">
        <v>95</v>
      </c>
      <c r="C3" s="583"/>
      <c r="D3" s="584"/>
      <c r="E3" s="585" t="s">
        <v>151</v>
      </c>
      <c r="F3" s="586"/>
      <c r="G3" s="587"/>
      <c r="H3" s="588" t="s">
        <v>94</v>
      </c>
      <c r="I3" s="589"/>
      <c r="J3" s="590"/>
      <c r="K3" s="591" t="s">
        <v>105</v>
      </c>
      <c r="L3" s="592"/>
      <c r="M3" s="593"/>
      <c r="N3" s="581" t="s">
        <v>132</v>
      </c>
      <c r="O3" s="581"/>
      <c r="P3" s="581"/>
      <c r="Q3" s="568" t="s">
        <v>135</v>
      </c>
      <c r="R3" s="568"/>
      <c r="S3" s="568"/>
      <c r="T3" s="244" t="s">
        <v>153</v>
      </c>
    </row>
    <row r="4" spans="1:20" ht="17.25" x14ac:dyDescent="0.3">
      <c r="A4" s="567"/>
      <c r="B4" s="76" t="s">
        <v>93</v>
      </c>
      <c r="C4" s="76" t="s">
        <v>92</v>
      </c>
      <c r="D4" s="77" t="s">
        <v>18</v>
      </c>
      <c r="E4" s="76" t="s">
        <v>93</v>
      </c>
      <c r="F4" s="76" t="s">
        <v>92</v>
      </c>
      <c r="G4" s="77" t="s">
        <v>18</v>
      </c>
      <c r="H4" s="76" t="s">
        <v>93</v>
      </c>
      <c r="I4" s="94" t="s">
        <v>92</v>
      </c>
      <c r="J4" s="77" t="s">
        <v>18</v>
      </c>
      <c r="K4" s="76" t="s">
        <v>93</v>
      </c>
      <c r="L4" s="94" t="s">
        <v>92</v>
      </c>
      <c r="M4" s="77" t="s">
        <v>18</v>
      </c>
      <c r="N4" s="93" t="s">
        <v>93</v>
      </c>
      <c r="O4" s="94" t="s">
        <v>92</v>
      </c>
      <c r="P4" s="92" t="s">
        <v>18</v>
      </c>
      <c r="Q4" s="93" t="s">
        <v>93</v>
      </c>
      <c r="R4" s="93" t="s">
        <v>92</v>
      </c>
      <c r="S4" s="92" t="s">
        <v>18</v>
      </c>
      <c r="T4" s="25"/>
    </row>
    <row r="5" spans="1:20" ht="29.25" customHeight="1" x14ac:dyDescent="0.3">
      <c r="A5" s="298" t="s">
        <v>308</v>
      </c>
      <c r="B5" s="299">
        <v>167950</v>
      </c>
      <c r="C5" s="299">
        <v>40700</v>
      </c>
      <c r="D5" s="300">
        <f t="shared" ref="D5:D67" si="0">B5+C5</f>
        <v>208650</v>
      </c>
      <c r="E5" s="299"/>
      <c r="F5" s="299"/>
      <c r="G5" s="300">
        <f>E5+F5</f>
        <v>0</v>
      </c>
      <c r="H5" s="299"/>
      <c r="I5" s="299"/>
      <c r="J5" s="300"/>
      <c r="K5" s="299"/>
      <c r="L5" s="299"/>
      <c r="M5" s="300">
        <f>K5+L5</f>
        <v>0</v>
      </c>
      <c r="N5" s="299"/>
      <c r="O5" s="299"/>
      <c r="P5" s="301">
        <f>N5+O5</f>
        <v>0</v>
      </c>
      <c r="Q5" s="302"/>
      <c r="R5" s="302"/>
      <c r="S5" s="306">
        <f>Q5+R5</f>
        <v>0</v>
      </c>
      <c r="T5" s="307">
        <v>62</v>
      </c>
    </row>
    <row r="6" spans="1:20" ht="29.25" customHeight="1" x14ac:dyDescent="0.3">
      <c r="A6" s="298" t="s">
        <v>351</v>
      </c>
      <c r="B6" s="299">
        <v>34200</v>
      </c>
      <c r="C6" s="299">
        <v>31500</v>
      </c>
      <c r="D6" s="300">
        <f t="shared" si="0"/>
        <v>65700</v>
      </c>
      <c r="E6" s="299"/>
      <c r="F6" s="299"/>
      <c r="G6" s="300">
        <f t="shared" ref="G6:G23" si="1">E6+F6</f>
        <v>0</v>
      </c>
      <c r="H6" s="299"/>
      <c r="I6" s="299"/>
      <c r="J6" s="300"/>
      <c r="K6" s="299"/>
      <c r="L6" s="299"/>
      <c r="M6" s="300">
        <f>K6+L6</f>
        <v>0</v>
      </c>
      <c r="N6" s="299"/>
      <c r="O6" s="299"/>
      <c r="P6" s="301">
        <f t="shared" ref="P6:P39" si="2">N6+O6</f>
        <v>0</v>
      </c>
      <c r="Q6" s="303"/>
      <c r="R6" s="304">
        <v>60</v>
      </c>
      <c r="S6" s="308">
        <f t="shared" ref="S6:S14" si="3">Q6+R6</f>
        <v>60</v>
      </c>
      <c r="T6" s="307">
        <v>14</v>
      </c>
    </row>
    <row r="7" spans="1:20" ht="29.25" customHeight="1" x14ac:dyDescent="0.3">
      <c r="A7" s="305" t="s">
        <v>493</v>
      </c>
      <c r="B7" s="299">
        <v>155650</v>
      </c>
      <c r="C7" s="299">
        <v>235250</v>
      </c>
      <c r="D7" s="300">
        <f t="shared" si="0"/>
        <v>390900</v>
      </c>
      <c r="E7" s="299"/>
      <c r="F7" s="299"/>
      <c r="G7" s="300">
        <f t="shared" si="1"/>
        <v>0</v>
      </c>
      <c r="H7" s="299"/>
      <c r="I7" s="299"/>
      <c r="J7" s="300"/>
      <c r="K7" s="299">
        <v>25250</v>
      </c>
      <c r="L7" s="299"/>
      <c r="M7" s="300">
        <f>K7+L7</f>
        <v>25250</v>
      </c>
      <c r="N7" s="299"/>
      <c r="O7" s="299"/>
      <c r="P7" s="301">
        <f t="shared" si="2"/>
        <v>0</v>
      </c>
      <c r="Q7" s="303"/>
      <c r="R7" s="303"/>
      <c r="S7" s="308">
        <f t="shared" si="3"/>
        <v>0</v>
      </c>
      <c r="T7" s="307">
        <v>70</v>
      </c>
    </row>
    <row r="8" spans="1:20" ht="29.25" customHeight="1" x14ac:dyDescent="0.3">
      <c r="A8" s="305" t="s">
        <v>597</v>
      </c>
      <c r="B8" s="299">
        <v>72510</v>
      </c>
      <c r="C8" s="299">
        <v>237200</v>
      </c>
      <c r="D8" s="300">
        <f t="shared" si="0"/>
        <v>309710</v>
      </c>
      <c r="E8" s="299"/>
      <c r="F8" s="299"/>
      <c r="G8" s="300">
        <f t="shared" si="1"/>
        <v>0</v>
      </c>
      <c r="H8" s="299"/>
      <c r="I8" s="299"/>
      <c r="J8" s="300"/>
      <c r="K8" s="299">
        <v>100</v>
      </c>
      <c r="L8" s="299">
        <v>100</v>
      </c>
      <c r="M8" s="300">
        <f>K8+L8</f>
        <v>200</v>
      </c>
      <c r="N8" s="299"/>
      <c r="O8" s="299"/>
      <c r="P8" s="301">
        <f t="shared" si="2"/>
        <v>0</v>
      </c>
      <c r="Q8" s="303"/>
      <c r="R8" s="303"/>
      <c r="S8" s="308">
        <f t="shared" si="3"/>
        <v>0</v>
      </c>
      <c r="T8" s="307">
        <v>51</v>
      </c>
    </row>
    <row r="9" spans="1:20" ht="29.25" customHeight="1" x14ac:dyDescent="0.3">
      <c r="A9" s="311" t="s">
        <v>728</v>
      </c>
      <c r="B9" s="312">
        <v>77600</v>
      </c>
      <c r="C9" s="312">
        <v>23700</v>
      </c>
      <c r="D9" s="313">
        <f t="shared" si="0"/>
        <v>101300</v>
      </c>
      <c r="E9" s="312"/>
      <c r="F9" s="312"/>
      <c r="G9" s="313"/>
      <c r="H9" s="312"/>
      <c r="I9" s="312"/>
      <c r="J9" s="313"/>
      <c r="K9" s="312">
        <v>37000</v>
      </c>
      <c r="L9" s="312"/>
      <c r="M9" s="313">
        <f>K9+L9</f>
        <v>37000</v>
      </c>
      <c r="N9" s="312"/>
      <c r="O9" s="312"/>
      <c r="P9" s="314">
        <f t="shared" si="2"/>
        <v>0</v>
      </c>
      <c r="Q9" s="315"/>
      <c r="R9" s="315"/>
      <c r="S9" s="316">
        <f t="shared" si="3"/>
        <v>0</v>
      </c>
      <c r="T9" s="317">
        <v>59</v>
      </c>
    </row>
    <row r="10" spans="1:20" ht="29.25" customHeight="1" x14ac:dyDescent="0.3">
      <c r="A10" s="318" t="s">
        <v>790</v>
      </c>
      <c r="B10" s="312">
        <v>84900</v>
      </c>
      <c r="C10" s="312">
        <v>48950</v>
      </c>
      <c r="D10" s="313">
        <f t="shared" si="0"/>
        <v>133850</v>
      </c>
      <c r="E10" s="312"/>
      <c r="F10" s="312"/>
      <c r="G10" s="313">
        <f t="shared" si="1"/>
        <v>0</v>
      </c>
      <c r="H10" s="312"/>
      <c r="I10" s="312"/>
      <c r="J10" s="313"/>
      <c r="K10" s="312">
        <v>1400</v>
      </c>
      <c r="L10" s="312"/>
      <c r="M10" s="313">
        <f t="shared" ref="M10:M68" si="4">K10+L10</f>
        <v>1400</v>
      </c>
      <c r="N10" s="312"/>
      <c r="O10" s="312"/>
      <c r="P10" s="314">
        <f t="shared" si="2"/>
        <v>0</v>
      </c>
      <c r="Q10" s="315"/>
      <c r="R10" s="315"/>
      <c r="S10" s="316">
        <f t="shared" si="3"/>
        <v>0</v>
      </c>
      <c r="T10" s="317">
        <v>31</v>
      </c>
    </row>
    <row r="11" spans="1:20" s="62" customFormat="1" ht="29.25" customHeight="1" x14ac:dyDescent="0.3">
      <c r="A11" s="318" t="s">
        <v>949</v>
      </c>
      <c r="B11" s="312">
        <v>193975</v>
      </c>
      <c r="C11" s="312">
        <v>87220</v>
      </c>
      <c r="D11" s="313">
        <f t="shared" si="0"/>
        <v>281195</v>
      </c>
      <c r="E11" s="312"/>
      <c r="F11" s="312"/>
      <c r="G11" s="313">
        <f t="shared" si="1"/>
        <v>0</v>
      </c>
      <c r="H11" s="312"/>
      <c r="I11" s="312"/>
      <c r="J11" s="313"/>
      <c r="K11" s="312"/>
      <c r="L11" s="312">
        <v>400</v>
      </c>
      <c r="M11" s="313">
        <f t="shared" si="4"/>
        <v>400</v>
      </c>
      <c r="N11" s="312"/>
      <c r="O11" s="312"/>
      <c r="P11" s="314">
        <f t="shared" si="2"/>
        <v>0</v>
      </c>
      <c r="Q11" s="315"/>
      <c r="R11" s="315"/>
      <c r="S11" s="316">
        <f t="shared" si="3"/>
        <v>0</v>
      </c>
      <c r="T11" s="317">
        <v>77</v>
      </c>
    </row>
    <row r="12" spans="1:20" s="62" customFormat="1" ht="29.25" customHeight="1" x14ac:dyDescent="0.3">
      <c r="A12" s="358" t="s">
        <v>1061</v>
      </c>
      <c r="B12" s="359">
        <v>127650</v>
      </c>
      <c r="C12" s="359">
        <v>62990</v>
      </c>
      <c r="D12" s="360">
        <f t="shared" si="0"/>
        <v>190640</v>
      </c>
      <c r="E12" s="359"/>
      <c r="F12" s="359"/>
      <c r="G12" s="360">
        <f t="shared" si="1"/>
        <v>0</v>
      </c>
      <c r="H12" s="359"/>
      <c r="I12" s="359"/>
      <c r="J12" s="360"/>
      <c r="K12" s="359"/>
      <c r="L12" s="359"/>
      <c r="M12" s="360">
        <f t="shared" si="4"/>
        <v>0</v>
      </c>
      <c r="N12" s="359"/>
      <c r="O12" s="359"/>
      <c r="P12" s="361">
        <f t="shared" si="2"/>
        <v>0</v>
      </c>
      <c r="Q12" s="362">
        <v>5000</v>
      </c>
      <c r="R12" s="363"/>
      <c r="S12" s="364">
        <f t="shared" si="3"/>
        <v>5000</v>
      </c>
      <c r="T12" s="365">
        <v>46</v>
      </c>
    </row>
    <row r="13" spans="1:20" s="62" customFormat="1" ht="29.25" customHeight="1" x14ac:dyDescent="0.3">
      <c r="A13" s="358" t="s">
        <v>1138</v>
      </c>
      <c r="B13" s="359">
        <v>40000</v>
      </c>
      <c r="C13" s="359">
        <v>95287</v>
      </c>
      <c r="D13" s="360">
        <f t="shared" si="0"/>
        <v>135287</v>
      </c>
      <c r="E13" s="359"/>
      <c r="F13" s="359"/>
      <c r="G13" s="360">
        <f t="shared" si="1"/>
        <v>0</v>
      </c>
      <c r="H13" s="359"/>
      <c r="I13" s="359"/>
      <c r="J13" s="360"/>
      <c r="K13" s="359"/>
      <c r="L13" s="359"/>
      <c r="M13" s="360">
        <f t="shared" si="4"/>
        <v>0</v>
      </c>
      <c r="N13" s="359"/>
      <c r="O13" s="359"/>
      <c r="P13" s="361">
        <f t="shared" si="2"/>
        <v>0</v>
      </c>
      <c r="Q13" s="362"/>
      <c r="R13" s="362"/>
      <c r="S13" s="364">
        <f t="shared" si="3"/>
        <v>0</v>
      </c>
      <c r="T13" s="365">
        <v>39</v>
      </c>
    </row>
    <row r="14" spans="1:20" s="208" customFormat="1" ht="29.25" customHeight="1" x14ac:dyDescent="0.3">
      <c r="A14" s="358" t="s">
        <v>1206</v>
      </c>
      <c r="B14" s="366">
        <v>80500</v>
      </c>
      <c r="C14" s="366">
        <v>39050</v>
      </c>
      <c r="D14" s="360">
        <f t="shared" si="0"/>
        <v>119550</v>
      </c>
      <c r="E14" s="366"/>
      <c r="F14" s="366"/>
      <c r="G14" s="367">
        <f t="shared" si="1"/>
        <v>0</v>
      </c>
      <c r="H14" s="366"/>
      <c r="I14" s="366"/>
      <c r="J14" s="367"/>
      <c r="K14" s="366"/>
      <c r="L14" s="366"/>
      <c r="M14" s="367">
        <f t="shared" si="4"/>
        <v>0</v>
      </c>
      <c r="N14" s="366"/>
      <c r="O14" s="366"/>
      <c r="P14" s="368">
        <f t="shared" si="2"/>
        <v>0</v>
      </c>
      <c r="Q14" s="369"/>
      <c r="R14" s="370"/>
      <c r="S14" s="364">
        <f t="shared" si="3"/>
        <v>0</v>
      </c>
      <c r="T14" s="371">
        <v>36</v>
      </c>
    </row>
    <row r="15" spans="1:20" s="62" customFormat="1" ht="31.5" customHeight="1" x14ac:dyDescent="0.3">
      <c r="A15" s="358" t="s">
        <v>1262</v>
      </c>
      <c r="B15" s="366">
        <v>28700</v>
      </c>
      <c r="C15" s="366">
        <v>40500</v>
      </c>
      <c r="D15" s="360">
        <f t="shared" si="0"/>
        <v>69200</v>
      </c>
      <c r="E15" s="372"/>
      <c r="F15" s="372"/>
      <c r="G15" s="360">
        <f t="shared" si="1"/>
        <v>0</v>
      </c>
      <c r="H15" s="372"/>
      <c r="I15" s="372"/>
      <c r="J15" s="360"/>
      <c r="K15" s="366"/>
      <c r="L15" s="366" t="s">
        <v>604</v>
      </c>
      <c r="M15" s="360"/>
      <c r="N15" s="366"/>
      <c r="O15" s="372"/>
      <c r="P15" s="361">
        <f t="shared" si="2"/>
        <v>0</v>
      </c>
      <c r="Q15" s="362"/>
      <c r="R15" s="373"/>
      <c r="S15" s="364">
        <f>Q15+R15</f>
        <v>0</v>
      </c>
      <c r="T15" s="365">
        <v>28</v>
      </c>
    </row>
    <row r="16" spans="1:20" ht="29.25" customHeight="1" x14ac:dyDescent="0.3">
      <c r="A16" s="377" t="s">
        <v>1428</v>
      </c>
      <c r="B16" s="378">
        <v>119700</v>
      </c>
      <c r="C16" s="378">
        <v>43550</v>
      </c>
      <c r="D16" s="379">
        <f t="shared" si="0"/>
        <v>163250</v>
      </c>
      <c r="E16" s="378"/>
      <c r="F16" s="380"/>
      <c r="G16" s="379">
        <f t="shared" si="1"/>
        <v>0</v>
      </c>
      <c r="H16" s="380"/>
      <c r="I16" s="380"/>
      <c r="J16" s="379"/>
      <c r="K16" s="378"/>
      <c r="L16" s="378"/>
      <c r="M16" s="379">
        <f t="shared" si="4"/>
        <v>0</v>
      </c>
      <c r="N16" s="378">
        <v>150</v>
      </c>
      <c r="O16" s="380"/>
      <c r="P16" s="381">
        <f t="shared" si="2"/>
        <v>150</v>
      </c>
      <c r="Q16" s="382"/>
      <c r="R16" s="382"/>
      <c r="S16" s="383">
        <f t="shared" ref="S16:S26" si="5">Q16+R16</f>
        <v>0</v>
      </c>
      <c r="T16" s="384">
        <v>56</v>
      </c>
    </row>
    <row r="17" spans="1:20" ht="29.25" customHeight="1" x14ac:dyDescent="0.3">
      <c r="A17" s="377" t="s">
        <v>1453</v>
      </c>
      <c r="B17" s="378">
        <v>18800</v>
      </c>
      <c r="C17" s="378">
        <v>10000</v>
      </c>
      <c r="D17" s="379">
        <f t="shared" si="0"/>
        <v>28800</v>
      </c>
      <c r="E17" s="378"/>
      <c r="F17" s="378"/>
      <c r="G17" s="385">
        <f t="shared" si="1"/>
        <v>0</v>
      </c>
      <c r="H17" s="378"/>
      <c r="I17" s="378"/>
      <c r="J17" s="385"/>
      <c r="K17" s="378"/>
      <c r="L17" s="378"/>
      <c r="M17" s="385">
        <f t="shared" si="4"/>
        <v>0</v>
      </c>
      <c r="N17" s="378"/>
      <c r="O17" s="378"/>
      <c r="P17" s="386">
        <f t="shared" si="2"/>
        <v>0</v>
      </c>
      <c r="Q17" s="382"/>
      <c r="R17" s="382"/>
      <c r="S17" s="383">
        <f t="shared" si="5"/>
        <v>0</v>
      </c>
      <c r="T17" s="384">
        <v>9</v>
      </c>
    </row>
    <row r="18" spans="1:20" ht="29.25" customHeight="1" x14ac:dyDescent="0.3">
      <c r="A18" s="377" t="s">
        <v>1499</v>
      </c>
      <c r="B18" s="378">
        <v>17100</v>
      </c>
      <c r="C18" s="378">
        <v>65600</v>
      </c>
      <c r="D18" s="379">
        <f t="shared" si="0"/>
        <v>82700</v>
      </c>
      <c r="E18" s="378"/>
      <c r="F18" s="378"/>
      <c r="G18" s="385">
        <f t="shared" si="1"/>
        <v>0</v>
      </c>
      <c r="H18" s="378"/>
      <c r="I18" s="378"/>
      <c r="J18" s="385"/>
      <c r="K18" s="378"/>
      <c r="L18" s="378"/>
      <c r="M18" s="385">
        <f t="shared" si="4"/>
        <v>0</v>
      </c>
      <c r="N18" s="378">
        <v>1200</v>
      </c>
      <c r="O18" s="378"/>
      <c r="P18" s="386">
        <f t="shared" si="2"/>
        <v>1200</v>
      </c>
      <c r="Q18" s="387"/>
      <c r="R18" s="388">
        <v>1000</v>
      </c>
      <c r="S18" s="383">
        <f t="shared" si="5"/>
        <v>1000</v>
      </c>
      <c r="T18" s="389">
        <v>15</v>
      </c>
    </row>
    <row r="19" spans="1:20" ht="29.25" customHeight="1" x14ac:dyDescent="0.3">
      <c r="A19" s="377" t="s">
        <v>1556</v>
      </c>
      <c r="B19" s="378">
        <v>43300</v>
      </c>
      <c r="C19" s="378">
        <v>1000</v>
      </c>
      <c r="D19" s="379">
        <f t="shared" si="0"/>
        <v>44300</v>
      </c>
      <c r="E19" s="390"/>
      <c r="F19" s="380"/>
      <c r="G19" s="379">
        <f t="shared" si="1"/>
        <v>0</v>
      </c>
      <c r="H19" s="380"/>
      <c r="I19" s="380"/>
      <c r="J19" s="379"/>
      <c r="K19" s="380"/>
      <c r="L19" s="380"/>
      <c r="M19" s="379">
        <f t="shared" si="4"/>
        <v>0</v>
      </c>
      <c r="N19" s="380">
        <v>4600</v>
      </c>
      <c r="O19" s="380"/>
      <c r="P19" s="386">
        <f t="shared" si="2"/>
        <v>4600</v>
      </c>
      <c r="Q19" s="382"/>
      <c r="R19" s="382"/>
      <c r="S19" s="383">
        <f t="shared" si="5"/>
        <v>0</v>
      </c>
      <c r="T19" s="384">
        <v>17</v>
      </c>
    </row>
    <row r="20" spans="1:20" ht="29.25" customHeight="1" x14ac:dyDescent="0.3">
      <c r="A20" s="400" t="s">
        <v>1650</v>
      </c>
      <c r="B20" s="401">
        <v>52450</v>
      </c>
      <c r="C20" s="401">
        <v>57500</v>
      </c>
      <c r="D20" s="402">
        <f t="shared" si="0"/>
        <v>109950</v>
      </c>
      <c r="E20" s="401"/>
      <c r="F20" s="403"/>
      <c r="G20" s="402">
        <f t="shared" si="1"/>
        <v>0</v>
      </c>
      <c r="H20" s="403"/>
      <c r="I20" s="403"/>
      <c r="J20" s="402"/>
      <c r="K20" s="401">
        <v>9050</v>
      </c>
      <c r="L20" s="403"/>
      <c r="M20" s="402">
        <f t="shared" si="4"/>
        <v>9050</v>
      </c>
      <c r="N20" s="401">
        <v>200</v>
      </c>
      <c r="O20" s="401">
        <v>30000</v>
      </c>
      <c r="P20" s="404">
        <f t="shared" si="2"/>
        <v>30200</v>
      </c>
      <c r="Q20" s="405"/>
      <c r="R20" s="405"/>
      <c r="S20" s="406">
        <f t="shared" si="5"/>
        <v>0</v>
      </c>
      <c r="T20" s="407">
        <v>33</v>
      </c>
    </row>
    <row r="21" spans="1:20" ht="29.25" customHeight="1" x14ac:dyDescent="0.3">
      <c r="A21" s="400" t="s">
        <v>1690</v>
      </c>
      <c r="B21" s="401">
        <v>10600</v>
      </c>
      <c r="C21" s="403"/>
      <c r="D21" s="402">
        <f t="shared" si="0"/>
        <v>10600</v>
      </c>
      <c r="E21" s="401">
        <v>15</v>
      </c>
      <c r="F21" s="403"/>
      <c r="G21" s="402">
        <f t="shared" si="1"/>
        <v>15</v>
      </c>
      <c r="H21" s="403"/>
      <c r="I21" s="403"/>
      <c r="J21" s="402"/>
      <c r="K21" s="401">
        <v>10400</v>
      </c>
      <c r="L21" s="403">
        <v>50</v>
      </c>
      <c r="M21" s="402">
        <f t="shared" si="4"/>
        <v>10450</v>
      </c>
      <c r="N21" s="401">
        <v>1300</v>
      </c>
      <c r="O21" s="403"/>
      <c r="P21" s="404">
        <f t="shared" si="2"/>
        <v>1300</v>
      </c>
      <c r="Q21" s="405"/>
      <c r="R21" s="405"/>
      <c r="S21" s="406">
        <f t="shared" si="5"/>
        <v>0</v>
      </c>
      <c r="T21" s="407">
        <v>15</v>
      </c>
    </row>
    <row r="22" spans="1:20" ht="28.5" customHeight="1" x14ac:dyDescent="0.3">
      <c r="A22" s="408" t="s">
        <v>1716</v>
      </c>
      <c r="B22" s="401">
        <v>19000</v>
      </c>
      <c r="C22" s="401"/>
      <c r="D22" s="402">
        <f t="shared" si="0"/>
        <v>19000</v>
      </c>
      <c r="E22" s="401"/>
      <c r="F22" s="403"/>
      <c r="G22" s="402">
        <f t="shared" si="1"/>
        <v>0</v>
      </c>
      <c r="H22" s="403"/>
      <c r="I22" s="403"/>
      <c r="J22" s="402"/>
      <c r="K22" s="403">
        <v>3700</v>
      </c>
      <c r="L22" s="403"/>
      <c r="M22" s="402">
        <f t="shared" si="4"/>
        <v>3700</v>
      </c>
      <c r="N22" s="403"/>
      <c r="O22" s="403"/>
      <c r="P22" s="404">
        <f t="shared" si="2"/>
        <v>0</v>
      </c>
      <c r="Q22" s="405"/>
      <c r="R22" s="405"/>
      <c r="S22" s="406">
        <f t="shared" si="5"/>
        <v>0</v>
      </c>
      <c r="T22" s="407">
        <v>13</v>
      </c>
    </row>
    <row r="23" spans="1:20" ht="28.5" customHeight="1" x14ac:dyDescent="0.3">
      <c r="A23" s="414" t="s">
        <v>1856</v>
      </c>
      <c r="B23" s="415">
        <v>139400</v>
      </c>
      <c r="C23" s="415">
        <v>5000</v>
      </c>
      <c r="D23" s="416">
        <f t="shared" si="0"/>
        <v>144400</v>
      </c>
      <c r="E23" s="415"/>
      <c r="F23" s="415"/>
      <c r="G23" s="417">
        <f t="shared" si="1"/>
        <v>0</v>
      </c>
      <c r="H23" s="418"/>
      <c r="I23" s="418"/>
      <c r="J23" s="416"/>
      <c r="K23" s="418">
        <v>5800</v>
      </c>
      <c r="L23" s="418">
        <v>100</v>
      </c>
      <c r="M23" s="416">
        <f t="shared" si="4"/>
        <v>5900</v>
      </c>
      <c r="N23" s="418"/>
      <c r="O23" s="418"/>
      <c r="P23" s="419">
        <f t="shared" si="2"/>
        <v>0</v>
      </c>
      <c r="Q23" s="420"/>
      <c r="R23" s="420"/>
      <c r="S23" s="421">
        <f t="shared" si="5"/>
        <v>0</v>
      </c>
      <c r="T23" s="422">
        <v>58</v>
      </c>
    </row>
    <row r="24" spans="1:20" ht="25.5" customHeight="1" x14ac:dyDescent="0.3">
      <c r="A24" s="423" t="s">
        <v>1910</v>
      </c>
      <c r="B24" s="415">
        <v>17300</v>
      </c>
      <c r="C24" s="415">
        <v>9900</v>
      </c>
      <c r="D24" s="416">
        <f t="shared" si="0"/>
        <v>27200</v>
      </c>
      <c r="E24" s="415">
        <v>230</v>
      </c>
      <c r="F24" s="418"/>
      <c r="G24" s="416">
        <f>E24+F24</f>
        <v>230</v>
      </c>
      <c r="H24" s="418"/>
      <c r="I24" s="418"/>
      <c r="J24" s="416"/>
      <c r="K24" s="418">
        <v>7000</v>
      </c>
      <c r="L24" s="418"/>
      <c r="M24" s="416">
        <f t="shared" si="4"/>
        <v>7000</v>
      </c>
      <c r="N24" s="418"/>
      <c r="O24" s="418"/>
      <c r="P24" s="419">
        <f t="shared" si="2"/>
        <v>0</v>
      </c>
      <c r="Q24" s="420"/>
      <c r="R24" s="420">
        <v>4540</v>
      </c>
      <c r="S24" s="421">
        <f t="shared" si="5"/>
        <v>4540</v>
      </c>
      <c r="T24" s="422">
        <v>27</v>
      </c>
    </row>
    <row r="25" spans="1:20" ht="25.5" customHeight="1" x14ac:dyDescent="0.3">
      <c r="A25" s="423" t="s">
        <v>1956</v>
      </c>
      <c r="B25" s="415">
        <v>6450</v>
      </c>
      <c r="C25" s="415"/>
      <c r="D25" s="416">
        <f t="shared" si="0"/>
        <v>6450</v>
      </c>
      <c r="E25" s="415"/>
      <c r="F25" s="415"/>
      <c r="G25" s="417">
        <f>E25+F25</f>
        <v>0</v>
      </c>
      <c r="H25" s="415"/>
      <c r="I25" s="415"/>
      <c r="J25" s="417"/>
      <c r="K25" s="415">
        <v>10150</v>
      </c>
      <c r="L25" s="415"/>
      <c r="M25" s="416">
        <f t="shared" si="4"/>
        <v>10150</v>
      </c>
      <c r="N25" s="415"/>
      <c r="O25" s="415"/>
      <c r="P25" s="419">
        <f t="shared" si="2"/>
        <v>0</v>
      </c>
      <c r="Q25" s="424"/>
      <c r="R25" s="424"/>
      <c r="S25" s="421">
        <f t="shared" si="5"/>
        <v>0</v>
      </c>
      <c r="T25" s="425">
        <v>17</v>
      </c>
    </row>
    <row r="26" spans="1:20" ht="25.5" customHeight="1" x14ac:dyDescent="0.3">
      <c r="A26" s="445" t="s">
        <v>2103</v>
      </c>
      <c r="B26" s="432">
        <v>60600</v>
      </c>
      <c r="C26" s="432">
        <v>70500</v>
      </c>
      <c r="D26" s="444">
        <f t="shared" si="0"/>
        <v>131100</v>
      </c>
      <c r="E26" s="432"/>
      <c r="F26" s="432"/>
      <c r="G26" s="433">
        <f>E26+F26</f>
        <v>0</v>
      </c>
      <c r="H26" s="432"/>
      <c r="I26" s="432"/>
      <c r="J26" s="433"/>
      <c r="K26" s="432">
        <v>5600</v>
      </c>
      <c r="L26" s="432"/>
      <c r="M26" s="433">
        <f t="shared" si="4"/>
        <v>5600</v>
      </c>
      <c r="N26" s="432"/>
      <c r="O26" s="432"/>
      <c r="P26" s="434">
        <f t="shared" si="2"/>
        <v>0</v>
      </c>
      <c r="Q26" s="435">
        <v>40</v>
      </c>
      <c r="R26" s="436"/>
      <c r="S26" s="437">
        <f t="shared" si="5"/>
        <v>40</v>
      </c>
      <c r="T26" s="438">
        <v>58</v>
      </c>
    </row>
    <row r="27" spans="1:20" ht="25.5" customHeight="1" x14ac:dyDescent="0.3">
      <c r="A27" s="445" t="s">
        <v>2205</v>
      </c>
      <c r="B27" s="432">
        <v>109600</v>
      </c>
      <c r="C27" s="432">
        <v>2900</v>
      </c>
      <c r="D27" s="444">
        <f t="shared" si="0"/>
        <v>112500</v>
      </c>
      <c r="E27" s="439"/>
      <c r="F27" s="439"/>
      <c r="G27" s="433">
        <f t="shared" ref="G27:G68" si="6">E27+F27</f>
        <v>0</v>
      </c>
      <c r="H27" s="439"/>
      <c r="I27" s="439"/>
      <c r="J27" s="444"/>
      <c r="K27" s="439"/>
      <c r="L27" s="439"/>
      <c r="M27" s="433">
        <f t="shared" si="4"/>
        <v>0</v>
      </c>
      <c r="N27" s="439"/>
      <c r="O27" s="439"/>
      <c r="P27" s="434">
        <f t="shared" si="2"/>
        <v>0</v>
      </c>
      <c r="Q27" s="440"/>
      <c r="R27" s="440"/>
      <c r="S27" s="441"/>
      <c r="T27" s="442">
        <v>48</v>
      </c>
    </row>
    <row r="28" spans="1:20" ht="25.5" customHeight="1" x14ac:dyDescent="0.3">
      <c r="A28" s="445" t="s">
        <v>2258</v>
      </c>
      <c r="B28" s="432">
        <v>53250</v>
      </c>
      <c r="C28" s="432">
        <v>500</v>
      </c>
      <c r="D28" s="444">
        <f t="shared" si="0"/>
        <v>53750</v>
      </c>
      <c r="E28" s="432"/>
      <c r="F28" s="439"/>
      <c r="G28" s="433">
        <f t="shared" si="6"/>
        <v>0</v>
      </c>
      <c r="H28" s="439"/>
      <c r="I28" s="439"/>
      <c r="J28" s="444"/>
      <c r="K28" s="439"/>
      <c r="L28" s="439"/>
      <c r="M28" s="433">
        <f t="shared" si="4"/>
        <v>0</v>
      </c>
      <c r="N28" s="439"/>
      <c r="O28" s="439"/>
      <c r="P28" s="434">
        <f t="shared" si="2"/>
        <v>0</v>
      </c>
      <c r="Q28" s="440"/>
      <c r="R28" s="440"/>
      <c r="S28" s="441"/>
      <c r="T28" s="443">
        <v>21</v>
      </c>
    </row>
    <row r="29" spans="1:20" ht="25.5" customHeight="1" x14ac:dyDescent="0.3">
      <c r="A29" s="445" t="s">
        <v>2303</v>
      </c>
      <c r="B29" s="432">
        <v>41600</v>
      </c>
      <c r="C29" s="432">
        <v>9100</v>
      </c>
      <c r="D29" s="444">
        <f t="shared" si="0"/>
        <v>50700</v>
      </c>
      <c r="E29" s="439"/>
      <c r="F29" s="439"/>
      <c r="G29" s="433">
        <f t="shared" si="6"/>
        <v>0</v>
      </c>
      <c r="H29" s="439"/>
      <c r="I29" s="439"/>
      <c r="J29" s="444"/>
      <c r="K29" s="432">
        <v>8700</v>
      </c>
      <c r="L29" s="432">
        <v>1000</v>
      </c>
      <c r="M29" s="433">
        <f t="shared" si="4"/>
        <v>9700</v>
      </c>
      <c r="N29" s="439"/>
      <c r="O29" s="439"/>
      <c r="P29" s="434">
        <f t="shared" si="2"/>
        <v>0</v>
      </c>
      <c r="Q29" s="440"/>
      <c r="R29" s="440"/>
      <c r="S29" s="441"/>
      <c r="T29" s="442">
        <v>21</v>
      </c>
    </row>
    <row r="30" spans="1:20" ht="25.5" customHeight="1" x14ac:dyDescent="0.3">
      <c r="A30" s="318" t="s">
        <v>2481</v>
      </c>
      <c r="B30" s="459">
        <v>208250</v>
      </c>
      <c r="C30" s="459">
        <v>48385</v>
      </c>
      <c r="D30" s="313">
        <f t="shared" si="0"/>
        <v>256635</v>
      </c>
      <c r="E30" s="460"/>
      <c r="F30" s="460"/>
      <c r="G30" s="461">
        <f t="shared" si="6"/>
        <v>0</v>
      </c>
      <c r="H30" s="460"/>
      <c r="I30" s="460"/>
      <c r="J30" s="313"/>
      <c r="K30" s="459">
        <v>18750</v>
      </c>
      <c r="L30" s="459">
        <v>2000</v>
      </c>
      <c r="M30" s="461">
        <f t="shared" si="4"/>
        <v>20750</v>
      </c>
      <c r="N30" s="460"/>
      <c r="O30" s="460"/>
      <c r="P30" s="462">
        <f t="shared" si="2"/>
        <v>0</v>
      </c>
      <c r="Q30" s="315"/>
      <c r="R30" s="315"/>
      <c r="S30" s="316"/>
      <c r="T30" s="317">
        <v>82</v>
      </c>
    </row>
    <row r="31" spans="1:20" ht="25.5" customHeight="1" x14ac:dyDescent="0.3">
      <c r="A31" s="318" t="s">
        <v>2615</v>
      </c>
      <c r="B31" s="459">
        <v>103550</v>
      </c>
      <c r="C31" s="459">
        <v>15450</v>
      </c>
      <c r="D31" s="313">
        <f t="shared" si="0"/>
        <v>119000</v>
      </c>
      <c r="E31" s="460"/>
      <c r="F31" s="460"/>
      <c r="G31" s="461">
        <f t="shared" si="6"/>
        <v>0</v>
      </c>
      <c r="H31" s="460"/>
      <c r="I31" s="460"/>
      <c r="J31" s="313"/>
      <c r="K31" s="459">
        <v>37200</v>
      </c>
      <c r="L31" s="459">
        <v>6000</v>
      </c>
      <c r="M31" s="461">
        <f t="shared" si="4"/>
        <v>43200</v>
      </c>
      <c r="N31" s="460"/>
      <c r="O31" s="460"/>
      <c r="P31" s="462">
        <f t="shared" si="2"/>
        <v>0</v>
      </c>
      <c r="Q31" s="315"/>
      <c r="R31" s="315">
        <v>280</v>
      </c>
      <c r="S31" s="316">
        <f>Q31+R31</f>
        <v>280</v>
      </c>
      <c r="T31" s="317">
        <v>62</v>
      </c>
    </row>
    <row r="32" spans="1:20" ht="25.5" customHeight="1" x14ac:dyDescent="0.3">
      <c r="A32" s="318" t="s">
        <v>2675</v>
      </c>
      <c r="B32" s="459">
        <v>29250</v>
      </c>
      <c r="C32" s="459">
        <v>37500</v>
      </c>
      <c r="D32" s="313">
        <f t="shared" si="0"/>
        <v>66750</v>
      </c>
      <c r="E32" s="460"/>
      <c r="F32" s="460"/>
      <c r="G32" s="461">
        <f t="shared" si="6"/>
        <v>0</v>
      </c>
      <c r="H32" s="460"/>
      <c r="I32" s="460"/>
      <c r="J32" s="313"/>
      <c r="K32" s="459">
        <v>9350</v>
      </c>
      <c r="L32" s="460"/>
      <c r="M32" s="461">
        <f t="shared" si="4"/>
        <v>9350</v>
      </c>
      <c r="N32" s="460"/>
      <c r="O32" s="460"/>
      <c r="P32" s="462">
        <f t="shared" si="2"/>
        <v>0</v>
      </c>
      <c r="Q32" s="315"/>
      <c r="R32" s="315"/>
      <c r="S32" s="316"/>
      <c r="T32" s="317">
        <v>28</v>
      </c>
    </row>
    <row r="33" spans="1:20" ht="25.5" customHeight="1" x14ac:dyDescent="0.3">
      <c r="A33" s="318" t="s">
        <v>2798</v>
      </c>
      <c r="B33" s="459">
        <v>58800</v>
      </c>
      <c r="C33" s="459">
        <v>27000</v>
      </c>
      <c r="D33" s="313">
        <f t="shared" si="0"/>
        <v>85800</v>
      </c>
      <c r="E33" s="459">
        <v>100</v>
      </c>
      <c r="F33" s="460"/>
      <c r="G33" s="461">
        <f t="shared" si="6"/>
        <v>100</v>
      </c>
      <c r="H33" s="460"/>
      <c r="I33" s="460"/>
      <c r="J33" s="313"/>
      <c r="K33" s="459">
        <v>11900</v>
      </c>
      <c r="L33" s="460"/>
      <c r="M33" s="461">
        <f t="shared" si="4"/>
        <v>11900</v>
      </c>
      <c r="N33" s="459">
        <v>7400</v>
      </c>
      <c r="O33" s="460"/>
      <c r="P33" s="462">
        <f t="shared" si="2"/>
        <v>7400</v>
      </c>
      <c r="Q33" s="315"/>
      <c r="R33" s="315">
        <v>400</v>
      </c>
      <c r="S33" s="316">
        <f>Q33+R33</f>
        <v>400</v>
      </c>
      <c r="T33" s="317">
        <v>63</v>
      </c>
    </row>
    <row r="34" spans="1:20" ht="25.5" customHeight="1" x14ac:dyDescent="0.3">
      <c r="A34" s="470" t="s">
        <v>2912</v>
      </c>
      <c r="B34" s="471">
        <v>71350</v>
      </c>
      <c r="C34" s="471">
        <v>46200</v>
      </c>
      <c r="D34" s="472">
        <f t="shared" si="0"/>
        <v>117550</v>
      </c>
      <c r="E34" s="471">
        <v>99</v>
      </c>
      <c r="F34" s="473"/>
      <c r="G34" s="474">
        <f t="shared" si="6"/>
        <v>99</v>
      </c>
      <c r="H34" s="473"/>
      <c r="I34" s="473"/>
      <c r="J34" s="472"/>
      <c r="K34" s="471">
        <v>2600</v>
      </c>
      <c r="L34" s="471">
        <v>200</v>
      </c>
      <c r="M34" s="474">
        <f t="shared" si="4"/>
        <v>2800</v>
      </c>
      <c r="N34" s="471">
        <v>19800</v>
      </c>
      <c r="O34" s="473"/>
      <c r="P34" s="475">
        <f t="shared" si="2"/>
        <v>19800</v>
      </c>
      <c r="Q34" s="476"/>
      <c r="R34" s="476"/>
      <c r="S34" s="477"/>
      <c r="T34" s="478">
        <v>63</v>
      </c>
    </row>
    <row r="35" spans="1:20" ht="25.5" customHeight="1" x14ac:dyDescent="0.3">
      <c r="A35" s="470" t="s">
        <v>3038</v>
      </c>
      <c r="B35" s="471">
        <v>125900</v>
      </c>
      <c r="C35" s="471">
        <v>48050</v>
      </c>
      <c r="D35" s="472">
        <f t="shared" si="0"/>
        <v>173950</v>
      </c>
      <c r="E35" s="471">
        <v>186</v>
      </c>
      <c r="F35" s="473"/>
      <c r="G35" s="474">
        <f t="shared" si="6"/>
        <v>186</v>
      </c>
      <c r="H35" s="473"/>
      <c r="I35" s="473"/>
      <c r="J35" s="472"/>
      <c r="K35" s="471">
        <v>1250</v>
      </c>
      <c r="L35" s="471">
        <v>5000</v>
      </c>
      <c r="M35" s="474">
        <f t="shared" si="4"/>
        <v>6250</v>
      </c>
      <c r="N35" s="473">
        <v>500</v>
      </c>
      <c r="O35" s="473"/>
      <c r="P35" s="475">
        <f t="shared" si="2"/>
        <v>500</v>
      </c>
      <c r="Q35" s="476"/>
      <c r="R35" s="479">
        <v>10000</v>
      </c>
      <c r="S35" s="477">
        <f>R35+Q35</f>
        <v>10000</v>
      </c>
      <c r="T35" s="478">
        <v>55</v>
      </c>
    </row>
    <row r="36" spans="1:20" ht="25.5" customHeight="1" x14ac:dyDescent="0.3">
      <c r="A36" s="470" t="s">
        <v>3084</v>
      </c>
      <c r="B36" s="471">
        <v>65450</v>
      </c>
      <c r="C36" s="471">
        <v>2000</v>
      </c>
      <c r="D36" s="472">
        <f t="shared" si="0"/>
        <v>67450</v>
      </c>
      <c r="E36" s="471">
        <v>80</v>
      </c>
      <c r="F36" s="473"/>
      <c r="G36" s="474">
        <f t="shared" si="6"/>
        <v>80</v>
      </c>
      <c r="H36" s="473"/>
      <c r="I36" s="473"/>
      <c r="J36" s="472"/>
      <c r="K36" s="471">
        <v>50</v>
      </c>
      <c r="L36" s="471"/>
      <c r="M36" s="474">
        <f t="shared" si="4"/>
        <v>50</v>
      </c>
      <c r="N36" s="471">
        <v>1600</v>
      </c>
      <c r="O36" s="473"/>
      <c r="P36" s="475">
        <f t="shared" si="2"/>
        <v>1600</v>
      </c>
      <c r="Q36" s="476"/>
      <c r="R36" s="476"/>
      <c r="S36" s="477"/>
      <c r="T36" s="478">
        <v>24</v>
      </c>
    </row>
    <row r="37" spans="1:20" ht="25.5" customHeight="1" x14ac:dyDescent="0.3">
      <c r="A37" s="488" t="s">
        <v>3251</v>
      </c>
      <c r="B37" s="489">
        <v>89100</v>
      </c>
      <c r="C37" s="489">
        <v>66920</v>
      </c>
      <c r="D37" s="490">
        <f t="shared" si="0"/>
        <v>156020</v>
      </c>
      <c r="E37" s="489">
        <v>440</v>
      </c>
      <c r="F37" s="491"/>
      <c r="G37" s="492">
        <f t="shared" si="6"/>
        <v>440</v>
      </c>
      <c r="H37" s="491"/>
      <c r="I37" s="491"/>
      <c r="J37" s="490"/>
      <c r="K37" s="489">
        <v>2250</v>
      </c>
      <c r="L37" s="489"/>
      <c r="M37" s="492">
        <f t="shared" si="4"/>
        <v>2250</v>
      </c>
      <c r="N37" s="489">
        <v>8700</v>
      </c>
      <c r="O37" s="491"/>
      <c r="P37" s="493">
        <f t="shared" si="2"/>
        <v>8700</v>
      </c>
      <c r="Q37" s="494"/>
      <c r="R37" s="494"/>
      <c r="S37" s="495"/>
      <c r="T37" s="496">
        <v>80</v>
      </c>
    </row>
    <row r="38" spans="1:20" ht="25.5" customHeight="1" x14ac:dyDescent="0.3">
      <c r="A38" s="488" t="s">
        <v>3302</v>
      </c>
      <c r="B38" s="489">
        <v>12700</v>
      </c>
      <c r="C38" s="489">
        <v>9450</v>
      </c>
      <c r="D38" s="490">
        <f t="shared" si="0"/>
        <v>22150</v>
      </c>
      <c r="E38" s="489">
        <v>120</v>
      </c>
      <c r="F38" s="491"/>
      <c r="G38" s="492">
        <f t="shared" si="6"/>
        <v>120</v>
      </c>
      <c r="H38" s="491"/>
      <c r="I38" s="491"/>
      <c r="J38" s="490"/>
      <c r="K38" s="491"/>
      <c r="L38" s="491"/>
      <c r="M38" s="492">
        <f t="shared" si="4"/>
        <v>0</v>
      </c>
      <c r="N38" s="489">
        <v>2900</v>
      </c>
      <c r="O38" s="491"/>
      <c r="P38" s="493">
        <f t="shared" si="2"/>
        <v>2900</v>
      </c>
      <c r="Q38" s="494"/>
      <c r="R38" s="494"/>
      <c r="S38" s="495"/>
      <c r="T38" s="496">
        <v>17</v>
      </c>
    </row>
    <row r="39" spans="1:20" ht="25.5" customHeight="1" x14ac:dyDescent="0.3">
      <c r="A39" s="488" t="s">
        <v>3371</v>
      </c>
      <c r="B39" s="489">
        <v>27300</v>
      </c>
      <c r="C39" s="489">
        <v>45400</v>
      </c>
      <c r="D39" s="490">
        <f t="shared" si="0"/>
        <v>72700</v>
      </c>
      <c r="E39" s="489">
        <v>150</v>
      </c>
      <c r="F39" s="491"/>
      <c r="G39" s="492">
        <f t="shared" si="6"/>
        <v>150</v>
      </c>
      <c r="H39" s="491"/>
      <c r="I39" s="491"/>
      <c r="J39" s="490"/>
      <c r="K39" s="489"/>
      <c r="L39" s="489"/>
      <c r="M39" s="492">
        <f t="shared" si="4"/>
        <v>0</v>
      </c>
      <c r="N39" s="491"/>
      <c r="O39" s="491">
        <v>60000</v>
      </c>
      <c r="P39" s="493">
        <f t="shared" si="2"/>
        <v>60000</v>
      </c>
      <c r="Q39" s="494"/>
      <c r="R39" s="494">
        <v>280</v>
      </c>
      <c r="S39" s="495">
        <f>Q39+R39</f>
        <v>280</v>
      </c>
      <c r="T39" s="496">
        <v>40</v>
      </c>
    </row>
    <row r="40" spans="1:20" ht="25.5" customHeight="1" x14ac:dyDescent="0.3">
      <c r="A40" s="505" t="s">
        <v>3475</v>
      </c>
      <c r="B40" s="506">
        <v>105100</v>
      </c>
      <c r="C40" s="506">
        <v>56500</v>
      </c>
      <c r="D40" s="507">
        <f t="shared" si="0"/>
        <v>161600</v>
      </c>
      <c r="E40" s="506">
        <v>139</v>
      </c>
      <c r="F40" s="508"/>
      <c r="G40" s="509">
        <f t="shared" si="6"/>
        <v>139</v>
      </c>
      <c r="H40" s="508"/>
      <c r="I40" s="508"/>
      <c r="J40" s="507"/>
      <c r="K40" s="508"/>
      <c r="L40" s="508"/>
      <c r="M40" s="509">
        <f t="shared" si="4"/>
        <v>0</v>
      </c>
      <c r="N40" s="506">
        <v>4650</v>
      </c>
      <c r="O40" s="506">
        <v>330</v>
      </c>
      <c r="P40" s="510">
        <f>N40+O40</f>
        <v>4980</v>
      </c>
      <c r="Q40" s="511"/>
      <c r="R40" s="511">
        <v>474</v>
      </c>
      <c r="S40" s="512">
        <f t="shared" ref="S40:S69" si="7">Q40+R40</f>
        <v>474</v>
      </c>
      <c r="T40" s="513">
        <v>52</v>
      </c>
    </row>
    <row r="41" spans="1:20" ht="25.5" customHeight="1" x14ac:dyDescent="0.3">
      <c r="A41" s="505" t="s">
        <v>3496</v>
      </c>
      <c r="B41" s="506">
        <v>25600</v>
      </c>
      <c r="C41" s="506">
        <v>59740</v>
      </c>
      <c r="D41" s="507">
        <f t="shared" si="0"/>
        <v>85340</v>
      </c>
      <c r="E41" s="508"/>
      <c r="F41" s="508"/>
      <c r="G41" s="509">
        <f t="shared" si="6"/>
        <v>0</v>
      </c>
      <c r="H41" s="508"/>
      <c r="I41" s="508"/>
      <c r="J41" s="507"/>
      <c r="K41" s="508"/>
      <c r="L41" s="508"/>
      <c r="M41" s="509">
        <f t="shared" si="4"/>
        <v>0</v>
      </c>
      <c r="N41" s="508"/>
      <c r="O41" s="508"/>
      <c r="P41" s="510">
        <f>N41+O41</f>
        <v>0</v>
      </c>
      <c r="Q41" s="511"/>
      <c r="R41" s="511"/>
      <c r="S41" s="512">
        <f t="shared" si="7"/>
        <v>0</v>
      </c>
      <c r="T41" s="513">
        <v>14</v>
      </c>
    </row>
    <row r="42" spans="1:20" ht="25.5" customHeight="1" x14ac:dyDescent="0.3">
      <c r="A42" s="505" t="s">
        <v>3632</v>
      </c>
      <c r="B42" s="506">
        <v>137300</v>
      </c>
      <c r="C42" s="506">
        <v>60500</v>
      </c>
      <c r="D42" s="507">
        <f t="shared" si="0"/>
        <v>197800</v>
      </c>
      <c r="E42" s="508">
        <v>150</v>
      </c>
      <c r="F42" s="508"/>
      <c r="G42" s="509">
        <f t="shared" si="6"/>
        <v>150</v>
      </c>
      <c r="H42" s="508"/>
      <c r="I42" s="508"/>
      <c r="J42" s="507"/>
      <c r="K42" s="508"/>
      <c r="L42" s="508"/>
      <c r="M42" s="509">
        <f t="shared" si="4"/>
        <v>0</v>
      </c>
      <c r="N42" s="508">
        <v>500</v>
      </c>
      <c r="O42" s="508"/>
      <c r="P42" s="510">
        <f>N42+O42</f>
        <v>500</v>
      </c>
      <c r="Q42" s="511"/>
      <c r="R42" s="511">
        <v>200</v>
      </c>
      <c r="S42" s="512">
        <f t="shared" si="7"/>
        <v>200</v>
      </c>
      <c r="T42" s="513">
        <v>71</v>
      </c>
    </row>
    <row r="43" spans="1:20" ht="25.5" customHeight="1" x14ac:dyDescent="0.3">
      <c r="A43" s="505" t="s">
        <v>3677</v>
      </c>
      <c r="B43" s="506">
        <v>28400</v>
      </c>
      <c r="C43" s="506">
        <v>25500</v>
      </c>
      <c r="D43" s="507">
        <f t="shared" si="0"/>
        <v>53900</v>
      </c>
      <c r="E43" s="506">
        <v>40</v>
      </c>
      <c r="F43" s="508"/>
      <c r="G43" s="509">
        <f t="shared" si="6"/>
        <v>40</v>
      </c>
      <c r="H43" s="508"/>
      <c r="I43" s="508"/>
      <c r="J43" s="507"/>
      <c r="K43" s="508"/>
      <c r="L43" s="508"/>
      <c r="M43" s="509">
        <f t="shared" si="4"/>
        <v>0</v>
      </c>
      <c r="N43" s="508"/>
      <c r="O43" s="508"/>
      <c r="P43" s="510">
        <f t="shared" ref="P43:P68" si="8">N43+O43</f>
        <v>0</v>
      </c>
      <c r="Q43" s="511"/>
      <c r="R43" s="511"/>
      <c r="S43" s="512">
        <f t="shared" si="7"/>
        <v>0</v>
      </c>
      <c r="T43" s="513">
        <v>22</v>
      </c>
    </row>
    <row r="44" spans="1:20" ht="25.5" customHeight="1" x14ac:dyDescent="0.3">
      <c r="A44" s="256" t="s">
        <v>3772</v>
      </c>
      <c r="B44" s="257">
        <v>96770</v>
      </c>
      <c r="C44" s="257">
        <v>37144</v>
      </c>
      <c r="D44" s="253">
        <f t="shared" si="0"/>
        <v>133914</v>
      </c>
      <c r="E44" s="259">
        <v>37</v>
      </c>
      <c r="F44" s="259"/>
      <c r="G44" s="247">
        <f t="shared" si="6"/>
        <v>37</v>
      </c>
      <c r="H44" s="259"/>
      <c r="I44" s="259"/>
      <c r="J44" s="253"/>
      <c r="K44" s="259"/>
      <c r="L44" s="259"/>
      <c r="M44" s="247">
        <f t="shared" si="4"/>
        <v>0</v>
      </c>
      <c r="N44" s="259"/>
      <c r="O44" s="259"/>
      <c r="P44" s="249">
        <f t="shared" si="8"/>
        <v>0</v>
      </c>
      <c r="Q44" s="260"/>
      <c r="R44" s="260"/>
      <c r="S44" s="278">
        <f t="shared" si="7"/>
        <v>0</v>
      </c>
      <c r="T44" s="254">
        <v>58</v>
      </c>
    </row>
    <row r="45" spans="1:20" ht="25.5" customHeight="1" x14ac:dyDescent="0.3">
      <c r="A45" s="256" t="s">
        <v>3804</v>
      </c>
      <c r="B45" s="257">
        <v>17200</v>
      </c>
      <c r="C45" s="257">
        <v>25200</v>
      </c>
      <c r="D45" s="253">
        <f t="shared" si="0"/>
        <v>42400</v>
      </c>
      <c r="E45" s="259">
        <v>30</v>
      </c>
      <c r="F45" s="259"/>
      <c r="G45" s="247">
        <f t="shared" si="6"/>
        <v>30</v>
      </c>
      <c r="H45" s="259"/>
      <c r="I45" s="259"/>
      <c r="J45" s="253"/>
      <c r="K45" s="257"/>
      <c r="L45" s="259"/>
      <c r="M45" s="247">
        <f t="shared" si="4"/>
        <v>0</v>
      </c>
      <c r="N45" s="259"/>
      <c r="O45" s="259"/>
      <c r="P45" s="249">
        <f t="shared" si="8"/>
        <v>0</v>
      </c>
      <c r="Q45" s="260"/>
      <c r="R45" s="260"/>
      <c r="S45" s="278">
        <f t="shared" si="7"/>
        <v>0</v>
      </c>
      <c r="T45" s="254">
        <v>14</v>
      </c>
    </row>
    <row r="46" spans="1:20" ht="25.5" customHeight="1" x14ac:dyDescent="0.3">
      <c r="A46" s="256" t="s">
        <v>3857</v>
      </c>
      <c r="B46" s="257">
        <v>74800</v>
      </c>
      <c r="C46" s="257">
        <v>29000</v>
      </c>
      <c r="D46" s="253">
        <f t="shared" si="0"/>
        <v>103800</v>
      </c>
      <c r="E46" s="259">
        <v>70</v>
      </c>
      <c r="F46" s="259"/>
      <c r="G46" s="247">
        <f t="shared" si="6"/>
        <v>70</v>
      </c>
      <c r="H46" s="259"/>
      <c r="I46" s="259"/>
      <c r="J46" s="253"/>
      <c r="K46" s="257"/>
      <c r="L46" s="259"/>
      <c r="M46" s="247">
        <f t="shared" si="4"/>
        <v>0</v>
      </c>
      <c r="N46" s="259"/>
      <c r="O46" s="259"/>
      <c r="P46" s="249">
        <f t="shared" si="8"/>
        <v>0</v>
      </c>
      <c r="Q46" s="260"/>
      <c r="R46" s="260"/>
      <c r="S46" s="278">
        <f t="shared" si="7"/>
        <v>0</v>
      </c>
      <c r="T46" s="254">
        <v>47</v>
      </c>
    </row>
    <row r="47" spans="1:20" ht="25.5" customHeight="1" x14ac:dyDescent="0.3">
      <c r="A47" s="256"/>
      <c r="B47" s="257"/>
      <c r="C47" s="259"/>
      <c r="D47" s="253">
        <f t="shared" si="0"/>
        <v>0</v>
      </c>
      <c r="E47" s="259"/>
      <c r="F47" s="259"/>
      <c r="G47" s="247">
        <f t="shared" si="6"/>
        <v>0</v>
      </c>
      <c r="H47" s="259"/>
      <c r="I47" s="259"/>
      <c r="J47" s="253"/>
      <c r="K47" s="257"/>
      <c r="L47" s="259"/>
      <c r="M47" s="247">
        <f t="shared" si="4"/>
        <v>0</v>
      </c>
      <c r="N47" s="259"/>
      <c r="O47" s="259"/>
      <c r="P47" s="249">
        <f t="shared" si="8"/>
        <v>0</v>
      </c>
      <c r="Q47" s="260"/>
      <c r="R47" s="260"/>
      <c r="S47" s="278">
        <f t="shared" si="7"/>
        <v>0</v>
      </c>
      <c r="T47" s="254"/>
    </row>
    <row r="48" spans="1:20" ht="25.5" customHeight="1" x14ac:dyDescent="0.3">
      <c r="A48" s="256"/>
      <c r="B48" s="257"/>
      <c r="C48" s="257"/>
      <c r="D48" s="253">
        <f t="shared" si="0"/>
        <v>0</v>
      </c>
      <c r="E48" s="259"/>
      <c r="F48" s="259"/>
      <c r="G48" s="247">
        <f t="shared" si="6"/>
        <v>0</v>
      </c>
      <c r="H48" s="259"/>
      <c r="I48" s="259"/>
      <c r="J48" s="253"/>
      <c r="K48" s="257"/>
      <c r="L48" s="257"/>
      <c r="M48" s="247">
        <f t="shared" si="4"/>
        <v>0</v>
      </c>
      <c r="N48" s="259"/>
      <c r="O48" s="259"/>
      <c r="P48" s="249">
        <f t="shared" si="8"/>
        <v>0</v>
      </c>
      <c r="Q48" s="260"/>
      <c r="R48" s="260"/>
      <c r="S48" s="278">
        <f t="shared" si="7"/>
        <v>0</v>
      </c>
      <c r="T48" s="254"/>
    </row>
    <row r="49" spans="1:20" ht="25.5" customHeight="1" x14ac:dyDescent="0.3">
      <c r="A49" s="256"/>
      <c r="B49" s="257"/>
      <c r="C49" s="257"/>
      <c r="D49" s="253">
        <f t="shared" si="0"/>
        <v>0</v>
      </c>
      <c r="E49" s="259"/>
      <c r="F49" s="259"/>
      <c r="G49" s="247">
        <f t="shared" si="6"/>
        <v>0</v>
      </c>
      <c r="H49" s="259"/>
      <c r="I49" s="259"/>
      <c r="J49" s="253"/>
      <c r="K49" s="257"/>
      <c r="L49" s="259"/>
      <c r="M49" s="247">
        <f t="shared" si="4"/>
        <v>0</v>
      </c>
      <c r="N49" s="259"/>
      <c r="O49" s="259"/>
      <c r="P49" s="249">
        <f t="shared" si="8"/>
        <v>0</v>
      </c>
      <c r="Q49" s="260"/>
      <c r="R49" s="260"/>
      <c r="S49" s="278">
        <f t="shared" si="7"/>
        <v>0</v>
      </c>
      <c r="T49" s="254"/>
    </row>
    <row r="50" spans="1:20" ht="25.5" customHeight="1" x14ac:dyDescent="0.3">
      <c r="A50" s="256"/>
      <c r="B50" s="257"/>
      <c r="C50" s="257"/>
      <c r="D50" s="253">
        <f t="shared" si="0"/>
        <v>0</v>
      </c>
      <c r="E50" s="259"/>
      <c r="F50" s="259"/>
      <c r="G50" s="247">
        <f t="shared" si="6"/>
        <v>0</v>
      </c>
      <c r="H50" s="259"/>
      <c r="I50" s="259"/>
      <c r="J50" s="253"/>
      <c r="K50" s="257"/>
      <c r="L50" s="257"/>
      <c r="M50" s="247">
        <f t="shared" si="4"/>
        <v>0</v>
      </c>
      <c r="N50" s="259"/>
      <c r="O50" s="259"/>
      <c r="P50" s="249">
        <f t="shared" si="8"/>
        <v>0</v>
      </c>
      <c r="Q50" s="260"/>
      <c r="R50" s="260"/>
      <c r="S50" s="278">
        <f t="shared" si="7"/>
        <v>0</v>
      </c>
      <c r="T50" s="254"/>
    </row>
    <row r="51" spans="1:20" ht="25.5" customHeight="1" x14ac:dyDescent="0.3">
      <c r="A51" s="256"/>
      <c r="B51" s="257"/>
      <c r="C51" s="259"/>
      <c r="D51" s="253">
        <f t="shared" si="0"/>
        <v>0</v>
      </c>
      <c r="E51" s="259"/>
      <c r="F51" s="259"/>
      <c r="G51" s="247">
        <f t="shared" si="6"/>
        <v>0</v>
      </c>
      <c r="H51" s="259"/>
      <c r="I51" s="259"/>
      <c r="J51" s="253"/>
      <c r="K51" s="257"/>
      <c r="L51" s="259"/>
      <c r="M51" s="247">
        <f t="shared" si="4"/>
        <v>0</v>
      </c>
      <c r="N51" s="259"/>
      <c r="O51" s="257"/>
      <c r="P51" s="249">
        <f t="shared" si="8"/>
        <v>0</v>
      </c>
      <c r="Q51" s="260"/>
      <c r="R51" s="260"/>
      <c r="S51" s="278">
        <f t="shared" si="7"/>
        <v>0</v>
      </c>
      <c r="T51" s="254"/>
    </row>
    <row r="52" spans="1:20" ht="25.5" customHeight="1" x14ac:dyDescent="0.3">
      <c r="A52" s="256"/>
      <c r="B52" s="257"/>
      <c r="C52" s="257"/>
      <c r="D52" s="253">
        <f t="shared" si="0"/>
        <v>0</v>
      </c>
      <c r="E52" s="257"/>
      <c r="F52" s="259"/>
      <c r="G52" s="247">
        <f t="shared" si="6"/>
        <v>0</v>
      </c>
      <c r="H52" s="259"/>
      <c r="I52" s="259"/>
      <c r="J52" s="253"/>
      <c r="K52" s="257"/>
      <c r="L52" s="257"/>
      <c r="M52" s="247">
        <f t="shared" si="4"/>
        <v>0</v>
      </c>
      <c r="N52" s="259"/>
      <c r="O52" s="257"/>
      <c r="P52" s="249">
        <f t="shared" si="8"/>
        <v>0</v>
      </c>
      <c r="Q52" s="260"/>
      <c r="R52" s="260"/>
      <c r="S52" s="278">
        <f t="shared" si="7"/>
        <v>0</v>
      </c>
      <c r="T52" s="254"/>
    </row>
    <row r="53" spans="1:20" ht="25.5" customHeight="1" x14ac:dyDescent="0.3">
      <c r="A53" s="256"/>
      <c r="B53" s="257"/>
      <c r="C53" s="257"/>
      <c r="D53" s="253">
        <f t="shared" si="0"/>
        <v>0</v>
      </c>
      <c r="E53" s="257"/>
      <c r="F53" s="259"/>
      <c r="G53" s="247">
        <f t="shared" si="6"/>
        <v>0</v>
      </c>
      <c r="H53" s="259"/>
      <c r="I53" s="259"/>
      <c r="J53" s="253"/>
      <c r="K53" s="257"/>
      <c r="L53" s="257"/>
      <c r="M53" s="247">
        <f t="shared" si="4"/>
        <v>0</v>
      </c>
      <c r="N53" s="257"/>
      <c r="O53" s="259"/>
      <c r="P53" s="249">
        <f t="shared" si="8"/>
        <v>0</v>
      </c>
      <c r="Q53" s="260"/>
      <c r="R53" s="260"/>
      <c r="S53" s="278">
        <f t="shared" si="7"/>
        <v>0</v>
      </c>
      <c r="T53" s="254"/>
    </row>
    <row r="54" spans="1:20" ht="25.5" customHeight="1" x14ac:dyDescent="0.3">
      <c r="A54" s="255"/>
      <c r="B54" s="257"/>
      <c r="C54" s="257"/>
      <c r="D54" s="253">
        <f t="shared" si="0"/>
        <v>0</v>
      </c>
      <c r="E54" s="257"/>
      <c r="F54" s="257"/>
      <c r="G54" s="247">
        <f t="shared" si="6"/>
        <v>0</v>
      </c>
      <c r="H54" s="257"/>
      <c r="I54" s="257"/>
      <c r="J54" s="247"/>
      <c r="K54" s="257"/>
      <c r="L54" s="257"/>
      <c r="M54" s="247">
        <f t="shared" si="4"/>
        <v>0</v>
      </c>
      <c r="N54" s="257"/>
      <c r="O54" s="257"/>
      <c r="P54" s="249">
        <f t="shared" si="8"/>
        <v>0</v>
      </c>
      <c r="Q54" s="279"/>
      <c r="R54" s="279"/>
      <c r="S54" s="280">
        <f t="shared" si="7"/>
        <v>0</v>
      </c>
      <c r="T54" s="254"/>
    </row>
    <row r="55" spans="1:20" ht="25.5" customHeight="1" x14ac:dyDescent="0.3">
      <c r="A55" s="256"/>
      <c r="B55" s="257"/>
      <c r="C55" s="257"/>
      <c r="D55" s="253">
        <f t="shared" si="0"/>
        <v>0</v>
      </c>
      <c r="E55" s="257"/>
      <c r="F55" s="257"/>
      <c r="G55" s="247">
        <f t="shared" si="6"/>
        <v>0</v>
      </c>
      <c r="H55" s="257"/>
      <c r="I55" s="257"/>
      <c r="J55" s="247"/>
      <c r="K55" s="257"/>
      <c r="L55" s="257"/>
      <c r="M55" s="247">
        <f t="shared" si="4"/>
        <v>0</v>
      </c>
      <c r="N55" s="257"/>
      <c r="O55" s="257"/>
      <c r="P55" s="249">
        <f t="shared" si="8"/>
        <v>0</v>
      </c>
      <c r="Q55" s="279"/>
      <c r="R55" s="279"/>
      <c r="S55" s="280">
        <f t="shared" si="7"/>
        <v>0</v>
      </c>
      <c r="T55" s="258"/>
    </row>
    <row r="56" spans="1:20" ht="25.5" customHeight="1" x14ac:dyDescent="0.3">
      <c r="A56" s="256"/>
      <c r="B56" s="257"/>
      <c r="C56" s="257"/>
      <c r="D56" s="253">
        <f t="shared" si="0"/>
        <v>0</v>
      </c>
      <c r="E56" s="259"/>
      <c r="F56" s="259"/>
      <c r="G56" s="247">
        <f t="shared" si="6"/>
        <v>0</v>
      </c>
      <c r="H56" s="259"/>
      <c r="I56" s="259"/>
      <c r="J56" s="253"/>
      <c r="K56" s="257"/>
      <c r="L56" s="259"/>
      <c r="M56" s="247">
        <f t="shared" si="4"/>
        <v>0</v>
      </c>
      <c r="N56" s="259"/>
      <c r="O56" s="259"/>
      <c r="P56" s="249">
        <f t="shared" si="8"/>
        <v>0</v>
      </c>
      <c r="Q56" s="260"/>
      <c r="R56" s="260"/>
      <c r="S56" s="280">
        <f t="shared" si="7"/>
        <v>0</v>
      </c>
      <c r="T56" s="254"/>
    </row>
    <row r="57" spans="1:20" ht="25.5" customHeight="1" x14ac:dyDescent="0.3">
      <c r="A57" s="256"/>
      <c r="B57" s="257"/>
      <c r="C57" s="257"/>
      <c r="D57" s="253">
        <f t="shared" si="0"/>
        <v>0</v>
      </c>
      <c r="E57" s="259"/>
      <c r="F57" s="259"/>
      <c r="G57" s="247">
        <f t="shared" si="6"/>
        <v>0</v>
      </c>
      <c r="H57" s="259"/>
      <c r="I57" s="259"/>
      <c r="J57" s="253"/>
      <c r="K57" s="259"/>
      <c r="L57" s="259"/>
      <c r="M57" s="247">
        <f t="shared" si="4"/>
        <v>0</v>
      </c>
      <c r="N57" s="257"/>
      <c r="O57" s="259"/>
      <c r="P57" s="249">
        <f t="shared" si="8"/>
        <v>0</v>
      </c>
      <c r="Q57" s="260"/>
      <c r="R57" s="260"/>
      <c r="S57" s="280">
        <f t="shared" si="7"/>
        <v>0</v>
      </c>
      <c r="T57" s="254"/>
    </row>
    <row r="58" spans="1:20" ht="25.5" customHeight="1" x14ac:dyDescent="0.3">
      <c r="A58" s="256"/>
      <c r="B58" s="259"/>
      <c r="C58" s="257"/>
      <c r="D58" s="253">
        <f t="shared" si="0"/>
        <v>0</v>
      </c>
      <c r="E58" s="259"/>
      <c r="F58" s="259"/>
      <c r="G58" s="247">
        <f t="shared" si="6"/>
        <v>0</v>
      </c>
      <c r="H58" s="259"/>
      <c r="I58" s="259"/>
      <c r="J58" s="253"/>
      <c r="K58" s="259"/>
      <c r="L58" s="259"/>
      <c r="M58" s="247">
        <f t="shared" si="4"/>
        <v>0</v>
      </c>
      <c r="N58" s="259"/>
      <c r="O58" s="259"/>
      <c r="P58" s="249">
        <f t="shared" si="8"/>
        <v>0</v>
      </c>
      <c r="Q58" s="260"/>
      <c r="R58" s="260"/>
      <c r="S58" s="280">
        <f t="shared" si="7"/>
        <v>0</v>
      </c>
      <c r="T58" s="254"/>
    </row>
    <row r="59" spans="1:20" ht="25.5" customHeight="1" x14ac:dyDescent="0.3">
      <c r="A59" s="256"/>
      <c r="B59" s="257"/>
      <c r="C59" s="257"/>
      <c r="D59" s="253">
        <f t="shared" si="0"/>
        <v>0</v>
      </c>
      <c r="E59" s="257"/>
      <c r="F59" s="259"/>
      <c r="G59" s="247">
        <f t="shared" si="6"/>
        <v>0</v>
      </c>
      <c r="H59" s="259"/>
      <c r="I59" s="259"/>
      <c r="J59" s="253"/>
      <c r="K59" s="257"/>
      <c r="L59" s="259"/>
      <c r="M59" s="247">
        <f t="shared" si="4"/>
        <v>0</v>
      </c>
      <c r="N59" s="259"/>
      <c r="O59" s="259"/>
      <c r="P59" s="249">
        <f t="shared" si="8"/>
        <v>0</v>
      </c>
      <c r="Q59" s="260"/>
      <c r="R59" s="260"/>
      <c r="S59" s="280">
        <f t="shared" si="7"/>
        <v>0</v>
      </c>
      <c r="T59" s="254"/>
    </row>
    <row r="60" spans="1:20" ht="25.5" customHeight="1" x14ac:dyDescent="0.3">
      <c r="A60" s="256"/>
      <c r="B60" s="257"/>
      <c r="C60" s="257"/>
      <c r="D60" s="253">
        <f t="shared" si="0"/>
        <v>0</v>
      </c>
      <c r="E60" s="259"/>
      <c r="F60" s="259"/>
      <c r="G60" s="247">
        <f t="shared" si="6"/>
        <v>0</v>
      </c>
      <c r="H60" s="259"/>
      <c r="I60" s="259"/>
      <c r="J60" s="253"/>
      <c r="K60" s="257"/>
      <c r="L60" s="259"/>
      <c r="M60" s="247">
        <f t="shared" si="4"/>
        <v>0</v>
      </c>
      <c r="N60" s="259"/>
      <c r="O60" s="259"/>
      <c r="P60" s="249">
        <f t="shared" si="8"/>
        <v>0</v>
      </c>
      <c r="Q60" s="260"/>
      <c r="R60" s="260"/>
      <c r="S60" s="280">
        <f t="shared" si="7"/>
        <v>0</v>
      </c>
      <c r="T60" s="254"/>
    </row>
    <row r="61" spans="1:20" ht="25.5" customHeight="1" x14ac:dyDescent="0.3">
      <c r="A61" s="256"/>
      <c r="B61" s="257"/>
      <c r="C61" s="257"/>
      <c r="D61" s="253">
        <f t="shared" si="0"/>
        <v>0</v>
      </c>
      <c r="E61" s="259"/>
      <c r="F61" s="259"/>
      <c r="G61" s="247">
        <f t="shared" si="6"/>
        <v>0</v>
      </c>
      <c r="H61" s="259"/>
      <c r="I61" s="259"/>
      <c r="J61" s="253"/>
      <c r="K61" s="257"/>
      <c r="L61" s="259"/>
      <c r="M61" s="247">
        <f t="shared" si="4"/>
        <v>0</v>
      </c>
      <c r="N61" s="259"/>
      <c r="O61" s="259"/>
      <c r="P61" s="249">
        <f t="shared" si="8"/>
        <v>0</v>
      </c>
      <c r="Q61" s="260"/>
      <c r="R61" s="260"/>
      <c r="S61" s="280">
        <f t="shared" si="7"/>
        <v>0</v>
      </c>
      <c r="T61" s="254"/>
    </row>
    <row r="62" spans="1:20" ht="25.5" customHeight="1" x14ac:dyDescent="0.3">
      <c r="A62" s="256"/>
      <c r="B62" s="257"/>
      <c r="C62" s="257"/>
      <c r="D62" s="253">
        <f t="shared" si="0"/>
        <v>0</v>
      </c>
      <c r="E62" s="259"/>
      <c r="F62" s="259"/>
      <c r="G62" s="247">
        <f t="shared" si="6"/>
        <v>0</v>
      </c>
      <c r="H62" s="259"/>
      <c r="I62" s="259"/>
      <c r="J62" s="253"/>
      <c r="K62" s="259"/>
      <c r="L62" s="259"/>
      <c r="M62" s="247">
        <f t="shared" si="4"/>
        <v>0</v>
      </c>
      <c r="N62" s="259"/>
      <c r="O62" s="259"/>
      <c r="P62" s="249">
        <f t="shared" si="8"/>
        <v>0</v>
      </c>
      <c r="Q62" s="260"/>
      <c r="R62" s="260"/>
      <c r="S62" s="280">
        <f t="shared" si="7"/>
        <v>0</v>
      </c>
      <c r="T62" s="254"/>
    </row>
    <row r="63" spans="1:20" ht="25.5" customHeight="1" x14ac:dyDescent="0.3">
      <c r="A63" s="256"/>
      <c r="B63" s="257"/>
      <c r="C63" s="257"/>
      <c r="D63" s="253">
        <f t="shared" si="0"/>
        <v>0</v>
      </c>
      <c r="E63" s="257"/>
      <c r="F63" s="259"/>
      <c r="G63" s="247">
        <f t="shared" si="6"/>
        <v>0</v>
      </c>
      <c r="H63" s="259"/>
      <c r="I63" s="259"/>
      <c r="J63" s="253"/>
      <c r="K63" s="259"/>
      <c r="L63" s="259"/>
      <c r="M63" s="247">
        <f t="shared" si="4"/>
        <v>0</v>
      </c>
      <c r="N63" s="259"/>
      <c r="O63" s="259"/>
      <c r="P63" s="249">
        <f t="shared" si="8"/>
        <v>0</v>
      </c>
      <c r="Q63" s="260"/>
      <c r="R63" s="260"/>
      <c r="S63" s="280">
        <f t="shared" si="7"/>
        <v>0</v>
      </c>
      <c r="T63" s="254"/>
    </row>
    <row r="64" spans="1:20" ht="25.5" customHeight="1" x14ac:dyDescent="0.3">
      <c r="A64" s="256"/>
      <c r="B64" s="257"/>
      <c r="C64" s="257"/>
      <c r="D64" s="253">
        <f t="shared" si="0"/>
        <v>0</v>
      </c>
      <c r="E64" s="259"/>
      <c r="F64" s="257"/>
      <c r="G64" s="247">
        <f t="shared" si="6"/>
        <v>0</v>
      </c>
      <c r="H64" s="259"/>
      <c r="I64" s="259"/>
      <c r="J64" s="253"/>
      <c r="K64" s="257"/>
      <c r="L64" s="259"/>
      <c r="M64" s="247">
        <f t="shared" si="4"/>
        <v>0</v>
      </c>
      <c r="N64" s="259"/>
      <c r="O64" s="259"/>
      <c r="P64" s="249">
        <f t="shared" si="8"/>
        <v>0</v>
      </c>
      <c r="Q64" s="260"/>
      <c r="R64" s="260"/>
      <c r="S64" s="280">
        <f t="shared" si="7"/>
        <v>0</v>
      </c>
      <c r="T64" s="254"/>
    </row>
    <row r="65" spans="1:20" ht="25.5" customHeight="1" x14ac:dyDescent="0.3">
      <c r="A65" s="248"/>
      <c r="B65" s="250"/>
      <c r="C65" s="250"/>
      <c r="D65" s="253">
        <f t="shared" si="0"/>
        <v>0</v>
      </c>
      <c r="E65" s="136"/>
      <c r="F65" s="250"/>
      <c r="G65" s="247">
        <f t="shared" si="6"/>
        <v>0</v>
      </c>
      <c r="H65" s="136"/>
      <c r="I65" s="136"/>
      <c r="J65" s="134"/>
      <c r="K65" s="250"/>
      <c r="L65" s="136"/>
      <c r="M65" s="247">
        <f t="shared" si="4"/>
        <v>0</v>
      </c>
      <c r="N65" s="136"/>
      <c r="O65" s="136"/>
      <c r="P65" s="249">
        <f t="shared" si="8"/>
        <v>0</v>
      </c>
      <c r="Q65" s="281"/>
      <c r="R65" s="281"/>
      <c r="S65" s="280">
        <f t="shared" si="7"/>
        <v>0</v>
      </c>
      <c r="T65" s="243"/>
    </row>
    <row r="66" spans="1:20" ht="25.5" customHeight="1" x14ac:dyDescent="0.3">
      <c r="A66" s="248"/>
      <c r="B66" s="250"/>
      <c r="C66" s="250"/>
      <c r="D66" s="253">
        <f t="shared" si="0"/>
        <v>0</v>
      </c>
      <c r="E66" s="136"/>
      <c r="F66" s="250"/>
      <c r="G66" s="247">
        <f t="shared" si="6"/>
        <v>0</v>
      </c>
      <c r="H66" s="136"/>
      <c r="I66" s="136"/>
      <c r="J66" s="134"/>
      <c r="K66" s="250"/>
      <c r="L66" s="136"/>
      <c r="M66" s="247">
        <f t="shared" si="4"/>
        <v>0</v>
      </c>
      <c r="N66" s="136"/>
      <c r="O66" s="136"/>
      <c r="P66" s="249">
        <f t="shared" si="8"/>
        <v>0</v>
      </c>
      <c r="Q66" s="281"/>
      <c r="R66" s="281"/>
      <c r="S66" s="280">
        <f t="shared" si="7"/>
        <v>0</v>
      </c>
      <c r="T66" s="243"/>
    </row>
    <row r="67" spans="1:20" ht="25.5" customHeight="1" x14ac:dyDescent="0.3">
      <c r="A67" s="248"/>
      <c r="B67" s="250"/>
      <c r="C67" s="250"/>
      <c r="D67" s="253">
        <f t="shared" si="0"/>
        <v>0</v>
      </c>
      <c r="E67" s="136"/>
      <c r="F67" s="250"/>
      <c r="G67" s="247">
        <f t="shared" si="6"/>
        <v>0</v>
      </c>
      <c r="H67" s="136"/>
      <c r="I67" s="136"/>
      <c r="J67" s="134"/>
      <c r="K67" s="250"/>
      <c r="L67" s="136"/>
      <c r="M67" s="247">
        <f t="shared" si="4"/>
        <v>0</v>
      </c>
      <c r="N67" s="136"/>
      <c r="O67" s="136"/>
      <c r="P67" s="249">
        <f t="shared" si="8"/>
        <v>0</v>
      </c>
      <c r="Q67" s="281"/>
      <c r="R67" s="281"/>
      <c r="S67" s="280">
        <f t="shared" si="7"/>
        <v>0</v>
      </c>
      <c r="T67" s="243"/>
    </row>
    <row r="68" spans="1:20" ht="25.5" customHeight="1" x14ac:dyDescent="0.3">
      <c r="A68" s="248"/>
      <c r="B68" s="250"/>
      <c r="C68" s="250"/>
      <c r="D68" s="253">
        <f t="shared" ref="D68:D69" si="9">B68+C68</f>
        <v>0</v>
      </c>
      <c r="E68" s="136"/>
      <c r="F68" s="136"/>
      <c r="G68" s="247">
        <f t="shared" si="6"/>
        <v>0</v>
      </c>
      <c r="H68" s="136"/>
      <c r="I68" s="136"/>
      <c r="J68" s="134"/>
      <c r="K68" s="136"/>
      <c r="L68" s="136"/>
      <c r="M68" s="247">
        <f t="shared" si="4"/>
        <v>0</v>
      </c>
      <c r="N68" s="136"/>
      <c r="O68" s="136"/>
      <c r="P68" s="249">
        <f t="shared" si="8"/>
        <v>0</v>
      </c>
      <c r="Q68" s="281"/>
      <c r="R68" s="281"/>
      <c r="S68" s="278">
        <f t="shared" si="7"/>
        <v>0</v>
      </c>
      <c r="T68" s="243"/>
    </row>
    <row r="69" spans="1:20" ht="22.5" customHeight="1" x14ac:dyDescent="0.3">
      <c r="A69" s="137"/>
      <c r="B69" s="138"/>
      <c r="C69" s="138"/>
      <c r="D69" s="253">
        <f t="shared" si="9"/>
        <v>0</v>
      </c>
      <c r="E69" s="133"/>
      <c r="F69" s="133"/>
      <c r="G69" s="134">
        <f t="shared" ref="G69" si="10">SUM(E69:F69)</f>
        <v>0</v>
      </c>
      <c r="H69" s="133"/>
      <c r="I69" s="133"/>
      <c r="J69" s="134">
        <f t="shared" ref="J69" si="11">SUM(H69:I69)</f>
        <v>0</v>
      </c>
      <c r="K69" s="133"/>
      <c r="L69" s="133"/>
      <c r="M69" s="134">
        <f t="shared" ref="M69" si="12">SUM(K69:L69)</f>
        <v>0</v>
      </c>
      <c r="N69" s="133"/>
      <c r="O69" s="139"/>
      <c r="P69" s="135">
        <f t="shared" ref="P69" si="13">SUM(N69:O69)</f>
        <v>0</v>
      </c>
      <c r="Q69" s="282"/>
      <c r="R69" s="282"/>
      <c r="S69" s="278">
        <f t="shared" si="7"/>
        <v>0</v>
      </c>
      <c r="T69" s="243"/>
    </row>
    <row r="70" spans="1:20" ht="29.25" customHeight="1" x14ac:dyDescent="0.4">
      <c r="A70" s="185" t="s">
        <v>96</v>
      </c>
      <c r="B70" s="186">
        <f>SUM(B5:B69)</f>
        <v>3049605</v>
      </c>
      <c r="C70" s="186">
        <f>SUM(C5:C69)</f>
        <v>1857836</v>
      </c>
      <c r="D70" s="186">
        <f>SUM(D5:D68)</f>
        <v>4907441</v>
      </c>
      <c r="E70" s="186">
        <f>SUM(E5:E69)</f>
        <v>1886</v>
      </c>
      <c r="F70" s="186">
        <f>SUM(F5:F69)</f>
        <v>0</v>
      </c>
      <c r="G70" s="186">
        <f>SUM(G5:G69)</f>
        <v>1886</v>
      </c>
      <c r="H70" s="186">
        <f>SUM(H5:H69)</f>
        <v>0</v>
      </c>
      <c r="I70" s="186">
        <f>SUM(I5:I69)</f>
        <v>0</v>
      </c>
      <c r="J70" s="186">
        <f>SUM(H70:I70)</f>
        <v>0</v>
      </c>
      <c r="K70" s="186">
        <f t="shared" ref="K70:P70" si="14">SUM(K5:K69)</f>
        <v>207500</v>
      </c>
      <c r="L70" s="186">
        <f t="shared" si="14"/>
        <v>14850</v>
      </c>
      <c r="M70" s="186">
        <f t="shared" si="14"/>
        <v>222350</v>
      </c>
      <c r="N70" s="186">
        <f t="shared" si="14"/>
        <v>53500</v>
      </c>
      <c r="O70" s="186">
        <f t="shared" si="14"/>
        <v>90330</v>
      </c>
      <c r="P70" s="186">
        <f t="shared" si="14"/>
        <v>143830</v>
      </c>
      <c r="Q70" s="187"/>
      <c r="R70" s="187"/>
      <c r="S70" s="186">
        <f>SUM(S5:S69)</f>
        <v>22274</v>
      </c>
      <c r="T70" s="245">
        <f>SUM(T5:T69)</f>
        <v>1713</v>
      </c>
    </row>
    <row r="71" spans="1:20" ht="26.25" customHeight="1" x14ac:dyDescent="0.25">
      <c r="A71" s="578">
        <f>D70*0.2</f>
        <v>981488.20000000007</v>
      </c>
      <c r="B71" s="579"/>
      <c r="C71" s="579"/>
      <c r="D71" s="580"/>
      <c r="E71" s="575">
        <f>G70*0.2</f>
        <v>377.20000000000005</v>
      </c>
      <c r="F71" s="576"/>
      <c r="G71" s="577"/>
      <c r="H71" s="575">
        <f>J70*0.2</f>
        <v>0</v>
      </c>
      <c r="I71" s="597"/>
      <c r="J71" s="598"/>
      <c r="K71" s="575">
        <f>M70*0.2</f>
        <v>44470</v>
      </c>
      <c r="L71" s="597"/>
      <c r="M71" s="598"/>
      <c r="N71" s="575">
        <f>P70*0.2</f>
        <v>28766</v>
      </c>
      <c r="O71" s="597"/>
      <c r="P71" s="598"/>
      <c r="Q71" s="572"/>
      <c r="R71" s="573"/>
      <c r="S71" s="574"/>
    </row>
    <row r="72" spans="1:20" ht="36.75" customHeight="1" x14ac:dyDescent="0.25">
      <c r="A72" s="594" t="s">
        <v>106</v>
      </c>
      <c r="B72" s="595"/>
      <c r="C72" s="596"/>
      <c r="D72" s="167">
        <f>D70+A71+120000</f>
        <v>6008929.2000000002</v>
      </c>
      <c r="E72" s="569">
        <f>G70+E71+500</f>
        <v>2763.2</v>
      </c>
      <c r="F72" s="570"/>
      <c r="G72" s="571"/>
      <c r="H72" s="569">
        <f>J70+H71</f>
        <v>0</v>
      </c>
      <c r="I72" s="570"/>
      <c r="J72" s="571"/>
      <c r="K72" s="569">
        <f>M70+K71</f>
        <v>266820</v>
      </c>
      <c r="L72" s="570"/>
      <c r="M72" s="571"/>
      <c r="N72" s="569">
        <f>P70+N71</f>
        <v>172596</v>
      </c>
      <c r="O72" s="570"/>
      <c r="P72" s="571"/>
      <c r="Q72" s="569">
        <f>S70+Q71</f>
        <v>22274</v>
      </c>
      <c r="R72" s="570"/>
      <c r="S72" s="571"/>
    </row>
    <row r="73" spans="1:20" ht="37.5" customHeight="1" x14ac:dyDescent="0.25">
      <c r="A73" s="544" t="s">
        <v>133</v>
      </c>
      <c r="B73" s="545"/>
      <c r="C73" s="546"/>
      <c r="D73" s="168">
        <f>D72/6000000*(100)</f>
        <v>100.14882</v>
      </c>
      <c r="E73" s="602">
        <f>E72/10000*(100)</f>
        <v>27.631999999999994</v>
      </c>
      <c r="F73" s="603"/>
      <c r="G73" s="604"/>
      <c r="H73" s="599">
        <f>H72/6000*(100)</f>
        <v>0</v>
      </c>
      <c r="I73" s="600"/>
      <c r="J73" s="601"/>
      <c r="K73" s="599">
        <f>K72/250000*(100)</f>
        <v>106.72799999999999</v>
      </c>
      <c r="L73" s="600"/>
      <c r="M73" s="601"/>
      <c r="N73" s="599">
        <f>N72/150000*(100)</f>
        <v>115.06400000000001</v>
      </c>
      <c r="O73" s="600"/>
      <c r="P73" s="601"/>
      <c r="Q73" s="599">
        <f>Q72/20000*(100)</f>
        <v>111.36999999999999</v>
      </c>
      <c r="R73" s="600"/>
      <c r="S73" s="601"/>
    </row>
    <row r="74" spans="1:20" ht="23.25" x14ac:dyDescent="0.25">
      <c r="B74" s="559" t="s">
        <v>95</v>
      </c>
      <c r="C74" s="560"/>
      <c r="D74" s="561"/>
      <c r="E74" s="562" t="s">
        <v>97</v>
      </c>
      <c r="F74" s="563"/>
      <c r="G74" s="564"/>
      <c r="H74" s="547" t="s">
        <v>94</v>
      </c>
      <c r="I74" s="548"/>
      <c r="J74" s="549"/>
      <c r="K74" s="550" t="s">
        <v>105</v>
      </c>
      <c r="L74" s="551"/>
      <c r="M74" s="552"/>
      <c r="N74" s="553" t="s">
        <v>132</v>
      </c>
      <c r="O74" s="554"/>
      <c r="P74" s="555"/>
      <c r="Q74" s="556" t="s">
        <v>136</v>
      </c>
      <c r="R74" s="557"/>
      <c r="S74" s="558"/>
    </row>
    <row r="75" spans="1:20" ht="23.25" x14ac:dyDescent="0.25">
      <c r="B75" s="261"/>
      <c r="C75" s="261"/>
      <c r="D75" s="261"/>
      <c r="E75" s="262"/>
      <c r="F75" s="262"/>
      <c r="G75" s="262"/>
      <c r="H75" s="263"/>
      <c r="I75" s="263"/>
      <c r="J75" s="263"/>
      <c r="K75" s="264"/>
      <c r="L75" s="264"/>
      <c r="M75" s="264"/>
      <c r="N75" s="265"/>
      <c r="O75" s="265"/>
      <c r="P75" s="265"/>
      <c r="Q75" s="266"/>
      <c r="R75" s="266"/>
      <c r="S75" s="266"/>
    </row>
    <row r="76" spans="1:20" x14ac:dyDescent="0.25">
      <c r="Q76" s="69"/>
    </row>
    <row r="77" spans="1:20" s="173" customFormat="1" ht="44.25" customHeight="1" x14ac:dyDescent="0.4">
      <c r="A77" s="182"/>
      <c r="B77" s="183"/>
      <c r="C77" s="183"/>
      <c r="D77" s="183">
        <f>SUM(D26:D46)</f>
        <v>2264809</v>
      </c>
      <c r="E77" s="182"/>
      <c r="F77" s="182"/>
      <c r="G77" s="183">
        <f>SUM(G26:G46)</f>
        <v>1641</v>
      </c>
      <c r="H77" s="183"/>
      <c r="I77" s="182"/>
      <c r="J77" s="184"/>
      <c r="K77" s="183"/>
      <c r="L77" s="183"/>
      <c r="M77" s="183">
        <f>SUM(M26:M46)</f>
        <v>111850</v>
      </c>
      <c r="N77" s="182"/>
      <c r="P77" s="175">
        <f>SUM(P26:P46)</f>
        <v>106380</v>
      </c>
      <c r="S77" s="175">
        <f>SUM(S26:S46)</f>
        <v>11674</v>
      </c>
      <c r="T77" s="173">
        <f>SUM(T26:T46)</f>
        <v>940</v>
      </c>
    </row>
    <row r="78" spans="1:20" s="173" customFormat="1" ht="34.5" customHeight="1" x14ac:dyDescent="0.4">
      <c r="B78" s="175"/>
      <c r="D78" s="179"/>
      <c r="E78" s="175"/>
      <c r="G78" s="179"/>
      <c r="H78" s="176"/>
      <c r="J78" s="179"/>
      <c r="K78" s="175"/>
      <c r="L78" s="175"/>
      <c r="M78" s="178"/>
    </row>
    <row r="79" spans="1:20" s="177" customFormat="1" ht="57.75" customHeight="1" x14ac:dyDescent="0.4">
      <c r="B79" s="178"/>
      <c r="D79" s="174"/>
      <c r="E79" s="179"/>
      <c r="G79" s="174"/>
      <c r="J79" s="174"/>
      <c r="M79" s="180"/>
    </row>
    <row r="80" spans="1:20" x14ac:dyDescent="0.25">
      <c r="B80" s="69"/>
      <c r="C80" s="69"/>
      <c r="E80" s="69"/>
      <c r="M80" s="69"/>
    </row>
    <row r="81" spans="2:15" x14ac:dyDescent="0.25">
      <c r="B81" s="91"/>
      <c r="C81" s="91"/>
      <c r="M81" s="91"/>
      <c r="O81" s="69"/>
    </row>
    <row r="82" spans="2:15" x14ac:dyDescent="0.25">
      <c r="B82" s="69"/>
      <c r="C82" s="69"/>
      <c r="M82" s="69"/>
    </row>
    <row r="83" spans="2:15" x14ac:dyDescent="0.25">
      <c r="B83" s="91"/>
    </row>
    <row r="84" spans="2:15" x14ac:dyDescent="0.25">
      <c r="I84" s="172"/>
    </row>
    <row r="85" spans="2:15" x14ac:dyDescent="0.25">
      <c r="I85" s="172"/>
    </row>
    <row r="86" spans="2:15" x14ac:dyDescent="0.25">
      <c r="I86" s="172"/>
    </row>
  </sheetData>
  <mergeCells count="32">
    <mergeCell ref="E72:G72"/>
    <mergeCell ref="Q73:S73"/>
    <mergeCell ref="E73:G73"/>
    <mergeCell ref="H73:J73"/>
    <mergeCell ref="K73:M73"/>
    <mergeCell ref="N73:P73"/>
    <mergeCell ref="H72:J72"/>
    <mergeCell ref="K72:M72"/>
    <mergeCell ref="N72:P72"/>
    <mergeCell ref="A1:S1"/>
    <mergeCell ref="A3:A4"/>
    <mergeCell ref="Q3:S3"/>
    <mergeCell ref="Q72:S72"/>
    <mergeCell ref="Q71:S71"/>
    <mergeCell ref="E71:G71"/>
    <mergeCell ref="A71:D71"/>
    <mergeCell ref="N3:P3"/>
    <mergeCell ref="B3:D3"/>
    <mergeCell ref="E3:G3"/>
    <mergeCell ref="H3:J3"/>
    <mergeCell ref="K3:M3"/>
    <mergeCell ref="A72:C72"/>
    <mergeCell ref="N71:P71"/>
    <mergeCell ref="K71:M71"/>
    <mergeCell ref="H71:J71"/>
    <mergeCell ref="A73:C73"/>
    <mergeCell ref="H74:J74"/>
    <mergeCell ref="K74:M74"/>
    <mergeCell ref="N74:P74"/>
    <mergeCell ref="Q74:S74"/>
    <mergeCell ref="B74:D74"/>
    <mergeCell ref="E74:G74"/>
  </mergeCells>
  <printOptions horizontalCentered="1" verticalCentered="1"/>
  <pageMargins left="0" right="0" top="0.75" bottom="0.75" header="0.3" footer="0.3"/>
  <pageSetup paperSize="5" scale="44" fitToHeight="0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/>
  </sheetPr>
  <dimension ref="A1:F49"/>
  <sheetViews>
    <sheetView view="pageLayout" topLeftCell="B4" zoomScale="136" zoomScaleNormal="100" zoomScalePageLayoutView="136" workbookViewId="0">
      <selection activeCell="F12" sqref="F12"/>
    </sheetView>
  </sheetViews>
  <sheetFormatPr defaultRowHeight="15" x14ac:dyDescent="0.25"/>
  <cols>
    <col min="1" max="1" width="3.140625" customWidth="1"/>
    <col min="2" max="2" width="36.85546875" customWidth="1"/>
    <col min="3" max="3" width="4" customWidth="1"/>
    <col min="4" max="4" width="35.28515625" customWidth="1"/>
    <col min="5" max="5" width="4.140625" customWidth="1"/>
    <col min="6" max="6" width="33.140625" customWidth="1"/>
  </cols>
  <sheetData>
    <row r="1" spans="1:6" ht="30.75" customHeight="1" x14ac:dyDescent="0.25"/>
    <row r="2" spans="1:6" ht="20.25" customHeight="1" x14ac:dyDescent="0.25">
      <c r="A2" s="67"/>
      <c r="B2" s="87" t="s">
        <v>120</v>
      </c>
      <c r="C2" s="68"/>
      <c r="D2" s="87" t="s">
        <v>121</v>
      </c>
      <c r="E2" s="68"/>
      <c r="F2" s="87" t="s">
        <v>122</v>
      </c>
    </row>
    <row r="3" spans="1:6" ht="15.75" x14ac:dyDescent="0.25">
      <c r="A3" s="88">
        <v>1</v>
      </c>
      <c r="B3" s="64" t="s">
        <v>85</v>
      </c>
      <c r="C3" s="88">
        <v>1</v>
      </c>
      <c r="D3" s="64" t="s">
        <v>51</v>
      </c>
      <c r="E3" s="88">
        <v>1</v>
      </c>
      <c r="F3" s="64" t="s">
        <v>63</v>
      </c>
    </row>
    <row r="4" spans="1:6" ht="15.75" x14ac:dyDescent="0.25">
      <c r="A4" s="89">
        <v>2</v>
      </c>
      <c r="B4" s="65" t="s">
        <v>79</v>
      </c>
      <c r="C4" s="89">
        <v>2</v>
      </c>
      <c r="D4" s="65" t="s">
        <v>58</v>
      </c>
      <c r="E4" s="89">
        <v>2</v>
      </c>
      <c r="F4" s="65" t="s">
        <v>39</v>
      </c>
    </row>
    <row r="5" spans="1:6" ht="15.75" x14ac:dyDescent="0.25">
      <c r="A5" s="89">
        <v>3</v>
      </c>
      <c r="B5" s="65" t="s">
        <v>82</v>
      </c>
      <c r="C5" s="89">
        <v>3</v>
      </c>
      <c r="D5" s="65" t="s">
        <v>43</v>
      </c>
      <c r="E5" s="89">
        <v>3</v>
      </c>
      <c r="F5" s="65" t="s">
        <v>46</v>
      </c>
    </row>
    <row r="6" spans="1:6" ht="15.75" x14ac:dyDescent="0.25">
      <c r="A6" s="89">
        <v>4</v>
      </c>
      <c r="B6" s="65" t="s">
        <v>55</v>
      </c>
      <c r="C6" s="89">
        <v>4</v>
      </c>
      <c r="D6" s="65" t="s">
        <v>57</v>
      </c>
      <c r="E6" s="89">
        <v>4</v>
      </c>
      <c r="F6" s="65" t="s">
        <v>44</v>
      </c>
    </row>
    <row r="7" spans="1:6" ht="15.75" x14ac:dyDescent="0.25">
      <c r="A7" s="89">
        <v>5</v>
      </c>
      <c r="B7" s="65" t="s">
        <v>48</v>
      </c>
      <c r="C7" s="89">
        <v>5</v>
      </c>
      <c r="D7" s="65" t="s">
        <v>45</v>
      </c>
      <c r="E7" s="89">
        <v>5</v>
      </c>
      <c r="F7" s="65" t="s">
        <v>68</v>
      </c>
    </row>
    <row r="8" spans="1:6" ht="15.75" x14ac:dyDescent="0.25">
      <c r="A8" s="89">
        <v>6</v>
      </c>
      <c r="B8" s="65" t="s">
        <v>49</v>
      </c>
      <c r="C8" s="89">
        <v>6</v>
      </c>
      <c r="D8" s="65" t="s">
        <v>72</v>
      </c>
      <c r="E8" s="89">
        <v>6</v>
      </c>
      <c r="F8" s="65" t="s">
        <v>42</v>
      </c>
    </row>
    <row r="9" spans="1:6" ht="15.75" x14ac:dyDescent="0.25">
      <c r="A9" s="89">
        <v>7</v>
      </c>
      <c r="B9" s="65" t="s">
        <v>70</v>
      </c>
      <c r="C9" s="89">
        <v>7</v>
      </c>
      <c r="D9" s="65" t="s">
        <v>47</v>
      </c>
      <c r="E9" s="89">
        <v>7</v>
      </c>
      <c r="F9" s="65" t="s">
        <v>88</v>
      </c>
    </row>
    <row r="10" spans="1:6" ht="15.75" x14ac:dyDescent="0.25">
      <c r="A10" s="89">
        <v>8</v>
      </c>
      <c r="B10" s="65" t="s">
        <v>73</v>
      </c>
      <c r="C10" s="89">
        <v>8</v>
      </c>
      <c r="D10" s="65" t="s">
        <v>90</v>
      </c>
      <c r="E10" s="89">
        <v>8</v>
      </c>
      <c r="F10" s="65" t="s">
        <v>84</v>
      </c>
    </row>
    <row r="11" spans="1:6" ht="15.75" x14ac:dyDescent="0.25">
      <c r="A11" s="89">
        <v>9</v>
      </c>
      <c r="B11" s="65" t="s">
        <v>71</v>
      </c>
      <c r="C11" s="89">
        <v>9</v>
      </c>
      <c r="D11" s="65" t="s">
        <v>54</v>
      </c>
      <c r="E11" s="89">
        <v>9</v>
      </c>
      <c r="F11" s="65" t="s">
        <v>81</v>
      </c>
    </row>
    <row r="12" spans="1:6" ht="15.75" x14ac:dyDescent="0.25">
      <c r="A12" s="89">
        <v>10</v>
      </c>
      <c r="B12" s="65" t="s">
        <v>67</v>
      </c>
      <c r="C12" s="89">
        <v>10</v>
      </c>
      <c r="D12" s="65" t="s">
        <v>60</v>
      </c>
      <c r="E12" s="89">
        <v>10</v>
      </c>
      <c r="F12" s="65" t="s">
        <v>75</v>
      </c>
    </row>
    <row r="13" spans="1:6" ht="15.75" x14ac:dyDescent="0.25">
      <c r="A13" s="89">
        <v>11</v>
      </c>
      <c r="B13" s="65" t="s">
        <v>74</v>
      </c>
      <c r="C13" s="89">
        <v>11</v>
      </c>
      <c r="D13" s="65" t="s">
        <v>64</v>
      </c>
      <c r="E13" s="89">
        <v>11</v>
      </c>
      <c r="F13" s="65" t="s">
        <v>76</v>
      </c>
    </row>
    <row r="14" spans="1:6" ht="15.75" x14ac:dyDescent="0.25">
      <c r="A14" s="89">
        <v>12</v>
      </c>
      <c r="B14" s="65" t="s">
        <v>83</v>
      </c>
      <c r="C14" s="89">
        <v>12</v>
      </c>
      <c r="D14" s="65" t="s">
        <v>53</v>
      </c>
      <c r="E14" s="89">
        <v>12</v>
      </c>
      <c r="F14" s="65" t="s">
        <v>77</v>
      </c>
    </row>
    <row r="15" spans="1:6" ht="15.75" x14ac:dyDescent="0.25">
      <c r="A15" s="89">
        <v>13</v>
      </c>
      <c r="B15" s="65" t="s">
        <v>65</v>
      </c>
      <c r="C15" s="89">
        <v>13</v>
      </c>
      <c r="D15" s="65" t="s">
        <v>50</v>
      </c>
      <c r="E15" s="89">
        <v>13</v>
      </c>
      <c r="F15" s="65" t="s">
        <v>78</v>
      </c>
    </row>
    <row r="16" spans="1:6" ht="15.75" x14ac:dyDescent="0.25">
      <c r="A16" s="89">
        <v>14</v>
      </c>
      <c r="B16" s="65" t="s">
        <v>62</v>
      </c>
      <c r="C16" s="89">
        <v>14</v>
      </c>
      <c r="D16" s="65" t="s">
        <v>59</v>
      </c>
      <c r="E16" s="89">
        <v>14</v>
      </c>
      <c r="F16" s="65" t="s">
        <v>52</v>
      </c>
    </row>
    <row r="17" spans="1:6" ht="15.75" x14ac:dyDescent="0.25">
      <c r="A17" s="89">
        <v>15</v>
      </c>
      <c r="B17" s="65" t="s">
        <v>56</v>
      </c>
      <c r="C17" s="89"/>
      <c r="D17" s="65"/>
      <c r="E17" s="89">
        <v>15</v>
      </c>
      <c r="F17" s="65" t="s">
        <v>86</v>
      </c>
    </row>
    <row r="18" spans="1:6" ht="15.75" x14ac:dyDescent="0.25">
      <c r="A18" s="89"/>
      <c r="B18" s="65"/>
      <c r="C18" s="89"/>
      <c r="D18" s="65"/>
      <c r="E18" s="89">
        <v>16</v>
      </c>
      <c r="F18" s="65" t="s">
        <v>69</v>
      </c>
    </row>
    <row r="19" spans="1:6" ht="15.75" x14ac:dyDescent="0.25">
      <c r="A19" s="89"/>
      <c r="B19" s="65"/>
      <c r="C19" s="89"/>
      <c r="D19" s="65"/>
      <c r="E19" s="89">
        <v>17</v>
      </c>
      <c r="F19" s="65" t="s">
        <v>80</v>
      </c>
    </row>
    <row r="20" spans="1:6" ht="15.75" x14ac:dyDescent="0.25">
      <c r="A20" s="89"/>
      <c r="B20" s="65"/>
      <c r="C20" s="89"/>
      <c r="D20" s="65"/>
      <c r="E20" s="89">
        <v>18</v>
      </c>
      <c r="F20" s="65" t="s">
        <v>61</v>
      </c>
    </row>
    <row r="21" spans="1:6" ht="15.75" x14ac:dyDescent="0.25">
      <c r="A21" s="90"/>
      <c r="B21" s="66"/>
      <c r="C21" s="90"/>
      <c r="D21" s="66"/>
      <c r="E21" s="90">
        <v>19</v>
      </c>
      <c r="F21" s="66" t="s">
        <v>66</v>
      </c>
    </row>
    <row r="34" spans="1:2" ht="18.75" x14ac:dyDescent="0.25">
      <c r="A34" s="67"/>
      <c r="B34" s="87" t="s">
        <v>120</v>
      </c>
    </row>
    <row r="35" spans="1:2" ht="15.75" x14ac:dyDescent="0.25">
      <c r="A35" s="88">
        <v>1</v>
      </c>
      <c r="B35" s="64" t="s">
        <v>85</v>
      </c>
    </row>
    <row r="36" spans="1:2" ht="15.75" x14ac:dyDescent="0.25">
      <c r="A36" s="89">
        <v>2</v>
      </c>
      <c r="B36" s="65" t="s">
        <v>79</v>
      </c>
    </row>
    <row r="37" spans="1:2" ht="15.75" x14ac:dyDescent="0.25">
      <c r="A37" s="89">
        <v>3</v>
      </c>
      <c r="B37" s="65" t="s">
        <v>82</v>
      </c>
    </row>
    <row r="38" spans="1:2" ht="15.75" x14ac:dyDescent="0.25">
      <c r="A38" s="89">
        <v>4</v>
      </c>
      <c r="B38" s="65" t="s">
        <v>55</v>
      </c>
    </row>
    <row r="39" spans="1:2" ht="15.75" x14ac:dyDescent="0.25">
      <c r="A39" s="89">
        <v>5</v>
      </c>
      <c r="B39" s="65" t="s">
        <v>48</v>
      </c>
    </row>
    <row r="40" spans="1:2" ht="15.75" x14ac:dyDescent="0.25">
      <c r="A40" s="89">
        <v>6</v>
      </c>
      <c r="B40" s="65" t="s">
        <v>49</v>
      </c>
    </row>
    <row r="41" spans="1:2" ht="15.75" x14ac:dyDescent="0.25">
      <c r="A41" s="89">
        <v>7</v>
      </c>
      <c r="B41" s="65" t="s">
        <v>70</v>
      </c>
    </row>
    <row r="42" spans="1:2" ht="15.75" x14ac:dyDescent="0.25">
      <c r="A42" s="89">
        <v>8</v>
      </c>
      <c r="B42" s="65" t="s">
        <v>73</v>
      </c>
    </row>
    <row r="43" spans="1:2" ht="15.75" x14ac:dyDescent="0.25">
      <c r="A43" s="89">
        <v>9</v>
      </c>
      <c r="B43" s="65" t="s">
        <v>71</v>
      </c>
    </row>
    <row r="44" spans="1:2" ht="15.75" x14ac:dyDescent="0.25">
      <c r="A44" s="89">
        <v>10</v>
      </c>
      <c r="B44" s="65" t="s">
        <v>67</v>
      </c>
    </row>
    <row r="45" spans="1:2" ht="15.75" x14ac:dyDescent="0.25">
      <c r="A45" s="89">
        <v>11</v>
      </c>
      <c r="B45" s="65" t="s">
        <v>74</v>
      </c>
    </row>
    <row r="46" spans="1:2" ht="15.75" x14ac:dyDescent="0.25">
      <c r="A46" s="89">
        <v>12</v>
      </c>
      <c r="B46" s="65" t="s">
        <v>83</v>
      </c>
    </row>
    <row r="47" spans="1:2" ht="15.75" x14ac:dyDescent="0.25">
      <c r="A47" s="89">
        <v>13</v>
      </c>
      <c r="B47" s="65" t="s">
        <v>65</v>
      </c>
    </row>
    <row r="48" spans="1:2" ht="15.75" x14ac:dyDescent="0.25">
      <c r="A48" s="89">
        <v>14</v>
      </c>
      <c r="B48" s="65" t="s">
        <v>62</v>
      </c>
    </row>
    <row r="49" spans="1:2" ht="15.75" x14ac:dyDescent="0.25">
      <c r="A49" s="89">
        <v>15</v>
      </c>
      <c r="B49" s="65" t="s">
        <v>56</v>
      </c>
    </row>
  </sheetData>
  <sortState ref="A2:F21">
    <sortCondition ref="F3"/>
  </sortState>
  <printOptions horizontalCentered="1"/>
  <pageMargins left="0.7" right="0.7" top="0.75" bottom="0.75" header="0.3" footer="0.3"/>
  <pageSetup orientation="landscape" r:id="rId1"/>
  <headerFooter>
    <oddHeader>&amp;C
&amp;"-,Bold"&amp;14PROVINCE OF BOHOL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BAFC4-1D9D-47FE-BA4B-B2F5EAAD3BAB}">
  <sheetPr>
    <tabColor theme="5"/>
  </sheetPr>
  <dimension ref="A1:O42"/>
  <sheetViews>
    <sheetView view="pageBreakPreview" topLeftCell="A7" zoomScale="96" zoomScaleNormal="100" zoomScaleSheetLayoutView="96" workbookViewId="0">
      <selection activeCell="G21" sqref="G21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3680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/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/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501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501" t="s">
        <v>13</v>
      </c>
      <c r="L9" s="501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20.25" customHeight="1" x14ac:dyDescent="0.25">
      <c r="A12" s="294">
        <v>3</v>
      </c>
      <c r="B12" s="333" t="s">
        <v>983</v>
      </c>
      <c r="C12" s="334"/>
      <c r="D12" s="356" t="s">
        <v>3716</v>
      </c>
      <c r="E12" s="355" t="s">
        <v>66</v>
      </c>
      <c r="F12" s="336"/>
      <c r="G12" s="351" t="s">
        <v>2701</v>
      </c>
      <c r="H12" s="333" t="s">
        <v>40</v>
      </c>
      <c r="I12" s="337">
        <v>6000</v>
      </c>
      <c r="J12" s="220" t="s">
        <v>152</v>
      </c>
      <c r="K12" s="100"/>
      <c r="L12" s="181" t="s">
        <v>41</v>
      </c>
    </row>
    <row r="13" spans="1:15" ht="31.5" customHeight="1" x14ac:dyDescent="0.25">
      <c r="A13" s="294">
        <v>4</v>
      </c>
      <c r="B13" s="355" t="s">
        <v>2428</v>
      </c>
      <c r="C13" s="334"/>
      <c r="D13" s="333"/>
      <c r="E13" s="355" t="s">
        <v>70</v>
      </c>
      <c r="F13" s="336" t="s">
        <v>1854</v>
      </c>
      <c r="G13" s="333" t="s">
        <v>1855</v>
      </c>
      <c r="H13" s="333" t="s">
        <v>40</v>
      </c>
      <c r="I13" s="337">
        <v>5000</v>
      </c>
      <c r="J13" s="220" t="s">
        <v>152</v>
      </c>
      <c r="K13" s="100"/>
      <c r="L13" s="181" t="s">
        <v>41</v>
      </c>
    </row>
    <row r="14" spans="1:15" s="62" customFormat="1" ht="23.25" customHeight="1" x14ac:dyDescent="0.25">
      <c r="A14" s="309">
        <v>6</v>
      </c>
      <c r="B14" s="355" t="s">
        <v>3742</v>
      </c>
      <c r="C14" s="334"/>
      <c r="D14" s="335"/>
      <c r="E14" s="333" t="s">
        <v>76</v>
      </c>
      <c r="F14" s="336" t="s">
        <v>3743</v>
      </c>
      <c r="G14" s="231" t="s">
        <v>3744</v>
      </c>
      <c r="H14" s="233" t="s">
        <v>40</v>
      </c>
      <c r="I14" s="457">
        <v>15000</v>
      </c>
      <c r="J14" s="220" t="s">
        <v>152</v>
      </c>
      <c r="K14" s="100"/>
      <c r="L14" s="181" t="s">
        <v>41</v>
      </c>
      <c r="M14" s="166"/>
    </row>
    <row r="15" spans="1:15" s="62" customFormat="1" ht="27" customHeight="1" x14ac:dyDescent="0.25">
      <c r="A15" s="295">
        <v>11</v>
      </c>
      <c r="B15" s="345" t="s">
        <v>3774</v>
      </c>
      <c r="C15" s="446"/>
      <c r="D15" s="447"/>
      <c r="E15" s="345" t="s">
        <v>81</v>
      </c>
      <c r="F15" s="448" t="s">
        <v>3775</v>
      </c>
      <c r="G15" s="447" t="s">
        <v>3776</v>
      </c>
      <c r="H15" s="342" t="s">
        <v>40</v>
      </c>
      <c r="I15" s="344">
        <v>20000</v>
      </c>
      <c r="J15" s="220" t="s">
        <v>152</v>
      </c>
      <c r="K15" s="100"/>
      <c r="L15" s="181" t="s">
        <v>41</v>
      </c>
      <c r="M15" s="166"/>
      <c r="O15" s="98"/>
    </row>
    <row r="16" spans="1:15" s="62" customFormat="1" ht="32.25" customHeight="1" x14ac:dyDescent="0.25">
      <c r="A16" s="275">
        <v>11</v>
      </c>
      <c r="B16" s="345" t="s">
        <v>3774</v>
      </c>
      <c r="C16" s="446"/>
      <c r="D16" s="447"/>
      <c r="E16" s="345" t="s">
        <v>81</v>
      </c>
      <c r="F16" s="448" t="s">
        <v>3775</v>
      </c>
      <c r="G16" s="447" t="s">
        <v>3776</v>
      </c>
      <c r="H16" s="345" t="s">
        <v>377</v>
      </c>
      <c r="I16" s="344">
        <v>1000</v>
      </c>
      <c r="J16" s="220" t="s">
        <v>152</v>
      </c>
      <c r="K16" s="100"/>
      <c r="L16" s="181" t="s">
        <v>41</v>
      </c>
      <c r="O16" s="98"/>
    </row>
    <row r="17" spans="1:15" s="62" customFormat="1" ht="26.25" customHeight="1" x14ac:dyDescent="0.25">
      <c r="A17" s="295">
        <v>18</v>
      </c>
      <c r="B17" s="345" t="s">
        <v>2833</v>
      </c>
      <c r="C17" s="339"/>
      <c r="D17" s="340"/>
      <c r="E17" s="447" t="s">
        <v>80</v>
      </c>
      <c r="F17" s="448"/>
      <c r="G17" s="447" t="s">
        <v>1985</v>
      </c>
      <c r="H17" s="345" t="s">
        <v>40</v>
      </c>
      <c r="I17" s="344">
        <v>22000</v>
      </c>
      <c r="J17" s="220" t="s">
        <v>152</v>
      </c>
      <c r="K17" s="100"/>
      <c r="L17" s="181" t="s">
        <v>41</v>
      </c>
      <c r="O17" s="98"/>
    </row>
    <row r="18" spans="1:15" s="62" customFormat="1" ht="23.25" customHeight="1" x14ac:dyDescent="0.25">
      <c r="A18" s="295"/>
      <c r="B18" s="345"/>
      <c r="C18" s="339"/>
      <c r="D18" s="340"/>
      <c r="E18" s="447"/>
      <c r="F18" s="448"/>
      <c r="G18" s="447"/>
      <c r="H18" s="351"/>
      <c r="I18" s="344"/>
      <c r="J18" s="220" t="s">
        <v>152</v>
      </c>
      <c r="K18" s="100"/>
      <c r="L18" s="181" t="s">
        <v>41</v>
      </c>
      <c r="O18" s="98"/>
    </row>
    <row r="19" spans="1:15" s="62" customFormat="1" ht="20.25" customHeight="1" x14ac:dyDescent="0.25">
      <c r="A19" s="295"/>
      <c r="B19" s="345"/>
      <c r="C19" s="339"/>
      <c r="D19" s="340"/>
      <c r="E19" s="345"/>
      <c r="F19" s="448"/>
      <c r="G19" s="447"/>
      <c r="H19" s="345"/>
      <c r="I19" s="344"/>
      <c r="J19" s="220" t="s">
        <v>152</v>
      </c>
      <c r="K19" s="100"/>
      <c r="L19" s="181" t="s">
        <v>41</v>
      </c>
      <c r="O19" s="98"/>
    </row>
    <row r="20" spans="1:15" s="62" customFormat="1" ht="24" customHeight="1" x14ac:dyDescent="0.25">
      <c r="A20" s="295"/>
      <c r="B20" s="338"/>
      <c r="C20" s="339"/>
      <c r="D20" s="447"/>
      <c r="E20" s="447"/>
      <c r="F20" s="448"/>
      <c r="G20" s="447"/>
      <c r="H20" s="345"/>
      <c r="I20" s="457"/>
      <c r="J20" s="220" t="s">
        <v>152</v>
      </c>
      <c r="K20" s="100"/>
      <c r="L20" s="181" t="s">
        <v>41</v>
      </c>
      <c r="O20" s="98"/>
    </row>
    <row r="21" spans="1:15" s="62" customFormat="1" ht="35.25" customHeight="1" x14ac:dyDescent="0.25">
      <c r="A21" s="295"/>
      <c r="B21" s="345"/>
      <c r="C21" s="446"/>
      <c r="D21" s="447"/>
      <c r="E21" s="447"/>
      <c r="F21" s="448"/>
      <c r="G21" s="447"/>
      <c r="H21" s="345"/>
      <c r="I21" s="457"/>
      <c r="J21" s="220" t="s">
        <v>152</v>
      </c>
      <c r="K21" s="100"/>
      <c r="L21" s="181" t="s">
        <v>41</v>
      </c>
      <c r="O21" s="98"/>
    </row>
    <row r="22" spans="1:15" s="62" customFormat="1" ht="42" customHeight="1" x14ac:dyDescent="0.25">
      <c r="A22" s="295"/>
      <c r="B22" s="338"/>
      <c r="C22" s="339"/>
      <c r="D22" s="340"/>
      <c r="E22" s="340"/>
      <c r="F22" s="448"/>
      <c r="G22" s="447"/>
      <c r="H22" s="345"/>
      <c r="I22" s="344"/>
      <c r="J22" s="220" t="s">
        <v>152</v>
      </c>
      <c r="K22" s="100"/>
      <c r="L22" s="181" t="s">
        <v>41</v>
      </c>
      <c r="O22" s="98"/>
    </row>
    <row r="23" spans="1:15" s="62" customFormat="1" ht="33" customHeight="1" x14ac:dyDescent="0.25">
      <c r="A23" s="295"/>
      <c r="B23" s="338"/>
      <c r="C23" s="339"/>
      <c r="D23" s="340"/>
      <c r="E23" s="340"/>
      <c r="F23" s="341"/>
      <c r="G23" s="447"/>
      <c r="H23" s="351"/>
      <c r="I23" s="344"/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95"/>
      <c r="B24" s="338"/>
      <c r="C24" s="339"/>
      <c r="D24" s="340"/>
      <c r="E24" s="340"/>
      <c r="F24" s="341"/>
      <c r="G24" s="340"/>
      <c r="H24" s="345"/>
      <c r="I24" s="344"/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455"/>
      <c r="B25" s="456"/>
      <c r="C25" s="233"/>
      <c r="D25" s="233"/>
      <c r="E25" s="233"/>
      <c r="F25" s="336"/>
      <c r="G25" s="342"/>
      <c r="H25" s="345"/>
      <c r="I25" s="344"/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455"/>
      <c r="B26" s="456"/>
      <c r="C26" s="233"/>
      <c r="D26" s="233"/>
      <c r="E26" s="233"/>
      <c r="F26" s="336"/>
      <c r="G26" s="342"/>
      <c r="H26" s="345"/>
      <c r="I26" s="344"/>
      <c r="J26" s="220" t="s">
        <v>152</v>
      </c>
      <c r="K26" s="100"/>
      <c r="L26" s="181" t="s">
        <v>41</v>
      </c>
      <c r="O26" s="98"/>
    </row>
    <row r="27" spans="1:15" s="62" customFormat="1" ht="16.5" customHeight="1" x14ac:dyDescent="0.25">
      <c r="A27" s="455"/>
      <c r="B27" s="456"/>
      <c r="C27" s="233"/>
      <c r="D27" s="233"/>
      <c r="E27" s="233"/>
      <c r="F27" s="336"/>
      <c r="G27" s="342"/>
      <c r="H27" s="345"/>
      <c r="I27" s="344"/>
      <c r="J27" s="220" t="s">
        <v>152</v>
      </c>
      <c r="K27" s="100"/>
      <c r="L27" s="181" t="s">
        <v>41</v>
      </c>
      <c r="O27" s="98"/>
    </row>
    <row r="28" spans="1:15" s="62" customFormat="1" ht="16.5" customHeight="1" x14ac:dyDescent="0.25">
      <c r="A28" s="455"/>
      <c r="B28" s="456"/>
      <c r="C28" s="233"/>
      <c r="D28" s="233"/>
      <c r="E28" s="233"/>
      <c r="F28" s="336"/>
      <c r="G28" s="233"/>
      <c r="H28" s="345"/>
      <c r="I28" s="344"/>
      <c r="J28" s="220" t="s">
        <v>152</v>
      </c>
      <c r="K28" s="100"/>
      <c r="L28" s="181" t="s">
        <v>41</v>
      </c>
      <c r="O28" s="98"/>
    </row>
    <row r="29" spans="1:15" s="62" customFormat="1" x14ac:dyDescent="0.25">
      <c r="A29" s="240"/>
      <c r="B29" s="100"/>
      <c r="C29" s="216"/>
      <c r="D29" s="100"/>
      <c r="E29" s="100"/>
      <c r="F29" s="241"/>
      <c r="G29" s="100"/>
      <c r="H29" s="140"/>
      <c r="I29" s="221"/>
      <c r="J29" s="216"/>
      <c r="K29" s="100"/>
      <c r="L29" s="100"/>
      <c r="O29" s="98"/>
    </row>
    <row r="30" spans="1:15" x14ac:dyDescent="0.25">
      <c r="I30" s="28"/>
      <c r="J30" s="28"/>
    </row>
    <row r="31" spans="1:15" x14ac:dyDescent="0.25">
      <c r="F31" s="30"/>
      <c r="I31" s="63" t="s">
        <v>19</v>
      </c>
      <c r="J31" s="28"/>
      <c r="K31" s="326"/>
      <c r="L31" s="30"/>
    </row>
    <row r="32" spans="1:15" x14ac:dyDescent="0.25">
      <c r="I32" s="28" t="s">
        <v>109</v>
      </c>
      <c r="J32" s="28"/>
      <c r="K32" s="357"/>
      <c r="L32" s="276"/>
    </row>
    <row r="33" spans="2:12" x14ac:dyDescent="0.25">
      <c r="B33" t="s">
        <v>20</v>
      </c>
      <c r="E33" t="s">
        <v>21</v>
      </c>
      <c r="I33" s="28" t="s">
        <v>110</v>
      </c>
      <c r="J33" s="132"/>
      <c r="K33" s="481" t="s">
        <v>3773</v>
      </c>
      <c r="L33" s="427"/>
    </row>
    <row r="34" spans="2:12" x14ac:dyDescent="0.25">
      <c r="I34" s="28" t="s">
        <v>149</v>
      </c>
      <c r="J34" s="132"/>
      <c r="K34" t="s">
        <v>138</v>
      </c>
      <c r="L34" s="287">
        <f>SUM(I12:I14)</f>
        <v>26000</v>
      </c>
    </row>
    <row r="35" spans="2:12" x14ac:dyDescent="0.25">
      <c r="I35" s="28" t="s">
        <v>601</v>
      </c>
      <c r="J35" s="132"/>
      <c r="K35" s="481" t="s">
        <v>3855</v>
      </c>
      <c r="L35" s="427"/>
    </row>
    <row r="36" spans="2:12" x14ac:dyDescent="0.25">
      <c r="I36" s="28" t="s">
        <v>111</v>
      </c>
      <c r="J36" s="132"/>
      <c r="K36" s="487" t="s">
        <v>138</v>
      </c>
      <c r="L36" s="287">
        <v>21000</v>
      </c>
    </row>
    <row r="37" spans="2:12" x14ac:dyDescent="0.25">
      <c r="B37" s="29"/>
      <c r="E37" s="251"/>
      <c r="F37" s="251"/>
      <c r="G37" s="251"/>
      <c r="H37" s="251"/>
      <c r="I37" s="28" t="s">
        <v>113</v>
      </c>
      <c r="J37" s="132"/>
      <c r="K37" s="481" t="s">
        <v>3856</v>
      </c>
      <c r="L37" s="427"/>
    </row>
    <row r="38" spans="2:12" x14ac:dyDescent="0.25">
      <c r="B38" s="267" t="s">
        <v>1577</v>
      </c>
      <c r="C38" s="267"/>
      <c r="D38" s="267"/>
      <c r="E38" s="268" t="s">
        <v>157</v>
      </c>
      <c r="F38" s="252"/>
      <c r="G38" s="252"/>
      <c r="H38" s="252"/>
      <c r="I38" s="28" t="s">
        <v>114</v>
      </c>
      <c r="J38" s="130"/>
      <c r="K38" t="s">
        <v>138</v>
      </c>
      <c r="L38" s="69">
        <v>22000</v>
      </c>
    </row>
    <row r="39" spans="2:12" x14ac:dyDescent="0.25">
      <c r="B39" t="s">
        <v>1576</v>
      </c>
      <c r="E39" t="s">
        <v>158</v>
      </c>
      <c r="I39" s="28" t="s">
        <v>22</v>
      </c>
      <c r="J39" s="131"/>
      <c r="L39" s="69"/>
    </row>
    <row r="40" spans="2:12" x14ac:dyDescent="0.25">
      <c r="I40" s="3" t="s">
        <v>115</v>
      </c>
      <c r="J40" s="132"/>
      <c r="K40" s="487"/>
      <c r="L40" s="30"/>
    </row>
    <row r="41" spans="2:12" x14ac:dyDescent="0.25">
      <c r="I41" s="3" t="s">
        <v>87</v>
      </c>
      <c r="J41" s="132"/>
      <c r="K41" s="481"/>
      <c r="L41" s="30"/>
    </row>
    <row r="42" spans="2:12" x14ac:dyDescent="0.25">
      <c r="G42" s="30">
        <f>SUM(I12:I28)</f>
        <v>69000</v>
      </c>
      <c r="L42" s="30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F4EB9-61E3-4476-9872-830E433E59FB}">
  <sheetPr>
    <tabColor theme="5"/>
  </sheetPr>
  <dimension ref="A1:U461"/>
  <sheetViews>
    <sheetView view="pageBreakPreview" topLeftCell="A42" zoomScale="106" zoomScaleNormal="100" zoomScaleSheetLayoutView="106" workbookViewId="0">
      <selection activeCell="H71" sqref="H71"/>
    </sheetView>
  </sheetViews>
  <sheetFormatPr defaultRowHeight="15" x14ac:dyDescent="0.25"/>
  <cols>
    <col min="1" max="1" width="4.7109375" style="502" customWidth="1"/>
    <col min="2" max="2" width="15" style="502" customWidth="1"/>
    <col min="3" max="3" width="18" style="62" customWidth="1"/>
    <col min="4" max="4" width="5.28515625" style="62" customWidth="1"/>
    <col min="5" max="5" width="7.85546875" style="62" customWidth="1"/>
    <col min="6" max="6" width="17.7109375" style="62" customWidth="1"/>
    <col min="7" max="7" width="14.5703125" style="62" customWidth="1"/>
    <col min="8" max="8" width="14.28515625" style="62" customWidth="1"/>
    <col min="9" max="9" width="14" style="62" customWidth="1"/>
    <col min="10" max="10" width="16.42578125" style="62" customWidth="1"/>
    <col min="11" max="11" width="16.85546875" style="122" customWidth="1"/>
    <col min="12" max="12" width="9.5703125" style="62" customWidth="1"/>
    <col min="13" max="13" width="17.85546875" style="62" customWidth="1"/>
    <col min="17" max="17" width="4.5703125" customWidth="1"/>
    <col min="18" max="18" width="14.28515625" customWidth="1"/>
    <col min="19" max="19" width="12.42578125" customWidth="1"/>
  </cols>
  <sheetData>
    <row r="1" spans="1:20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</row>
    <row r="2" spans="1:20" ht="18" x14ac:dyDescent="0.25">
      <c r="A2" s="620" t="s">
        <v>3680</v>
      </c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</row>
    <row r="3" spans="1:20" x14ac:dyDescent="0.25">
      <c r="C3" s="102"/>
      <c r="D3" s="102"/>
      <c r="E3" s="78"/>
      <c r="F3" s="102"/>
      <c r="G3" s="102"/>
      <c r="I3" s="78"/>
      <c r="J3" s="83"/>
      <c r="K3" s="103"/>
      <c r="L3" s="104" t="s">
        <v>1959</v>
      </c>
      <c r="M3" s="105"/>
      <c r="R3" s="30"/>
      <c r="S3" s="30"/>
    </row>
    <row r="4" spans="1:20" x14ac:dyDescent="0.25">
      <c r="C4" s="102"/>
      <c r="D4" s="102"/>
      <c r="E4" s="78"/>
      <c r="F4" s="102"/>
      <c r="G4" s="102"/>
      <c r="I4" s="78"/>
      <c r="J4" s="83"/>
      <c r="K4" s="106"/>
      <c r="L4" s="95" t="s">
        <v>89</v>
      </c>
      <c r="M4" s="126">
        <v>99</v>
      </c>
    </row>
    <row r="5" spans="1:20" x14ac:dyDescent="0.25">
      <c r="C5" s="102"/>
      <c r="D5" s="102"/>
      <c r="E5" s="78"/>
      <c r="F5" s="102"/>
      <c r="G5" s="107"/>
      <c r="I5" s="78"/>
      <c r="J5" s="83"/>
      <c r="K5" s="106"/>
      <c r="L5" s="95" t="s">
        <v>91</v>
      </c>
      <c r="M5" s="126">
        <v>15</v>
      </c>
      <c r="R5" s="30"/>
      <c r="S5" s="30"/>
    </row>
    <row r="6" spans="1:20" x14ac:dyDescent="0.25">
      <c r="A6" s="622" t="s">
        <v>117</v>
      </c>
      <c r="B6" s="622"/>
      <c r="C6" s="622"/>
      <c r="D6" s="468"/>
      <c r="E6" s="79"/>
      <c r="F6" s="107"/>
      <c r="G6" s="108"/>
      <c r="H6" s="60"/>
      <c r="I6" s="79"/>
      <c r="J6" s="84"/>
      <c r="K6" s="103"/>
      <c r="L6" s="101" t="s">
        <v>1560</v>
      </c>
      <c r="M6" s="109"/>
      <c r="S6" s="30"/>
    </row>
    <row r="7" spans="1:20" x14ac:dyDescent="0.25">
      <c r="A7" s="110"/>
      <c r="B7" s="347"/>
      <c r="C7" s="469"/>
      <c r="D7" s="111"/>
      <c r="E7" s="80"/>
      <c r="F7" s="169"/>
      <c r="G7" s="169"/>
      <c r="H7" s="613" t="s">
        <v>1</v>
      </c>
      <c r="I7" s="623"/>
      <c r="J7" s="614"/>
      <c r="K7" s="112"/>
      <c r="L7" s="624" t="s">
        <v>2</v>
      </c>
      <c r="M7" s="625"/>
      <c r="R7" s="30"/>
      <c r="S7" s="30"/>
    </row>
    <row r="8" spans="1:20" x14ac:dyDescent="0.25">
      <c r="A8" s="626" t="s">
        <v>3</v>
      </c>
      <c r="B8" s="627"/>
      <c r="C8" s="627"/>
      <c r="D8" s="628"/>
      <c r="E8" s="18" t="s">
        <v>4</v>
      </c>
      <c r="F8" s="504" t="s">
        <v>5</v>
      </c>
      <c r="G8" s="503" t="s">
        <v>6</v>
      </c>
      <c r="H8" s="11" t="s">
        <v>7</v>
      </c>
      <c r="I8" s="81"/>
      <c r="J8" s="12" t="s">
        <v>8</v>
      </c>
      <c r="K8" s="74" t="s">
        <v>9</v>
      </c>
      <c r="L8" s="96"/>
      <c r="M8" s="113"/>
      <c r="R8" s="214"/>
      <c r="S8" s="30"/>
    </row>
    <row r="9" spans="1:20" x14ac:dyDescent="0.25">
      <c r="A9" s="114"/>
      <c r="B9" s="348"/>
      <c r="C9" s="107"/>
      <c r="D9" s="115"/>
      <c r="E9" s="81"/>
      <c r="F9" s="116"/>
      <c r="G9" s="115"/>
      <c r="H9" s="17" t="s">
        <v>10</v>
      </c>
      <c r="I9" s="18" t="s">
        <v>11</v>
      </c>
      <c r="J9" s="12" t="s">
        <v>12</v>
      </c>
      <c r="K9" s="117"/>
      <c r="L9" s="504" t="s">
        <v>13</v>
      </c>
      <c r="M9" s="504" t="s">
        <v>14</v>
      </c>
      <c r="R9" s="214"/>
    </row>
    <row r="10" spans="1:20" x14ac:dyDescent="0.25">
      <c r="A10" s="118"/>
      <c r="B10" s="349"/>
      <c r="C10" s="108"/>
      <c r="D10" s="119"/>
      <c r="E10" s="82"/>
      <c r="F10" s="170"/>
      <c r="G10" s="170"/>
      <c r="H10" s="22"/>
      <c r="I10" s="85"/>
      <c r="J10" s="86" t="s">
        <v>15</v>
      </c>
      <c r="K10" s="120"/>
      <c r="L10" s="22"/>
      <c r="M10" s="51" t="s">
        <v>16</v>
      </c>
      <c r="R10" s="214"/>
    </row>
    <row r="11" spans="1:20" x14ac:dyDescent="0.25">
      <c r="A11" s="142" t="s">
        <v>17</v>
      </c>
      <c r="B11" s="142"/>
      <c r="C11" s="59"/>
      <c r="D11" s="59"/>
      <c r="E11" s="59"/>
      <c r="F11" s="59"/>
      <c r="G11" s="59"/>
      <c r="H11" s="59"/>
      <c r="I11" s="59"/>
      <c r="J11" s="59"/>
      <c r="K11" s="75"/>
      <c r="L11" s="59"/>
      <c r="M11" s="59"/>
      <c r="R11" s="272" t="s">
        <v>3772</v>
      </c>
    </row>
    <row r="12" spans="1:20" x14ac:dyDescent="0.25">
      <c r="A12" s="228">
        <v>2</v>
      </c>
      <c r="B12" s="351" t="s">
        <v>2196</v>
      </c>
      <c r="C12" s="230" t="s">
        <v>2342</v>
      </c>
      <c r="D12" s="230"/>
      <c r="E12" s="283" t="s">
        <v>163</v>
      </c>
      <c r="F12" s="230" t="s">
        <v>1157</v>
      </c>
      <c r="G12" s="230" t="s">
        <v>42</v>
      </c>
      <c r="H12" s="231" t="s">
        <v>3681</v>
      </c>
      <c r="I12" s="233" t="s">
        <v>40</v>
      </c>
      <c r="J12" s="232">
        <v>2000</v>
      </c>
      <c r="K12" s="229">
        <v>400</v>
      </c>
      <c r="L12" s="224" t="s">
        <v>147</v>
      </c>
      <c r="M12" s="224" t="s">
        <v>41</v>
      </c>
      <c r="O12">
        <f>J12/5</f>
        <v>400</v>
      </c>
      <c r="Q12" s="30"/>
      <c r="R12" s="320" t="s">
        <v>138</v>
      </c>
      <c r="S12" s="27">
        <f>SUM(J12:J51,J53,J55:J60,J62:J66)</f>
        <v>107914</v>
      </c>
      <c r="T12" s="320"/>
    </row>
    <row r="13" spans="1:20" x14ac:dyDescent="0.25">
      <c r="A13" s="228">
        <v>2</v>
      </c>
      <c r="B13" s="351" t="s">
        <v>3682</v>
      </c>
      <c r="C13" s="230" t="s">
        <v>2327</v>
      </c>
      <c r="D13" s="230"/>
      <c r="E13" s="230" t="s">
        <v>160</v>
      </c>
      <c r="F13" s="230" t="s">
        <v>1141</v>
      </c>
      <c r="G13" s="230" t="s">
        <v>61</v>
      </c>
      <c r="H13" s="231" t="s">
        <v>3683</v>
      </c>
      <c r="I13" s="230" t="s">
        <v>40</v>
      </c>
      <c r="J13" s="232">
        <v>600</v>
      </c>
      <c r="K13" s="229">
        <v>120</v>
      </c>
      <c r="L13" s="224" t="s">
        <v>147</v>
      </c>
      <c r="M13" s="224" t="s">
        <v>41</v>
      </c>
      <c r="O13">
        <f>J13/5</f>
        <v>120</v>
      </c>
      <c r="Q13" s="30"/>
      <c r="R13" s="321" t="s">
        <v>1911</v>
      </c>
      <c r="S13" s="27">
        <f>SUM(J52,J54,J61)</f>
        <v>37</v>
      </c>
      <c r="T13" s="320"/>
    </row>
    <row r="14" spans="1:20" x14ac:dyDescent="0.25">
      <c r="A14" s="228">
        <v>2</v>
      </c>
      <c r="B14" s="351" t="s">
        <v>3684</v>
      </c>
      <c r="C14" s="230" t="s">
        <v>1754</v>
      </c>
      <c r="D14" s="230"/>
      <c r="E14" s="230" t="s">
        <v>160</v>
      </c>
      <c r="F14" s="230" t="s">
        <v>180</v>
      </c>
      <c r="G14" s="230" t="s">
        <v>69</v>
      </c>
      <c r="H14" s="231" t="s">
        <v>3685</v>
      </c>
      <c r="I14" s="233" t="s">
        <v>40</v>
      </c>
      <c r="J14" s="232">
        <v>1500</v>
      </c>
      <c r="K14" s="229">
        <v>300</v>
      </c>
      <c r="L14" s="224" t="s">
        <v>147</v>
      </c>
      <c r="M14" s="224" t="s">
        <v>41</v>
      </c>
      <c r="O14">
        <f t="shared" ref="O14:O202" si="0">J14/5</f>
        <v>300</v>
      </c>
      <c r="Q14" s="30"/>
      <c r="R14" s="272" t="s">
        <v>3804</v>
      </c>
      <c r="S14" s="322"/>
      <c r="T14" s="320"/>
    </row>
    <row r="15" spans="1:20" x14ac:dyDescent="0.25">
      <c r="A15" s="228">
        <v>2</v>
      </c>
      <c r="B15" s="351" t="s">
        <v>3686</v>
      </c>
      <c r="C15" s="230" t="s">
        <v>1667</v>
      </c>
      <c r="D15" s="230"/>
      <c r="E15" s="230" t="s">
        <v>160</v>
      </c>
      <c r="F15" s="230" t="s">
        <v>58</v>
      </c>
      <c r="G15" s="230" t="s">
        <v>42</v>
      </c>
      <c r="H15" s="231" t="s">
        <v>3687</v>
      </c>
      <c r="I15" s="230" t="s">
        <v>40</v>
      </c>
      <c r="J15" s="232">
        <v>1500</v>
      </c>
      <c r="K15" s="229">
        <v>300</v>
      </c>
      <c r="L15" s="224" t="s">
        <v>147</v>
      </c>
      <c r="M15" s="224" t="s">
        <v>41</v>
      </c>
      <c r="O15">
        <f t="shared" si="0"/>
        <v>300</v>
      </c>
      <c r="Q15" s="30"/>
      <c r="R15" s="320" t="s">
        <v>138</v>
      </c>
      <c r="S15" s="322">
        <f>SUM(J68:J80)</f>
        <v>21400</v>
      </c>
      <c r="T15" s="60"/>
    </row>
    <row r="16" spans="1:20" x14ac:dyDescent="0.25">
      <c r="A16" s="228">
        <v>2</v>
      </c>
      <c r="B16" s="351" t="s">
        <v>1987</v>
      </c>
      <c r="C16" s="230" t="s">
        <v>2436</v>
      </c>
      <c r="D16" s="230"/>
      <c r="E16" s="230" t="s">
        <v>160</v>
      </c>
      <c r="F16" s="230" t="s">
        <v>3688</v>
      </c>
      <c r="G16" s="230" t="s">
        <v>48</v>
      </c>
      <c r="H16" s="231" t="s">
        <v>3689</v>
      </c>
      <c r="I16" s="230" t="s">
        <v>40</v>
      </c>
      <c r="J16" s="232">
        <v>1500</v>
      </c>
      <c r="K16" s="229">
        <v>300</v>
      </c>
      <c r="L16" s="224" t="s">
        <v>147</v>
      </c>
      <c r="M16" s="224" t="s">
        <v>41</v>
      </c>
      <c r="O16">
        <f t="shared" si="0"/>
        <v>300</v>
      </c>
      <c r="R16" s="321" t="s">
        <v>1911</v>
      </c>
      <c r="S16" s="69">
        <v>30</v>
      </c>
      <c r="T16" s="60"/>
    </row>
    <row r="17" spans="1:21" x14ac:dyDescent="0.25">
      <c r="A17" s="228">
        <v>2</v>
      </c>
      <c r="B17" s="351" t="s">
        <v>3690</v>
      </c>
      <c r="C17" s="230" t="s">
        <v>2178</v>
      </c>
      <c r="D17" s="230"/>
      <c r="E17" s="230" t="s">
        <v>160</v>
      </c>
      <c r="F17" s="230" t="s">
        <v>60</v>
      </c>
      <c r="G17" s="230" t="s">
        <v>64</v>
      </c>
      <c r="H17" s="231" t="s">
        <v>3691</v>
      </c>
      <c r="I17" s="233" t="s">
        <v>40</v>
      </c>
      <c r="J17" s="232">
        <v>2000</v>
      </c>
      <c r="K17" s="229">
        <v>400</v>
      </c>
      <c r="L17" s="224" t="s">
        <v>147</v>
      </c>
      <c r="M17" s="224" t="s">
        <v>41</v>
      </c>
      <c r="O17">
        <f t="shared" si="0"/>
        <v>400</v>
      </c>
      <c r="R17" s="272" t="s">
        <v>3857</v>
      </c>
      <c r="S17" s="322"/>
      <c r="T17" s="60"/>
    </row>
    <row r="18" spans="1:21" x14ac:dyDescent="0.25">
      <c r="A18" s="228">
        <v>2</v>
      </c>
      <c r="B18" s="351" t="s">
        <v>2540</v>
      </c>
      <c r="C18" s="230" t="s">
        <v>3692</v>
      </c>
      <c r="D18" s="230"/>
      <c r="E18" s="283" t="s">
        <v>163</v>
      </c>
      <c r="F18" s="230"/>
      <c r="G18" s="230" t="s">
        <v>50</v>
      </c>
      <c r="H18" s="231" t="s">
        <v>3693</v>
      </c>
      <c r="I18" s="233" t="s">
        <v>40</v>
      </c>
      <c r="J18" s="232">
        <v>1000</v>
      </c>
      <c r="K18" s="229">
        <v>200</v>
      </c>
      <c r="L18" s="224" t="s">
        <v>147</v>
      </c>
      <c r="M18" s="224" t="s">
        <v>41</v>
      </c>
      <c r="O18">
        <f t="shared" si="0"/>
        <v>200</v>
      </c>
      <c r="Q18" s="69"/>
      <c r="R18" s="320" t="s">
        <v>138</v>
      </c>
      <c r="S18" s="322">
        <f>SUM(J81:J88,J90:J112,J114:J119,J121:J125,J127:J131)</f>
        <v>81800</v>
      </c>
      <c r="T18" s="60"/>
    </row>
    <row r="19" spans="1:21" x14ac:dyDescent="0.25">
      <c r="A19" s="228">
        <v>2</v>
      </c>
      <c r="B19" s="351" t="s">
        <v>1285</v>
      </c>
      <c r="C19" s="230" t="s">
        <v>2436</v>
      </c>
      <c r="D19" s="230"/>
      <c r="E19" s="230" t="s">
        <v>160</v>
      </c>
      <c r="F19" s="230" t="s">
        <v>358</v>
      </c>
      <c r="G19" s="230" t="s">
        <v>43</v>
      </c>
      <c r="H19" s="231" t="s">
        <v>3694</v>
      </c>
      <c r="I19" s="233" t="s">
        <v>40</v>
      </c>
      <c r="J19" s="232">
        <v>20</v>
      </c>
      <c r="K19" s="229">
        <v>400</v>
      </c>
      <c r="L19" s="224" t="s">
        <v>147</v>
      </c>
      <c r="M19" s="224" t="s">
        <v>41</v>
      </c>
      <c r="O19">
        <f t="shared" si="0"/>
        <v>4</v>
      </c>
      <c r="R19" s="321" t="s">
        <v>1911</v>
      </c>
      <c r="S19" s="27">
        <f>SUM(J89,J113,J120,J126)</f>
        <v>70</v>
      </c>
      <c r="T19" s="60"/>
    </row>
    <row r="20" spans="1:21" x14ac:dyDescent="0.25">
      <c r="A20" s="228">
        <v>2</v>
      </c>
      <c r="B20" s="351" t="s">
        <v>1916</v>
      </c>
      <c r="C20" s="230" t="s">
        <v>2402</v>
      </c>
      <c r="D20" s="230"/>
      <c r="E20" s="230" t="s">
        <v>160</v>
      </c>
      <c r="F20" s="230" t="s">
        <v>267</v>
      </c>
      <c r="G20" s="230" t="s">
        <v>44</v>
      </c>
      <c r="H20" s="231" t="s">
        <v>3695</v>
      </c>
      <c r="I20" s="233" t="s">
        <v>40</v>
      </c>
      <c r="J20" s="232">
        <v>1000</v>
      </c>
      <c r="K20" s="229">
        <v>200</v>
      </c>
      <c r="L20" s="224" t="s">
        <v>147</v>
      </c>
      <c r="M20" s="224" t="s">
        <v>41</v>
      </c>
      <c r="O20">
        <f t="shared" si="0"/>
        <v>200</v>
      </c>
      <c r="Q20" s="30"/>
      <c r="R20" s="293"/>
      <c r="S20" s="322"/>
      <c r="T20" s="60"/>
    </row>
    <row r="21" spans="1:21" s="62" customFormat="1" x14ac:dyDescent="0.25">
      <c r="A21" s="228">
        <v>2</v>
      </c>
      <c r="B21" s="351" t="s">
        <v>2371</v>
      </c>
      <c r="C21" s="230" t="s">
        <v>3490</v>
      </c>
      <c r="D21" s="230"/>
      <c r="E21" s="230" t="s">
        <v>160</v>
      </c>
      <c r="F21" s="230" t="s">
        <v>196</v>
      </c>
      <c r="G21" s="230" t="s">
        <v>56</v>
      </c>
      <c r="H21" s="231"/>
      <c r="I21" s="230" t="s">
        <v>40</v>
      </c>
      <c r="J21" s="232">
        <v>2000</v>
      </c>
      <c r="K21" s="229">
        <v>400</v>
      </c>
      <c r="L21" s="224" t="s">
        <v>147</v>
      </c>
      <c r="M21" s="224" t="s">
        <v>41</v>
      </c>
      <c r="O21" s="62">
        <f t="shared" si="0"/>
        <v>400</v>
      </c>
      <c r="R21" s="272"/>
      <c r="S21" s="98"/>
      <c r="T21" s="60"/>
    </row>
    <row r="22" spans="1:21" x14ac:dyDescent="0.25">
      <c r="A22" s="228">
        <v>2</v>
      </c>
      <c r="B22" s="351" t="s">
        <v>1926</v>
      </c>
      <c r="C22" s="230" t="s">
        <v>2107</v>
      </c>
      <c r="D22" s="230"/>
      <c r="E22" s="230" t="s">
        <v>160</v>
      </c>
      <c r="F22" s="230" t="s">
        <v>189</v>
      </c>
      <c r="G22" s="230" t="s">
        <v>54</v>
      </c>
      <c r="H22" s="231"/>
      <c r="I22" s="233" t="s">
        <v>40</v>
      </c>
      <c r="J22" s="232">
        <v>1000</v>
      </c>
      <c r="K22" s="229">
        <v>200</v>
      </c>
      <c r="L22" s="224" t="s">
        <v>147</v>
      </c>
      <c r="M22" s="224" t="s">
        <v>41</v>
      </c>
      <c r="O22">
        <f t="shared" si="0"/>
        <v>200</v>
      </c>
      <c r="R22" s="320"/>
      <c r="S22" s="30"/>
      <c r="T22" s="60"/>
      <c r="U22" s="62"/>
    </row>
    <row r="23" spans="1:21" x14ac:dyDescent="0.25">
      <c r="A23" s="228">
        <v>2</v>
      </c>
      <c r="B23" s="351" t="s">
        <v>3696</v>
      </c>
      <c r="C23" s="230" t="s">
        <v>3697</v>
      </c>
      <c r="D23" s="230"/>
      <c r="E23" s="230" t="s">
        <v>160</v>
      </c>
      <c r="F23" s="230" t="s">
        <v>1243</v>
      </c>
      <c r="G23" s="230" t="s">
        <v>47</v>
      </c>
      <c r="H23" s="231" t="s">
        <v>3698</v>
      </c>
      <c r="I23" s="233" t="s">
        <v>40</v>
      </c>
      <c r="J23" s="232">
        <v>200</v>
      </c>
      <c r="K23" s="229">
        <v>40</v>
      </c>
      <c r="L23" s="224" t="s">
        <v>147</v>
      </c>
      <c r="M23" s="224" t="s">
        <v>41</v>
      </c>
      <c r="O23">
        <f t="shared" si="0"/>
        <v>40</v>
      </c>
      <c r="R23" s="293"/>
      <c r="S23" s="30"/>
      <c r="T23" s="60"/>
    </row>
    <row r="24" spans="1:21" x14ac:dyDescent="0.25">
      <c r="A24" s="228">
        <v>2</v>
      </c>
      <c r="B24" s="351" t="s">
        <v>2766</v>
      </c>
      <c r="C24" s="230" t="s">
        <v>3699</v>
      </c>
      <c r="D24" s="230"/>
      <c r="E24" s="283" t="s">
        <v>163</v>
      </c>
      <c r="F24" s="230" t="s">
        <v>523</v>
      </c>
      <c r="G24" s="230" t="s">
        <v>42</v>
      </c>
      <c r="H24" s="231"/>
      <c r="I24" s="233" t="s">
        <v>40</v>
      </c>
      <c r="J24" s="232">
        <v>500</v>
      </c>
      <c r="K24" s="229">
        <v>100</v>
      </c>
      <c r="L24" s="224" t="s">
        <v>147</v>
      </c>
      <c r="M24" s="224" t="s">
        <v>41</v>
      </c>
      <c r="O24">
        <f t="shared" si="0"/>
        <v>100</v>
      </c>
      <c r="R24" s="321"/>
      <c r="S24" s="69"/>
      <c r="T24" s="60"/>
    </row>
    <row r="25" spans="1:21" x14ac:dyDescent="0.25">
      <c r="A25" s="228">
        <v>2</v>
      </c>
      <c r="B25" s="351" t="s">
        <v>3700</v>
      </c>
      <c r="C25" s="230" t="s">
        <v>3701</v>
      </c>
      <c r="D25" s="230"/>
      <c r="E25" s="230" t="s">
        <v>160</v>
      </c>
      <c r="F25" s="230" t="s">
        <v>538</v>
      </c>
      <c r="G25" s="230" t="s">
        <v>49</v>
      </c>
      <c r="H25" s="231" t="s">
        <v>3702</v>
      </c>
      <c r="I25" s="230" t="s">
        <v>40</v>
      </c>
      <c r="J25" s="232">
        <v>2000</v>
      </c>
      <c r="K25" s="229">
        <v>400</v>
      </c>
      <c r="L25" s="224" t="s">
        <v>147</v>
      </c>
      <c r="M25" s="224" t="s">
        <v>41</v>
      </c>
      <c r="O25">
        <f t="shared" si="0"/>
        <v>400</v>
      </c>
      <c r="R25" s="293"/>
      <c r="S25" s="69"/>
      <c r="T25" s="60"/>
    </row>
    <row r="26" spans="1:21" x14ac:dyDescent="0.25">
      <c r="A26" s="228">
        <v>2</v>
      </c>
      <c r="B26" s="351" t="s">
        <v>3105</v>
      </c>
      <c r="C26" s="230" t="s">
        <v>3703</v>
      </c>
      <c r="D26" s="230"/>
      <c r="E26" s="283" t="s">
        <v>163</v>
      </c>
      <c r="F26" s="230" t="s">
        <v>194</v>
      </c>
      <c r="G26" s="230" t="s">
        <v>43</v>
      </c>
      <c r="H26" s="231"/>
      <c r="I26" s="233" t="s">
        <v>40</v>
      </c>
      <c r="J26" s="232">
        <v>1000</v>
      </c>
      <c r="K26" s="229">
        <v>300</v>
      </c>
      <c r="L26" s="224" t="s">
        <v>147</v>
      </c>
      <c r="M26" s="224" t="s">
        <v>41</v>
      </c>
      <c r="O26">
        <f t="shared" si="0"/>
        <v>200</v>
      </c>
      <c r="R26" s="293"/>
      <c r="S26" s="69"/>
      <c r="T26" s="60"/>
    </row>
    <row r="27" spans="1:21" x14ac:dyDescent="0.25">
      <c r="A27" s="228">
        <v>2</v>
      </c>
      <c r="B27" s="351" t="s">
        <v>3704</v>
      </c>
      <c r="C27" s="230" t="s">
        <v>3705</v>
      </c>
      <c r="D27" s="230"/>
      <c r="E27" s="230" t="s">
        <v>160</v>
      </c>
      <c r="F27" s="230" t="s">
        <v>467</v>
      </c>
      <c r="G27" s="230" t="s">
        <v>64</v>
      </c>
      <c r="H27" s="231"/>
      <c r="I27" s="230" t="s">
        <v>40</v>
      </c>
      <c r="J27" s="232">
        <v>3000</v>
      </c>
      <c r="K27" s="229">
        <v>600</v>
      </c>
      <c r="L27" s="224" t="s">
        <v>147</v>
      </c>
      <c r="M27" s="224" t="s">
        <v>41</v>
      </c>
      <c r="O27">
        <f t="shared" si="0"/>
        <v>600</v>
      </c>
      <c r="R27" s="30"/>
      <c r="S27" s="30"/>
      <c r="T27" s="60"/>
    </row>
    <row r="28" spans="1:21" x14ac:dyDescent="0.25">
      <c r="A28" s="228">
        <v>2</v>
      </c>
      <c r="B28" s="351" t="s">
        <v>1926</v>
      </c>
      <c r="C28" s="230" t="s">
        <v>1927</v>
      </c>
      <c r="D28" s="230"/>
      <c r="E28" s="230" t="s">
        <v>160</v>
      </c>
      <c r="F28" s="230" t="s">
        <v>523</v>
      </c>
      <c r="G28" s="230" t="s">
        <v>42</v>
      </c>
      <c r="H28" s="231" t="s">
        <v>1928</v>
      </c>
      <c r="I28" s="230" t="s">
        <v>40</v>
      </c>
      <c r="J28" s="232">
        <v>3000</v>
      </c>
      <c r="K28" s="229">
        <v>600</v>
      </c>
      <c r="L28" s="224" t="s">
        <v>147</v>
      </c>
      <c r="M28" s="224" t="s">
        <v>41</v>
      </c>
      <c r="O28">
        <f t="shared" si="0"/>
        <v>600</v>
      </c>
      <c r="S28" s="69"/>
    </row>
    <row r="29" spans="1:21" x14ac:dyDescent="0.25">
      <c r="A29" s="228">
        <v>2</v>
      </c>
      <c r="B29" s="351" t="s">
        <v>1602</v>
      </c>
      <c r="C29" s="230" t="s">
        <v>1603</v>
      </c>
      <c r="D29" s="230"/>
      <c r="E29" s="230" t="s">
        <v>160</v>
      </c>
      <c r="F29" s="230" t="s">
        <v>211</v>
      </c>
      <c r="G29" s="230" t="s">
        <v>47</v>
      </c>
      <c r="H29" s="231" t="s">
        <v>1604</v>
      </c>
      <c r="I29" s="233" t="s">
        <v>40</v>
      </c>
      <c r="J29" s="232">
        <v>750</v>
      </c>
      <c r="K29" s="229">
        <v>150</v>
      </c>
      <c r="L29" s="224" t="s">
        <v>147</v>
      </c>
      <c r="M29" s="224" t="s">
        <v>41</v>
      </c>
      <c r="O29">
        <f t="shared" si="0"/>
        <v>150</v>
      </c>
      <c r="R29" s="30"/>
      <c r="S29" s="30"/>
    </row>
    <row r="30" spans="1:21" x14ac:dyDescent="0.25">
      <c r="A30" s="228">
        <v>2</v>
      </c>
      <c r="B30" s="351" t="s">
        <v>1599</v>
      </c>
      <c r="C30" s="230" t="s">
        <v>3706</v>
      </c>
      <c r="D30" s="230"/>
      <c r="E30" s="230" t="s">
        <v>160</v>
      </c>
      <c r="F30" s="230" t="s">
        <v>180</v>
      </c>
      <c r="G30" s="230" t="s">
        <v>45</v>
      </c>
      <c r="H30" s="231" t="s">
        <v>3707</v>
      </c>
      <c r="I30" s="230" t="s">
        <v>40</v>
      </c>
      <c r="J30" s="232">
        <v>6000</v>
      </c>
      <c r="K30" s="229" t="s">
        <v>152</v>
      </c>
      <c r="L30" s="224" t="s">
        <v>147</v>
      </c>
      <c r="M30" s="224" t="s">
        <v>41</v>
      </c>
      <c r="O30">
        <f t="shared" si="0"/>
        <v>1200</v>
      </c>
      <c r="R30" s="30"/>
    </row>
    <row r="31" spans="1:21" x14ac:dyDescent="0.25">
      <c r="A31" s="228">
        <v>3</v>
      </c>
      <c r="B31" s="351" t="s">
        <v>3708</v>
      </c>
      <c r="C31" s="230" t="s">
        <v>2713</v>
      </c>
      <c r="D31" s="230"/>
      <c r="E31" s="230" t="s">
        <v>160</v>
      </c>
      <c r="F31" s="230" t="s">
        <v>180</v>
      </c>
      <c r="G31" s="230" t="s">
        <v>61</v>
      </c>
      <c r="H31" s="231" t="s">
        <v>3709</v>
      </c>
      <c r="I31" s="233" t="s">
        <v>40</v>
      </c>
      <c r="J31" s="232">
        <v>500</v>
      </c>
      <c r="K31" s="229" t="s">
        <v>152</v>
      </c>
      <c r="L31" s="224" t="s">
        <v>147</v>
      </c>
      <c r="M31" s="224" t="s">
        <v>41</v>
      </c>
      <c r="O31">
        <f t="shared" si="0"/>
        <v>100</v>
      </c>
      <c r="R31" s="30"/>
    </row>
    <row r="32" spans="1:21" x14ac:dyDescent="0.25">
      <c r="A32" s="228">
        <v>3</v>
      </c>
      <c r="B32" s="351" t="s">
        <v>1726</v>
      </c>
      <c r="C32" s="230" t="s">
        <v>3710</v>
      </c>
      <c r="D32" s="230"/>
      <c r="E32" s="283" t="s">
        <v>163</v>
      </c>
      <c r="F32" s="230" t="s">
        <v>523</v>
      </c>
      <c r="G32" s="230" t="s">
        <v>42</v>
      </c>
      <c r="H32" s="231" t="s">
        <v>3711</v>
      </c>
      <c r="I32" s="230" t="s">
        <v>40</v>
      </c>
      <c r="J32" s="232">
        <v>2000</v>
      </c>
      <c r="K32" s="229">
        <v>400</v>
      </c>
      <c r="L32" s="224" t="s">
        <v>147</v>
      </c>
      <c r="M32" s="224" t="s">
        <v>41</v>
      </c>
      <c r="O32">
        <f t="shared" si="0"/>
        <v>400</v>
      </c>
    </row>
    <row r="33" spans="1:21" x14ac:dyDescent="0.25">
      <c r="A33" s="228">
        <v>3</v>
      </c>
      <c r="B33" s="351" t="s">
        <v>3712</v>
      </c>
      <c r="C33" s="230" t="s">
        <v>2441</v>
      </c>
      <c r="D33" s="230"/>
      <c r="E33" s="230" t="s">
        <v>160</v>
      </c>
      <c r="F33" s="230" t="s">
        <v>189</v>
      </c>
      <c r="G33" s="230" t="s">
        <v>54</v>
      </c>
      <c r="H33" s="231"/>
      <c r="I33" s="233" t="s">
        <v>40</v>
      </c>
      <c r="J33" s="232">
        <v>4000</v>
      </c>
      <c r="K33" s="229">
        <v>800</v>
      </c>
      <c r="L33" s="224" t="s">
        <v>147</v>
      </c>
      <c r="M33" s="224" t="s">
        <v>41</v>
      </c>
      <c r="O33">
        <f t="shared" si="0"/>
        <v>800</v>
      </c>
    </row>
    <row r="34" spans="1:21" x14ac:dyDescent="0.25">
      <c r="A34" s="228">
        <v>3</v>
      </c>
      <c r="B34" s="351" t="s">
        <v>3708</v>
      </c>
      <c r="C34" s="230" t="s">
        <v>3713</v>
      </c>
      <c r="D34" s="230"/>
      <c r="E34" s="230" t="s">
        <v>160</v>
      </c>
      <c r="F34" s="230" t="s">
        <v>180</v>
      </c>
      <c r="G34" s="230" t="s">
        <v>61</v>
      </c>
      <c r="H34" s="231"/>
      <c r="I34" s="233" t="s">
        <v>40</v>
      </c>
      <c r="J34" s="232">
        <v>500</v>
      </c>
      <c r="K34" s="229" t="s">
        <v>152</v>
      </c>
      <c r="L34" s="224" t="s">
        <v>147</v>
      </c>
      <c r="M34" s="224" t="s">
        <v>41</v>
      </c>
      <c r="O34">
        <f t="shared" si="0"/>
        <v>100</v>
      </c>
      <c r="R34" s="30"/>
      <c r="S34" s="30"/>
      <c r="T34" s="30"/>
      <c r="U34" s="30"/>
    </row>
    <row r="35" spans="1:21" x14ac:dyDescent="0.25">
      <c r="A35" s="228">
        <v>3</v>
      </c>
      <c r="B35" s="351" t="s">
        <v>3708</v>
      </c>
      <c r="C35" s="230" t="s">
        <v>3714</v>
      </c>
      <c r="D35" s="230"/>
      <c r="E35" s="230" t="s">
        <v>160</v>
      </c>
      <c r="F35" s="230" t="s">
        <v>180</v>
      </c>
      <c r="G35" s="230" t="s">
        <v>61</v>
      </c>
      <c r="H35" s="231"/>
      <c r="I35" s="233" t="s">
        <v>40</v>
      </c>
      <c r="J35" s="232">
        <v>500</v>
      </c>
      <c r="K35" s="229" t="s">
        <v>152</v>
      </c>
      <c r="L35" s="224" t="s">
        <v>147</v>
      </c>
      <c r="M35" s="224" t="s">
        <v>41</v>
      </c>
      <c r="O35">
        <f t="shared" si="0"/>
        <v>100</v>
      </c>
      <c r="R35" s="30"/>
    </row>
    <row r="36" spans="1:21" x14ac:dyDescent="0.25">
      <c r="A36" s="228">
        <v>3</v>
      </c>
      <c r="B36" s="351" t="s">
        <v>3715</v>
      </c>
      <c r="C36" s="230" t="s">
        <v>1765</v>
      </c>
      <c r="D36" s="230"/>
      <c r="E36" s="230" t="s">
        <v>160</v>
      </c>
      <c r="F36" s="230" t="s">
        <v>180</v>
      </c>
      <c r="G36" s="230" t="s">
        <v>63</v>
      </c>
      <c r="H36" s="231"/>
      <c r="I36" s="233" t="s">
        <v>40</v>
      </c>
      <c r="J36" s="232">
        <v>4000</v>
      </c>
      <c r="K36" s="229">
        <v>800</v>
      </c>
      <c r="L36" s="224" t="s">
        <v>147</v>
      </c>
      <c r="M36" s="224" t="s">
        <v>41</v>
      </c>
      <c r="O36">
        <f t="shared" si="0"/>
        <v>800</v>
      </c>
    </row>
    <row r="37" spans="1:21" x14ac:dyDescent="0.25">
      <c r="A37" s="228">
        <v>4</v>
      </c>
      <c r="B37" s="351" t="s">
        <v>3717</v>
      </c>
      <c r="C37" s="230" t="s">
        <v>2156</v>
      </c>
      <c r="D37" s="230"/>
      <c r="E37" s="230" t="s">
        <v>160</v>
      </c>
      <c r="F37" s="230" t="s">
        <v>854</v>
      </c>
      <c r="G37" s="230" t="s">
        <v>57</v>
      </c>
      <c r="H37" s="231" t="s">
        <v>855</v>
      </c>
      <c r="I37" s="233" t="s">
        <v>40</v>
      </c>
      <c r="J37" s="232">
        <v>1500</v>
      </c>
      <c r="K37" s="229">
        <v>300</v>
      </c>
      <c r="L37" s="224" t="s">
        <v>147</v>
      </c>
      <c r="M37" s="224" t="s">
        <v>41</v>
      </c>
      <c r="O37">
        <f t="shared" si="0"/>
        <v>300</v>
      </c>
    </row>
    <row r="38" spans="1:21" x14ac:dyDescent="0.25">
      <c r="A38" s="228">
        <v>4</v>
      </c>
      <c r="B38" s="351" t="s">
        <v>3718</v>
      </c>
      <c r="C38" s="230" t="s">
        <v>1864</v>
      </c>
      <c r="D38" s="230"/>
      <c r="E38" s="230" t="s">
        <v>160</v>
      </c>
      <c r="F38" s="230" t="s">
        <v>180</v>
      </c>
      <c r="G38" s="230" t="s">
        <v>57</v>
      </c>
      <c r="H38" s="231" t="s">
        <v>3719</v>
      </c>
      <c r="I38" s="230" t="s">
        <v>40</v>
      </c>
      <c r="J38" s="232">
        <v>2000</v>
      </c>
      <c r="K38" s="229">
        <v>400</v>
      </c>
      <c r="L38" s="224" t="s">
        <v>147</v>
      </c>
      <c r="M38" s="224" t="s">
        <v>41</v>
      </c>
      <c r="O38">
        <f t="shared" si="0"/>
        <v>400</v>
      </c>
    </row>
    <row r="39" spans="1:21" x14ac:dyDescent="0.25">
      <c r="A39" s="228">
        <v>4</v>
      </c>
      <c r="B39" s="351" t="s">
        <v>1926</v>
      </c>
      <c r="C39" s="230" t="s">
        <v>3720</v>
      </c>
      <c r="D39" s="230"/>
      <c r="E39" s="230" t="s">
        <v>160</v>
      </c>
      <c r="F39" s="230" t="s">
        <v>523</v>
      </c>
      <c r="G39" s="230" t="s">
        <v>42</v>
      </c>
      <c r="H39" s="231"/>
      <c r="I39" s="230" t="s">
        <v>40</v>
      </c>
      <c r="J39" s="236">
        <v>1500</v>
      </c>
      <c r="K39" s="271">
        <v>300</v>
      </c>
      <c r="L39" s="224" t="s">
        <v>147</v>
      </c>
      <c r="M39" s="224" t="s">
        <v>41</v>
      </c>
      <c r="O39">
        <f t="shared" si="0"/>
        <v>300</v>
      </c>
    </row>
    <row r="40" spans="1:21" x14ac:dyDescent="0.25">
      <c r="A40" s="228">
        <v>4</v>
      </c>
      <c r="B40" s="351" t="s">
        <v>2784</v>
      </c>
      <c r="C40" s="230" t="s">
        <v>3721</v>
      </c>
      <c r="D40" s="230"/>
      <c r="E40" s="230" t="s">
        <v>160</v>
      </c>
      <c r="F40" s="230" t="s">
        <v>693</v>
      </c>
      <c r="G40" s="230" t="s">
        <v>57</v>
      </c>
      <c r="H40" s="231" t="s">
        <v>3722</v>
      </c>
      <c r="I40" s="230" t="s">
        <v>40</v>
      </c>
      <c r="J40" s="236">
        <v>3500</v>
      </c>
      <c r="K40" s="271">
        <v>700</v>
      </c>
      <c r="L40" s="224" t="s">
        <v>147</v>
      </c>
      <c r="M40" s="224" t="s">
        <v>41</v>
      </c>
      <c r="O40">
        <f t="shared" si="0"/>
        <v>700</v>
      </c>
    </row>
    <row r="41" spans="1:21" x14ac:dyDescent="0.25">
      <c r="A41" s="228">
        <v>4</v>
      </c>
      <c r="B41" s="351" t="s">
        <v>1599</v>
      </c>
      <c r="C41" s="230" t="s">
        <v>1600</v>
      </c>
      <c r="D41" s="230"/>
      <c r="E41" s="230" t="s">
        <v>160</v>
      </c>
      <c r="F41" s="230" t="s">
        <v>1180</v>
      </c>
      <c r="G41" s="230" t="s">
        <v>42</v>
      </c>
      <c r="H41" s="231" t="s">
        <v>3723</v>
      </c>
      <c r="I41" s="230" t="s">
        <v>40</v>
      </c>
      <c r="J41" s="236">
        <v>2000</v>
      </c>
      <c r="K41" s="271">
        <v>400</v>
      </c>
      <c r="L41" s="224" t="s">
        <v>147</v>
      </c>
      <c r="M41" s="224" t="s">
        <v>41</v>
      </c>
      <c r="O41">
        <f t="shared" si="0"/>
        <v>400</v>
      </c>
    </row>
    <row r="42" spans="1:21" x14ac:dyDescent="0.25">
      <c r="A42" s="228">
        <v>4</v>
      </c>
      <c r="B42" s="351" t="s">
        <v>2465</v>
      </c>
      <c r="C42" s="230" t="s">
        <v>2466</v>
      </c>
      <c r="D42" s="230"/>
      <c r="E42" s="230" t="s">
        <v>160</v>
      </c>
      <c r="F42" s="230" t="s">
        <v>220</v>
      </c>
      <c r="G42" s="230" t="s">
        <v>61</v>
      </c>
      <c r="H42" s="231" t="s">
        <v>936</v>
      </c>
      <c r="I42" s="230" t="s">
        <v>40</v>
      </c>
      <c r="J42" s="236">
        <v>5000</v>
      </c>
      <c r="K42" s="271">
        <v>1000</v>
      </c>
      <c r="L42" s="224" t="s">
        <v>147</v>
      </c>
      <c r="M42" s="224" t="s">
        <v>41</v>
      </c>
      <c r="O42">
        <f t="shared" si="0"/>
        <v>1000</v>
      </c>
    </row>
    <row r="43" spans="1:21" s="62" customFormat="1" x14ac:dyDescent="0.25">
      <c r="A43" s="228">
        <v>4</v>
      </c>
      <c r="B43" s="351" t="s">
        <v>3724</v>
      </c>
      <c r="C43" s="230" t="s">
        <v>3725</v>
      </c>
      <c r="D43" s="230"/>
      <c r="E43" s="230" t="s">
        <v>160</v>
      </c>
      <c r="F43" s="230" t="s">
        <v>3726</v>
      </c>
      <c r="G43" s="230" t="s">
        <v>48</v>
      </c>
      <c r="H43" s="231" t="s">
        <v>3727</v>
      </c>
      <c r="I43" s="230" t="s">
        <v>40</v>
      </c>
      <c r="J43" s="236">
        <v>200</v>
      </c>
      <c r="K43" s="271">
        <v>40</v>
      </c>
      <c r="L43" s="224" t="s">
        <v>147</v>
      </c>
      <c r="M43" s="224" t="s">
        <v>41</v>
      </c>
      <c r="O43" s="62">
        <f t="shared" si="0"/>
        <v>40</v>
      </c>
    </row>
    <row r="44" spans="1:21" s="62" customFormat="1" x14ac:dyDescent="0.25">
      <c r="A44" s="228">
        <v>4</v>
      </c>
      <c r="B44" s="351" t="s">
        <v>3027</v>
      </c>
      <c r="C44" s="230" t="s">
        <v>3728</v>
      </c>
      <c r="D44" s="230"/>
      <c r="E44" s="230" t="s">
        <v>160</v>
      </c>
      <c r="F44" s="230" t="s">
        <v>64</v>
      </c>
      <c r="G44" s="230" t="s">
        <v>57</v>
      </c>
      <c r="H44" s="231" t="s">
        <v>3729</v>
      </c>
      <c r="I44" s="230" t="s">
        <v>40</v>
      </c>
      <c r="J44" s="236">
        <v>3000</v>
      </c>
      <c r="K44" s="271">
        <v>600</v>
      </c>
      <c r="L44" s="224" t="s">
        <v>147</v>
      </c>
      <c r="M44" s="224" t="s">
        <v>41</v>
      </c>
      <c r="O44" s="62">
        <f t="shared" si="0"/>
        <v>600</v>
      </c>
      <c r="S44" s="325"/>
    </row>
    <row r="45" spans="1:21" s="62" customFormat="1" x14ac:dyDescent="0.25">
      <c r="A45" s="228">
        <v>4</v>
      </c>
      <c r="B45" s="351" t="s">
        <v>3730</v>
      </c>
      <c r="C45" s="230" t="s">
        <v>3731</v>
      </c>
      <c r="D45" s="230"/>
      <c r="E45" s="230" t="s">
        <v>160</v>
      </c>
      <c r="F45" s="230" t="s">
        <v>58</v>
      </c>
      <c r="G45" s="230" t="s">
        <v>42</v>
      </c>
      <c r="H45" s="231" t="s">
        <v>3732</v>
      </c>
      <c r="I45" s="230" t="s">
        <v>40</v>
      </c>
      <c r="J45" s="236">
        <v>1000</v>
      </c>
      <c r="K45" s="271">
        <v>200</v>
      </c>
      <c r="L45" s="224" t="s">
        <v>147</v>
      </c>
      <c r="M45" s="224" t="s">
        <v>41</v>
      </c>
      <c r="O45" s="62">
        <f t="shared" si="0"/>
        <v>200</v>
      </c>
    </row>
    <row r="46" spans="1:21" s="62" customFormat="1" x14ac:dyDescent="0.25">
      <c r="A46" s="228">
        <v>5</v>
      </c>
      <c r="B46" s="351" t="s">
        <v>3733</v>
      </c>
      <c r="C46" s="230" t="s">
        <v>3734</v>
      </c>
      <c r="D46" s="230"/>
      <c r="E46" s="230" t="s">
        <v>160</v>
      </c>
      <c r="F46" s="230" t="s">
        <v>1157</v>
      </c>
      <c r="G46" s="230" t="s">
        <v>42</v>
      </c>
      <c r="H46" s="231" t="s">
        <v>3735</v>
      </c>
      <c r="I46" s="230" t="s">
        <v>40</v>
      </c>
      <c r="J46" s="236">
        <v>5000</v>
      </c>
      <c r="K46" s="271">
        <v>1000</v>
      </c>
      <c r="L46" s="224" t="s">
        <v>147</v>
      </c>
      <c r="M46" s="224" t="s">
        <v>41</v>
      </c>
      <c r="O46" s="62">
        <f t="shared" si="0"/>
        <v>1000</v>
      </c>
    </row>
    <row r="47" spans="1:21" s="62" customFormat="1" x14ac:dyDescent="0.25">
      <c r="A47" s="228">
        <v>5</v>
      </c>
      <c r="B47" s="351" t="s">
        <v>1800</v>
      </c>
      <c r="C47" s="230" t="s">
        <v>1776</v>
      </c>
      <c r="D47" s="230"/>
      <c r="E47" s="230" t="s">
        <v>160</v>
      </c>
      <c r="F47" s="230" t="s">
        <v>973</v>
      </c>
      <c r="G47" s="230" t="s">
        <v>60</v>
      </c>
      <c r="H47" s="231" t="s">
        <v>3736</v>
      </c>
      <c r="I47" s="230" t="s">
        <v>40</v>
      </c>
      <c r="J47" s="236">
        <v>300</v>
      </c>
      <c r="K47" s="271">
        <v>60</v>
      </c>
      <c r="L47" s="224" t="s">
        <v>147</v>
      </c>
      <c r="M47" s="224" t="s">
        <v>41</v>
      </c>
      <c r="O47" s="62">
        <f t="shared" si="0"/>
        <v>60</v>
      </c>
    </row>
    <row r="48" spans="1:21" s="62" customFormat="1" x14ac:dyDescent="0.25">
      <c r="A48" s="228">
        <v>5</v>
      </c>
      <c r="B48" s="351" t="s">
        <v>3737</v>
      </c>
      <c r="C48" s="230" t="s">
        <v>2152</v>
      </c>
      <c r="D48" s="230"/>
      <c r="E48" s="230" t="s">
        <v>160</v>
      </c>
      <c r="F48" s="230" t="s">
        <v>703</v>
      </c>
      <c r="G48" s="230" t="s">
        <v>42</v>
      </c>
      <c r="H48" s="231" t="s">
        <v>3738</v>
      </c>
      <c r="I48" s="230" t="s">
        <v>40</v>
      </c>
      <c r="J48" s="236">
        <v>16000</v>
      </c>
      <c r="K48" s="271">
        <v>3200</v>
      </c>
      <c r="L48" s="224" t="s">
        <v>147</v>
      </c>
      <c r="M48" s="224" t="s">
        <v>41</v>
      </c>
      <c r="O48" s="62">
        <f t="shared" si="0"/>
        <v>3200</v>
      </c>
    </row>
    <row r="49" spans="1:19" s="62" customFormat="1" x14ac:dyDescent="0.25">
      <c r="A49" s="228">
        <v>6</v>
      </c>
      <c r="B49" s="351" t="s">
        <v>3739</v>
      </c>
      <c r="C49" s="230" t="s">
        <v>3740</v>
      </c>
      <c r="D49" s="230"/>
      <c r="E49" s="230" t="s">
        <v>160</v>
      </c>
      <c r="F49" s="230" t="s">
        <v>712</v>
      </c>
      <c r="G49" s="230" t="s">
        <v>61</v>
      </c>
      <c r="H49" s="231" t="s">
        <v>3741</v>
      </c>
      <c r="I49" s="230" t="s">
        <v>40</v>
      </c>
      <c r="J49" s="236">
        <v>3000</v>
      </c>
      <c r="K49" s="271" t="s">
        <v>152</v>
      </c>
      <c r="L49" s="224" t="s">
        <v>147</v>
      </c>
      <c r="M49" s="224" t="s">
        <v>41</v>
      </c>
      <c r="O49" s="62">
        <f t="shared" si="0"/>
        <v>600</v>
      </c>
    </row>
    <row r="50" spans="1:19" s="62" customFormat="1" x14ac:dyDescent="0.25">
      <c r="A50" s="228">
        <v>9</v>
      </c>
      <c r="B50" s="351" t="s">
        <v>2348</v>
      </c>
      <c r="C50" s="230" t="s">
        <v>2349</v>
      </c>
      <c r="D50" s="230"/>
      <c r="E50" s="230" t="s">
        <v>160</v>
      </c>
      <c r="F50" s="230" t="s">
        <v>273</v>
      </c>
      <c r="G50" s="230" t="s">
        <v>42</v>
      </c>
      <c r="H50" s="231" t="s">
        <v>1178</v>
      </c>
      <c r="I50" s="230" t="s">
        <v>40</v>
      </c>
      <c r="J50" s="236">
        <v>2000</v>
      </c>
      <c r="K50" s="271">
        <v>400</v>
      </c>
      <c r="L50" s="224" t="s">
        <v>147</v>
      </c>
      <c r="M50" s="224" t="s">
        <v>41</v>
      </c>
      <c r="O50" s="62">
        <f t="shared" si="0"/>
        <v>400</v>
      </c>
    </row>
    <row r="51" spans="1:19" s="62" customFormat="1" x14ac:dyDescent="0.25">
      <c r="A51" s="228">
        <v>9</v>
      </c>
      <c r="B51" s="351" t="s">
        <v>2899</v>
      </c>
      <c r="C51" s="230" t="s">
        <v>2900</v>
      </c>
      <c r="D51" s="230"/>
      <c r="E51" s="230" t="s">
        <v>160</v>
      </c>
      <c r="F51" s="230" t="s">
        <v>1792</v>
      </c>
      <c r="G51" s="230" t="s">
        <v>42</v>
      </c>
      <c r="H51" s="231" t="s">
        <v>3745</v>
      </c>
      <c r="I51" s="233" t="s">
        <v>40</v>
      </c>
      <c r="J51" s="236">
        <v>2000</v>
      </c>
      <c r="K51" s="271">
        <v>400</v>
      </c>
      <c r="L51" s="224" t="s">
        <v>147</v>
      </c>
      <c r="M51" s="224" t="s">
        <v>41</v>
      </c>
      <c r="O51" s="62">
        <f t="shared" si="0"/>
        <v>400</v>
      </c>
      <c r="S51" s="98"/>
    </row>
    <row r="52" spans="1:19" s="62" customFormat="1" x14ac:dyDescent="0.25">
      <c r="A52" s="228">
        <v>9</v>
      </c>
      <c r="B52" s="351" t="s">
        <v>2899</v>
      </c>
      <c r="C52" s="230" t="s">
        <v>2900</v>
      </c>
      <c r="D52" s="230"/>
      <c r="E52" s="230" t="s">
        <v>160</v>
      </c>
      <c r="F52" s="230" t="s">
        <v>1792</v>
      </c>
      <c r="G52" s="230" t="s">
        <v>42</v>
      </c>
      <c r="H52" s="231" t="s">
        <v>3745</v>
      </c>
      <c r="I52" s="450" t="s">
        <v>1911</v>
      </c>
      <c r="J52" s="236">
        <v>10</v>
      </c>
      <c r="K52" s="271">
        <v>100</v>
      </c>
      <c r="L52" s="224" t="s">
        <v>147</v>
      </c>
      <c r="M52" s="224" t="s">
        <v>41</v>
      </c>
      <c r="O52" s="62">
        <f t="shared" si="0"/>
        <v>2</v>
      </c>
    </row>
    <row r="53" spans="1:19" s="62" customFormat="1" x14ac:dyDescent="0.25">
      <c r="A53" s="228">
        <v>9</v>
      </c>
      <c r="B53" s="351" t="s">
        <v>1479</v>
      </c>
      <c r="C53" s="230" t="s">
        <v>3746</v>
      </c>
      <c r="D53" s="230"/>
      <c r="E53" s="283" t="s">
        <v>163</v>
      </c>
      <c r="F53" s="230" t="s">
        <v>3747</v>
      </c>
      <c r="G53" s="230" t="s">
        <v>60</v>
      </c>
      <c r="H53" s="231"/>
      <c r="I53" s="230" t="s">
        <v>40</v>
      </c>
      <c r="J53" s="236">
        <v>500</v>
      </c>
      <c r="K53" s="271">
        <v>100</v>
      </c>
      <c r="L53" s="224" t="s">
        <v>147</v>
      </c>
      <c r="M53" s="224" t="s">
        <v>41</v>
      </c>
      <c r="O53" s="62">
        <f t="shared" si="0"/>
        <v>100</v>
      </c>
    </row>
    <row r="54" spans="1:19" s="62" customFormat="1" x14ac:dyDescent="0.25">
      <c r="A54" s="228">
        <v>9</v>
      </c>
      <c r="B54" s="351" t="s">
        <v>3748</v>
      </c>
      <c r="C54" s="230" t="s">
        <v>3749</v>
      </c>
      <c r="D54" s="230"/>
      <c r="E54" s="230" t="s">
        <v>160</v>
      </c>
      <c r="F54" s="230" t="s">
        <v>58</v>
      </c>
      <c r="G54" s="230" t="s">
        <v>42</v>
      </c>
      <c r="H54" s="231" t="s">
        <v>3750</v>
      </c>
      <c r="I54" s="450" t="s">
        <v>1911</v>
      </c>
      <c r="J54" s="236">
        <v>20</v>
      </c>
      <c r="K54" s="271">
        <v>200</v>
      </c>
      <c r="L54" s="224" t="s">
        <v>147</v>
      </c>
      <c r="M54" s="224" t="s">
        <v>41</v>
      </c>
      <c r="O54" s="62">
        <f t="shared" si="0"/>
        <v>4</v>
      </c>
    </row>
    <row r="55" spans="1:19" s="62" customFormat="1" x14ac:dyDescent="0.25">
      <c r="A55" s="228">
        <v>9</v>
      </c>
      <c r="B55" s="351" t="s">
        <v>3751</v>
      </c>
      <c r="C55" s="230" t="s">
        <v>3752</v>
      </c>
      <c r="D55" s="230"/>
      <c r="E55" s="230" t="s">
        <v>160</v>
      </c>
      <c r="F55" s="230" t="s">
        <v>189</v>
      </c>
      <c r="G55" s="230" t="s">
        <v>42</v>
      </c>
      <c r="H55" s="231"/>
      <c r="I55" s="230" t="s">
        <v>40</v>
      </c>
      <c r="J55" s="236">
        <v>500</v>
      </c>
      <c r="K55" s="271" t="s">
        <v>152</v>
      </c>
      <c r="L55" s="224" t="s">
        <v>147</v>
      </c>
      <c r="M55" s="224" t="s">
        <v>41</v>
      </c>
      <c r="O55" s="62">
        <f t="shared" si="0"/>
        <v>100</v>
      </c>
    </row>
    <row r="56" spans="1:19" s="62" customFormat="1" x14ac:dyDescent="0.25">
      <c r="A56" s="228">
        <v>9</v>
      </c>
      <c r="B56" s="351" t="s">
        <v>3753</v>
      </c>
      <c r="C56" s="230" t="s">
        <v>1754</v>
      </c>
      <c r="D56" s="230"/>
      <c r="E56" s="230" t="s">
        <v>160</v>
      </c>
      <c r="F56" s="230" t="s">
        <v>189</v>
      </c>
      <c r="G56" s="230" t="s">
        <v>42</v>
      </c>
      <c r="H56" s="231" t="s">
        <v>3754</v>
      </c>
      <c r="I56" s="233" t="s">
        <v>40</v>
      </c>
      <c r="J56" s="236">
        <v>4500</v>
      </c>
      <c r="K56" s="271">
        <v>900</v>
      </c>
      <c r="L56" s="224" t="s">
        <v>147</v>
      </c>
      <c r="M56" s="224" t="s">
        <v>41</v>
      </c>
      <c r="O56" s="62">
        <f t="shared" si="0"/>
        <v>900</v>
      </c>
    </row>
    <row r="57" spans="1:19" s="62" customFormat="1" x14ac:dyDescent="0.25">
      <c r="A57" s="228">
        <v>9</v>
      </c>
      <c r="B57" s="351" t="s">
        <v>3755</v>
      </c>
      <c r="C57" s="230" t="s">
        <v>2450</v>
      </c>
      <c r="D57" s="230"/>
      <c r="E57" s="230" t="s">
        <v>160</v>
      </c>
      <c r="F57" s="230" t="s">
        <v>1619</v>
      </c>
      <c r="G57" s="230" t="s">
        <v>57</v>
      </c>
      <c r="H57" s="231" t="s">
        <v>3756</v>
      </c>
      <c r="I57" s="230" t="s">
        <v>40</v>
      </c>
      <c r="J57" s="236">
        <v>2000</v>
      </c>
      <c r="K57" s="271">
        <v>400</v>
      </c>
      <c r="L57" s="224" t="s">
        <v>147</v>
      </c>
      <c r="M57" s="224" t="s">
        <v>41</v>
      </c>
      <c r="O57" s="62">
        <f t="shared" si="0"/>
        <v>400</v>
      </c>
    </row>
    <row r="58" spans="1:19" s="62" customFormat="1" x14ac:dyDescent="0.25">
      <c r="A58" s="228">
        <v>9</v>
      </c>
      <c r="B58" s="351" t="s">
        <v>3757</v>
      </c>
      <c r="C58" s="230" t="s">
        <v>3758</v>
      </c>
      <c r="D58" s="230"/>
      <c r="E58" s="283" t="s">
        <v>163</v>
      </c>
      <c r="F58" s="230" t="s">
        <v>3759</v>
      </c>
      <c r="G58" s="230" t="s">
        <v>68</v>
      </c>
      <c r="H58" s="231" t="s">
        <v>3760</v>
      </c>
      <c r="I58" s="463" t="s">
        <v>377</v>
      </c>
      <c r="J58" s="236">
        <v>144</v>
      </c>
      <c r="K58" s="271" t="s">
        <v>152</v>
      </c>
      <c r="L58" s="224" t="s">
        <v>147</v>
      </c>
      <c r="M58" s="224" t="s">
        <v>41</v>
      </c>
      <c r="O58" s="62">
        <f t="shared" si="0"/>
        <v>28.8</v>
      </c>
    </row>
    <row r="59" spans="1:19" s="62" customFormat="1" x14ac:dyDescent="0.25">
      <c r="A59" s="228">
        <v>9</v>
      </c>
      <c r="B59" s="351" t="s">
        <v>3761</v>
      </c>
      <c r="C59" s="230" t="s">
        <v>2268</v>
      </c>
      <c r="D59" s="230"/>
      <c r="E59" s="230" t="s">
        <v>160</v>
      </c>
      <c r="F59" s="230" t="s">
        <v>331</v>
      </c>
      <c r="G59" s="230" t="s">
        <v>54</v>
      </c>
      <c r="H59" s="231" t="s">
        <v>3762</v>
      </c>
      <c r="I59" s="233" t="s">
        <v>40</v>
      </c>
      <c r="J59" s="236">
        <v>2000</v>
      </c>
      <c r="K59" s="271">
        <v>400</v>
      </c>
      <c r="L59" s="224" t="s">
        <v>147</v>
      </c>
      <c r="M59" s="224" t="s">
        <v>41</v>
      </c>
      <c r="O59" s="62">
        <f t="shared" si="0"/>
        <v>400</v>
      </c>
    </row>
    <row r="60" spans="1:19" s="62" customFormat="1" x14ac:dyDescent="0.25">
      <c r="A60" s="228">
        <v>9</v>
      </c>
      <c r="B60" s="351" t="s">
        <v>3763</v>
      </c>
      <c r="C60" s="230" t="s">
        <v>3764</v>
      </c>
      <c r="D60" s="230"/>
      <c r="E60" s="230" t="s">
        <v>160</v>
      </c>
      <c r="F60" s="230" t="s">
        <v>1243</v>
      </c>
      <c r="G60" s="230" t="s">
        <v>54</v>
      </c>
      <c r="H60" s="231" t="s">
        <v>3765</v>
      </c>
      <c r="I60" s="233" t="s">
        <v>40</v>
      </c>
      <c r="J60" s="236">
        <v>500</v>
      </c>
      <c r="K60" s="271">
        <v>100</v>
      </c>
      <c r="L60" s="224" t="s">
        <v>147</v>
      </c>
      <c r="M60" s="224" t="s">
        <v>41</v>
      </c>
      <c r="O60" s="62">
        <f t="shared" si="0"/>
        <v>100</v>
      </c>
      <c r="R60" s="325"/>
    </row>
    <row r="61" spans="1:19" s="62" customFormat="1" x14ac:dyDescent="0.25">
      <c r="A61" s="228">
        <v>9</v>
      </c>
      <c r="B61" s="351" t="s">
        <v>3724</v>
      </c>
      <c r="C61" s="230" t="s">
        <v>3725</v>
      </c>
      <c r="D61" s="230"/>
      <c r="E61" s="230" t="s">
        <v>160</v>
      </c>
      <c r="F61" s="230" t="s">
        <v>3726</v>
      </c>
      <c r="G61" s="230" t="s">
        <v>48</v>
      </c>
      <c r="H61" s="231" t="s">
        <v>3727</v>
      </c>
      <c r="I61" s="450" t="s">
        <v>1911</v>
      </c>
      <c r="J61" s="236">
        <v>7</v>
      </c>
      <c r="K61" s="271">
        <v>70</v>
      </c>
      <c r="L61" s="224" t="s">
        <v>147</v>
      </c>
      <c r="M61" s="224" t="s">
        <v>41</v>
      </c>
      <c r="O61" s="62">
        <f t="shared" si="0"/>
        <v>1.4</v>
      </c>
      <c r="R61" s="325"/>
    </row>
    <row r="62" spans="1:19" s="62" customFormat="1" x14ac:dyDescent="0.25">
      <c r="A62" s="228">
        <v>9</v>
      </c>
      <c r="B62" s="351" t="s">
        <v>3766</v>
      </c>
      <c r="C62" s="230" t="s">
        <v>3767</v>
      </c>
      <c r="D62" s="230"/>
      <c r="E62" s="230" t="s">
        <v>160</v>
      </c>
      <c r="F62" s="230" t="s">
        <v>3768</v>
      </c>
      <c r="G62" s="230" t="s">
        <v>70</v>
      </c>
      <c r="H62" s="231" t="s">
        <v>3769</v>
      </c>
      <c r="I62" s="230" t="s">
        <v>40</v>
      </c>
      <c r="J62" s="236">
        <v>200</v>
      </c>
      <c r="K62" s="271">
        <v>40</v>
      </c>
      <c r="L62" s="224" t="s">
        <v>147</v>
      </c>
      <c r="M62" s="224" t="s">
        <v>41</v>
      </c>
      <c r="O62" s="62">
        <f t="shared" si="0"/>
        <v>40</v>
      </c>
      <c r="R62" s="325"/>
    </row>
    <row r="63" spans="1:19" x14ac:dyDescent="0.25">
      <c r="A63" s="228">
        <v>9</v>
      </c>
      <c r="B63" s="351" t="s">
        <v>2166</v>
      </c>
      <c r="C63" s="230" t="s">
        <v>2167</v>
      </c>
      <c r="D63" s="230"/>
      <c r="E63" s="230" t="s">
        <v>160</v>
      </c>
      <c r="F63" s="230" t="s">
        <v>344</v>
      </c>
      <c r="G63" s="230" t="s">
        <v>54</v>
      </c>
      <c r="H63" s="231"/>
      <c r="I63" s="230" t="s">
        <v>40</v>
      </c>
      <c r="J63" s="236">
        <v>1000</v>
      </c>
      <c r="K63" s="271">
        <v>300</v>
      </c>
      <c r="L63" s="224" t="s">
        <v>147</v>
      </c>
      <c r="M63" s="224" t="s">
        <v>41</v>
      </c>
      <c r="O63">
        <f t="shared" si="0"/>
        <v>200</v>
      </c>
    </row>
    <row r="64" spans="1:19" x14ac:dyDescent="0.25">
      <c r="A64" s="228">
        <v>9</v>
      </c>
      <c r="B64" s="351" t="s">
        <v>3770</v>
      </c>
      <c r="C64" s="230" t="s">
        <v>1743</v>
      </c>
      <c r="D64" s="230"/>
      <c r="E64" s="230" t="s">
        <v>160</v>
      </c>
      <c r="F64" s="230" t="s">
        <v>189</v>
      </c>
      <c r="G64" s="230" t="s">
        <v>42</v>
      </c>
      <c r="H64" s="231"/>
      <c r="I64" s="233" t="s">
        <v>40</v>
      </c>
      <c r="J64" s="236">
        <v>2500</v>
      </c>
      <c r="K64" s="271">
        <v>500</v>
      </c>
      <c r="L64" s="224" t="s">
        <v>147</v>
      </c>
      <c r="M64" s="224" t="s">
        <v>41</v>
      </c>
      <c r="O64">
        <f t="shared" si="0"/>
        <v>500</v>
      </c>
    </row>
    <row r="65" spans="1:15" x14ac:dyDescent="0.25">
      <c r="A65" s="246">
        <v>9</v>
      </c>
      <c r="B65" s="352" t="s">
        <v>3171</v>
      </c>
      <c r="C65" s="233" t="s">
        <v>1932</v>
      </c>
      <c r="D65" s="233"/>
      <c r="E65" s="230" t="s">
        <v>160</v>
      </c>
      <c r="F65" s="230" t="s">
        <v>523</v>
      </c>
      <c r="G65" s="230" t="s">
        <v>42</v>
      </c>
      <c r="H65" s="231"/>
      <c r="I65" s="233" t="s">
        <v>40</v>
      </c>
      <c r="J65" s="236">
        <v>1000</v>
      </c>
      <c r="K65" s="271">
        <v>200</v>
      </c>
      <c r="L65" s="224" t="s">
        <v>147</v>
      </c>
      <c r="M65" s="224" t="s">
        <v>41</v>
      </c>
      <c r="O65">
        <f t="shared" si="0"/>
        <v>200</v>
      </c>
    </row>
    <row r="66" spans="1:15" x14ac:dyDescent="0.25">
      <c r="A66" s="273">
        <v>9</v>
      </c>
      <c r="B66" s="352" t="s">
        <v>2574</v>
      </c>
      <c r="C66" s="233" t="s">
        <v>3771</v>
      </c>
      <c r="D66" s="233"/>
      <c r="E66" s="230" t="s">
        <v>160</v>
      </c>
      <c r="F66" s="230" t="s">
        <v>1770</v>
      </c>
      <c r="G66" s="230" t="s">
        <v>42</v>
      </c>
      <c r="H66" s="231"/>
      <c r="I66" s="233" t="s">
        <v>40</v>
      </c>
      <c r="J66" s="236">
        <v>3000</v>
      </c>
      <c r="K66" s="271">
        <v>600</v>
      </c>
      <c r="L66" s="230" t="s">
        <v>147</v>
      </c>
      <c r="M66" s="230" t="s">
        <v>41</v>
      </c>
      <c r="O66">
        <f t="shared" si="0"/>
        <v>600</v>
      </c>
    </row>
    <row r="67" spans="1:15" x14ac:dyDescent="0.25">
      <c r="A67" s="246">
        <v>11</v>
      </c>
      <c r="B67" s="352" t="s">
        <v>3777</v>
      </c>
      <c r="C67" s="233" t="s">
        <v>3778</v>
      </c>
      <c r="D67" s="233"/>
      <c r="E67" s="283" t="s">
        <v>163</v>
      </c>
      <c r="F67" s="230" t="s">
        <v>180</v>
      </c>
      <c r="G67" s="458" t="s">
        <v>81</v>
      </c>
      <c r="H67" s="231" t="s">
        <v>3775</v>
      </c>
      <c r="I67" s="450" t="s">
        <v>1911</v>
      </c>
      <c r="J67" s="236">
        <v>30</v>
      </c>
      <c r="K67" s="271">
        <v>300</v>
      </c>
      <c r="L67" s="224" t="s">
        <v>147</v>
      </c>
      <c r="M67" s="224" t="s">
        <v>41</v>
      </c>
      <c r="O67">
        <f t="shared" si="0"/>
        <v>6</v>
      </c>
    </row>
    <row r="68" spans="1:15" x14ac:dyDescent="0.25">
      <c r="A68" s="246">
        <v>11</v>
      </c>
      <c r="B68" s="352" t="s">
        <v>3779</v>
      </c>
      <c r="C68" s="233" t="s">
        <v>3780</v>
      </c>
      <c r="D68" s="233"/>
      <c r="E68" s="230" t="s">
        <v>160</v>
      </c>
      <c r="F68" s="230" t="s">
        <v>180</v>
      </c>
      <c r="G68" s="230" t="s">
        <v>57</v>
      </c>
      <c r="H68" s="231" t="s">
        <v>3781</v>
      </c>
      <c r="I68" s="463" t="s">
        <v>377</v>
      </c>
      <c r="J68" s="236">
        <v>3000</v>
      </c>
      <c r="K68" s="271">
        <v>600</v>
      </c>
      <c r="L68" s="224" t="s">
        <v>147</v>
      </c>
      <c r="M68" s="224" t="s">
        <v>41</v>
      </c>
      <c r="O68">
        <f t="shared" si="0"/>
        <v>600</v>
      </c>
    </row>
    <row r="69" spans="1:15" x14ac:dyDescent="0.25">
      <c r="A69" s="246">
        <v>11</v>
      </c>
      <c r="B69" s="352" t="s">
        <v>1973</v>
      </c>
      <c r="C69" s="233" t="s">
        <v>1449</v>
      </c>
      <c r="D69" s="233"/>
      <c r="E69" s="230" t="s">
        <v>160</v>
      </c>
      <c r="F69" s="230" t="s">
        <v>169</v>
      </c>
      <c r="G69" s="230" t="s">
        <v>45</v>
      </c>
      <c r="H69" s="231" t="s">
        <v>3782</v>
      </c>
      <c r="I69" s="233" t="s">
        <v>40</v>
      </c>
      <c r="J69" s="236">
        <v>1500</v>
      </c>
      <c r="K69" s="271">
        <v>300</v>
      </c>
      <c r="L69" s="224" t="s">
        <v>147</v>
      </c>
      <c r="M69" s="224" t="s">
        <v>41</v>
      </c>
      <c r="O69">
        <f t="shared" si="0"/>
        <v>300</v>
      </c>
    </row>
    <row r="70" spans="1:15" x14ac:dyDescent="0.25">
      <c r="A70" s="246">
        <v>11</v>
      </c>
      <c r="B70" s="352" t="s">
        <v>2293</v>
      </c>
      <c r="C70" s="233" t="s">
        <v>2294</v>
      </c>
      <c r="D70" s="233"/>
      <c r="E70" s="283" t="s">
        <v>163</v>
      </c>
      <c r="F70" s="230" t="s">
        <v>167</v>
      </c>
      <c r="G70" s="230" t="s">
        <v>43</v>
      </c>
      <c r="H70" s="231" t="s">
        <v>1011</v>
      </c>
      <c r="I70" s="233" t="s">
        <v>40</v>
      </c>
      <c r="J70" s="236">
        <v>6000</v>
      </c>
      <c r="K70" s="271">
        <v>1200</v>
      </c>
      <c r="L70" s="224" t="s">
        <v>147</v>
      </c>
      <c r="M70" s="224" t="s">
        <v>41</v>
      </c>
      <c r="O70">
        <f t="shared" si="0"/>
        <v>1200</v>
      </c>
    </row>
    <row r="71" spans="1:15" x14ac:dyDescent="0.25">
      <c r="A71" s="246">
        <v>11</v>
      </c>
      <c r="B71" s="352" t="s">
        <v>3783</v>
      </c>
      <c r="C71" s="233" t="s">
        <v>3784</v>
      </c>
      <c r="D71" s="233"/>
      <c r="E71" s="230" t="s">
        <v>160</v>
      </c>
      <c r="F71" s="230" t="s">
        <v>226</v>
      </c>
      <c r="G71" s="230" t="s">
        <v>43</v>
      </c>
      <c r="H71" s="231" t="s">
        <v>3785</v>
      </c>
      <c r="I71" s="233" t="s">
        <v>40</v>
      </c>
      <c r="J71" s="236">
        <v>2000</v>
      </c>
      <c r="K71" s="271">
        <v>400</v>
      </c>
      <c r="L71" s="224" t="s">
        <v>147</v>
      </c>
      <c r="M71" s="224" t="s">
        <v>41</v>
      </c>
      <c r="O71">
        <f t="shared" si="0"/>
        <v>400</v>
      </c>
    </row>
    <row r="72" spans="1:15" x14ac:dyDescent="0.25">
      <c r="A72" s="246">
        <v>11</v>
      </c>
      <c r="B72" s="352" t="s">
        <v>1989</v>
      </c>
      <c r="C72" s="233" t="s">
        <v>3786</v>
      </c>
      <c r="D72" s="233"/>
      <c r="E72" s="230" t="s">
        <v>160</v>
      </c>
      <c r="F72" s="230" t="s">
        <v>880</v>
      </c>
      <c r="G72" s="230" t="s">
        <v>47</v>
      </c>
      <c r="H72" s="231" t="s">
        <v>3787</v>
      </c>
      <c r="I72" s="230" t="s">
        <v>40</v>
      </c>
      <c r="J72" s="236">
        <v>1000</v>
      </c>
      <c r="K72" s="271">
        <v>200</v>
      </c>
      <c r="L72" s="224" t="s">
        <v>147</v>
      </c>
      <c r="M72" s="224" t="s">
        <v>41</v>
      </c>
      <c r="O72">
        <f t="shared" si="0"/>
        <v>200</v>
      </c>
    </row>
    <row r="73" spans="1:15" x14ac:dyDescent="0.25">
      <c r="A73" s="246">
        <v>11</v>
      </c>
      <c r="B73" s="352" t="s">
        <v>3788</v>
      </c>
      <c r="C73" s="233" t="s">
        <v>3789</v>
      </c>
      <c r="D73" s="233"/>
      <c r="E73" s="230" t="s">
        <v>160</v>
      </c>
      <c r="F73" s="230" t="s">
        <v>538</v>
      </c>
      <c r="G73" s="230" t="s">
        <v>49</v>
      </c>
      <c r="H73" s="231" t="s">
        <v>3790</v>
      </c>
      <c r="I73" s="230" t="s">
        <v>40</v>
      </c>
      <c r="J73" s="236">
        <v>2500</v>
      </c>
      <c r="K73" s="271">
        <v>500</v>
      </c>
      <c r="L73" s="224" t="s">
        <v>147</v>
      </c>
      <c r="M73" s="224" t="s">
        <v>41</v>
      </c>
      <c r="O73">
        <f t="shared" si="0"/>
        <v>500</v>
      </c>
    </row>
    <row r="74" spans="1:15" x14ac:dyDescent="0.25">
      <c r="A74" s="246">
        <v>11</v>
      </c>
      <c r="B74" s="352" t="s">
        <v>3788</v>
      </c>
      <c r="C74" s="233" t="s">
        <v>3789</v>
      </c>
      <c r="D74" s="233"/>
      <c r="E74" s="230" t="s">
        <v>160</v>
      </c>
      <c r="F74" s="230" t="s">
        <v>538</v>
      </c>
      <c r="G74" s="230" t="s">
        <v>49</v>
      </c>
      <c r="H74" s="231" t="s">
        <v>3790</v>
      </c>
      <c r="I74" s="463" t="s">
        <v>377</v>
      </c>
      <c r="J74" s="236">
        <v>500</v>
      </c>
      <c r="K74" s="271">
        <v>100</v>
      </c>
      <c r="L74" s="224" t="s">
        <v>147</v>
      </c>
      <c r="M74" s="224" t="s">
        <v>41</v>
      </c>
      <c r="O74">
        <f t="shared" si="0"/>
        <v>100</v>
      </c>
    </row>
    <row r="75" spans="1:15" x14ac:dyDescent="0.25">
      <c r="A75" s="246">
        <v>11</v>
      </c>
      <c r="B75" s="352" t="s">
        <v>1487</v>
      </c>
      <c r="C75" s="233" t="s">
        <v>3791</v>
      </c>
      <c r="D75" s="233"/>
      <c r="E75" s="230" t="s">
        <v>160</v>
      </c>
      <c r="F75" s="230" t="s">
        <v>814</v>
      </c>
      <c r="G75" s="230" t="s">
        <v>61</v>
      </c>
      <c r="H75" s="231"/>
      <c r="I75" s="233" t="s">
        <v>40</v>
      </c>
      <c r="J75" s="236">
        <v>500</v>
      </c>
      <c r="K75" s="271" t="s">
        <v>152</v>
      </c>
      <c r="L75" s="224" t="s">
        <v>147</v>
      </c>
      <c r="M75" s="224" t="s">
        <v>41</v>
      </c>
      <c r="O75">
        <f t="shared" si="0"/>
        <v>100</v>
      </c>
    </row>
    <row r="76" spans="1:15" x14ac:dyDescent="0.25">
      <c r="A76" s="246">
        <v>11</v>
      </c>
      <c r="B76" s="352" t="s">
        <v>3792</v>
      </c>
      <c r="C76" s="233" t="s">
        <v>3793</v>
      </c>
      <c r="D76" s="233"/>
      <c r="E76" s="230" t="s">
        <v>160</v>
      </c>
      <c r="F76" s="230" t="s">
        <v>814</v>
      </c>
      <c r="G76" s="230" t="s">
        <v>61</v>
      </c>
      <c r="H76" s="231" t="s">
        <v>3794</v>
      </c>
      <c r="I76" s="230" t="s">
        <v>40</v>
      </c>
      <c r="J76" s="236">
        <v>500</v>
      </c>
      <c r="K76" s="271" t="s">
        <v>152</v>
      </c>
      <c r="L76" s="224" t="s">
        <v>147</v>
      </c>
      <c r="M76" s="224" t="s">
        <v>41</v>
      </c>
      <c r="O76">
        <f t="shared" si="0"/>
        <v>100</v>
      </c>
    </row>
    <row r="77" spans="1:15" x14ac:dyDescent="0.25">
      <c r="A77" s="246">
        <v>11</v>
      </c>
      <c r="B77" s="352" t="s">
        <v>1487</v>
      </c>
      <c r="C77" s="233" t="s">
        <v>3795</v>
      </c>
      <c r="D77" s="233"/>
      <c r="E77" s="230" t="s">
        <v>160</v>
      </c>
      <c r="F77" s="230" t="s">
        <v>814</v>
      </c>
      <c r="G77" s="230" t="s">
        <v>61</v>
      </c>
      <c r="H77" s="231" t="s">
        <v>3796</v>
      </c>
      <c r="I77" s="230" t="s">
        <v>40</v>
      </c>
      <c r="J77" s="236">
        <v>500</v>
      </c>
      <c r="K77" s="271" t="s">
        <v>152</v>
      </c>
      <c r="L77" s="224" t="s">
        <v>147</v>
      </c>
      <c r="M77" s="224" t="s">
        <v>41</v>
      </c>
      <c r="O77">
        <f t="shared" si="0"/>
        <v>100</v>
      </c>
    </row>
    <row r="78" spans="1:15" x14ac:dyDescent="0.25">
      <c r="A78" s="246">
        <v>11</v>
      </c>
      <c r="B78" s="352" t="s">
        <v>1487</v>
      </c>
      <c r="C78" s="233" t="s">
        <v>3797</v>
      </c>
      <c r="D78" s="233" t="s">
        <v>3412</v>
      </c>
      <c r="E78" s="230" t="s">
        <v>160</v>
      </c>
      <c r="F78" s="230" t="s">
        <v>814</v>
      </c>
      <c r="G78" s="230" t="s">
        <v>61</v>
      </c>
      <c r="H78" s="231" t="s">
        <v>3798</v>
      </c>
      <c r="I78" s="233" t="s">
        <v>40</v>
      </c>
      <c r="J78" s="236">
        <v>500</v>
      </c>
      <c r="K78" s="271" t="s">
        <v>152</v>
      </c>
      <c r="L78" s="224" t="s">
        <v>147</v>
      </c>
      <c r="M78" s="224" t="s">
        <v>41</v>
      </c>
      <c r="O78">
        <f t="shared" si="0"/>
        <v>100</v>
      </c>
    </row>
    <row r="79" spans="1:15" x14ac:dyDescent="0.25">
      <c r="A79" s="246">
        <v>12</v>
      </c>
      <c r="B79" s="352" t="s">
        <v>3799</v>
      </c>
      <c r="C79" s="233" t="s">
        <v>3800</v>
      </c>
      <c r="D79" s="233"/>
      <c r="E79" s="230" t="s">
        <v>160</v>
      </c>
      <c r="F79" s="230" t="s">
        <v>3801</v>
      </c>
      <c r="G79" s="230" t="s">
        <v>69</v>
      </c>
      <c r="H79" s="231" t="s">
        <v>3802</v>
      </c>
      <c r="I79" s="233" t="s">
        <v>40</v>
      </c>
      <c r="J79" s="236">
        <v>2200</v>
      </c>
      <c r="K79" s="271" t="s">
        <v>152</v>
      </c>
      <c r="L79" s="224" t="s">
        <v>147</v>
      </c>
      <c r="M79" s="224" t="s">
        <v>41</v>
      </c>
      <c r="O79">
        <f t="shared" si="0"/>
        <v>440</v>
      </c>
    </row>
    <row r="80" spans="1:15" x14ac:dyDescent="0.25">
      <c r="A80" s="273">
        <v>12</v>
      </c>
      <c r="B80" s="352" t="s">
        <v>3803</v>
      </c>
      <c r="C80" s="233" t="s">
        <v>1971</v>
      </c>
      <c r="D80" s="233"/>
      <c r="E80" s="230" t="s">
        <v>160</v>
      </c>
      <c r="F80" s="230" t="s">
        <v>618</v>
      </c>
      <c r="G80" s="230" t="s">
        <v>43</v>
      </c>
      <c r="H80" s="231"/>
      <c r="I80" s="230" t="s">
        <v>40</v>
      </c>
      <c r="J80" s="236">
        <v>700</v>
      </c>
      <c r="K80" s="271">
        <v>140</v>
      </c>
      <c r="L80" s="224" t="s">
        <v>147</v>
      </c>
      <c r="M80" s="224" t="s">
        <v>41</v>
      </c>
      <c r="O80">
        <f t="shared" si="0"/>
        <v>140</v>
      </c>
    </row>
    <row r="81" spans="1:15" ht="15.75" x14ac:dyDescent="0.25">
      <c r="A81" s="514">
        <v>17</v>
      </c>
      <c r="B81" s="352" t="s">
        <v>1847</v>
      </c>
      <c r="C81" s="233" t="s">
        <v>3805</v>
      </c>
      <c r="D81" s="515" t="s">
        <v>3806</v>
      </c>
      <c r="E81" s="283" t="s">
        <v>163</v>
      </c>
      <c r="F81" s="230" t="s">
        <v>290</v>
      </c>
      <c r="G81" s="230" t="s">
        <v>42</v>
      </c>
      <c r="H81" s="231"/>
      <c r="I81" s="233" t="s">
        <v>40</v>
      </c>
      <c r="J81" s="236">
        <v>200</v>
      </c>
      <c r="K81" s="516">
        <v>40</v>
      </c>
      <c r="L81" s="224" t="s">
        <v>147</v>
      </c>
      <c r="M81" s="224" t="s">
        <v>41</v>
      </c>
      <c r="O81">
        <f t="shared" si="0"/>
        <v>40</v>
      </c>
    </row>
    <row r="82" spans="1:15" ht="15.75" x14ac:dyDescent="0.25">
      <c r="A82" s="522">
        <v>17</v>
      </c>
      <c r="B82" s="352" t="s">
        <v>3807</v>
      </c>
      <c r="C82" s="233" t="s">
        <v>3808</v>
      </c>
      <c r="D82" s="515" t="s">
        <v>3192</v>
      </c>
      <c r="E82" s="230" t="s">
        <v>160</v>
      </c>
      <c r="F82" s="230" t="s">
        <v>907</v>
      </c>
      <c r="G82" s="230" t="s">
        <v>47</v>
      </c>
      <c r="H82" s="231"/>
      <c r="I82" s="230" t="s">
        <v>40</v>
      </c>
      <c r="J82" s="236">
        <v>1000</v>
      </c>
      <c r="K82" s="516">
        <v>200</v>
      </c>
      <c r="L82" s="224" t="s">
        <v>147</v>
      </c>
      <c r="M82" s="224" t="s">
        <v>41</v>
      </c>
      <c r="O82">
        <f t="shared" si="0"/>
        <v>200</v>
      </c>
    </row>
    <row r="83" spans="1:15" x14ac:dyDescent="0.25">
      <c r="A83" s="514">
        <v>17</v>
      </c>
      <c r="B83" s="352" t="s">
        <v>1432</v>
      </c>
      <c r="C83" s="233" t="s">
        <v>1818</v>
      </c>
      <c r="D83" s="233"/>
      <c r="E83" s="230" t="s">
        <v>160</v>
      </c>
      <c r="F83" s="230" t="s">
        <v>3826</v>
      </c>
      <c r="G83" s="230" t="s">
        <v>54</v>
      </c>
      <c r="H83" s="231"/>
      <c r="I83" s="233" t="s">
        <v>40</v>
      </c>
      <c r="J83" s="236">
        <v>1000</v>
      </c>
      <c r="K83" s="516">
        <v>200</v>
      </c>
      <c r="L83" s="224" t="s">
        <v>147</v>
      </c>
      <c r="M83" s="224" t="s">
        <v>41</v>
      </c>
      <c r="O83">
        <f t="shared" si="0"/>
        <v>200</v>
      </c>
    </row>
    <row r="84" spans="1:15" x14ac:dyDescent="0.25">
      <c r="A84" s="514">
        <v>17</v>
      </c>
      <c r="B84" s="352" t="s">
        <v>3809</v>
      </c>
      <c r="C84" s="233" t="s">
        <v>1449</v>
      </c>
      <c r="D84" s="233"/>
      <c r="E84" s="230" t="s">
        <v>160</v>
      </c>
      <c r="F84" s="230"/>
      <c r="G84" s="230"/>
      <c r="H84" s="231"/>
      <c r="I84" s="230" t="s">
        <v>40</v>
      </c>
      <c r="J84" s="236">
        <v>300</v>
      </c>
      <c r="K84" s="516">
        <v>60</v>
      </c>
      <c r="L84" s="224" t="s">
        <v>147</v>
      </c>
      <c r="M84" s="224" t="s">
        <v>41</v>
      </c>
      <c r="O84">
        <f t="shared" si="0"/>
        <v>60</v>
      </c>
    </row>
    <row r="85" spans="1:15" x14ac:dyDescent="0.25">
      <c r="A85" s="514">
        <v>17</v>
      </c>
      <c r="B85" s="352" t="s">
        <v>1285</v>
      </c>
      <c r="C85" s="233" t="s">
        <v>2436</v>
      </c>
      <c r="D85" s="233"/>
      <c r="E85" s="230" t="s">
        <v>160</v>
      </c>
      <c r="F85" s="230" t="s">
        <v>194</v>
      </c>
      <c r="G85" s="230" t="s">
        <v>43</v>
      </c>
      <c r="H85" s="231"/>
      <c r="I85" s="230" t="s">
        <v>40</v>
      </c>
      <c r="J85" s="236">
        <v>3000</v>
      </c>
      <c r="K85" s="516">
        <v>600</v>
      </c>
      <c r="L85" s="224" t="s">
        <v>147</v>
      </c>
      <c r="M85" s="224" t="s">
        <v>41</v>
      </c>
      <c r="O85">
        <f t="shared" si="0"/>
        <v>600</v>
      </c>
    </row>
    <row r="86" spans="1:15" x14ac:dyDescent="0.25">
      <c r="A86" s="514">
        <v>17</v>
      </c>
      <c r="B86" s="352" t="s">
        <v>1414</v>
      </c>
      <c r="C86" s="233" t="s">
        <v>3810</v>
      </c>
      <c r="D86" s="233" t="s">
        <v>3138</v>
      </c>
      <c r="E86" s="230" t="s">
        <v>160</v>
      </c>
      <c r="F86" s="230" t="s">
        <v>1151</v>
      </c>
      <c r="G86" s="230" t="s">
        <v>49</v>
      </c>
      <c r="H86" s="231"/>
      <c r="I86" s="233" t="s">
        <v>40</v>
      </c>
      <c r="J86" s="236">
        <v>3200</v>
      </c>
      <c r="K86" s="516">
        <v>960</v>
      </c>
      <c r="L86" s="224" t="s">
        <v>147</v>
      </c>
      <c r="M86" s="224" t="s">
        <v>41</v>
      </c>
      <c r="O86">
        <f t="shared" si="0"/>
        <v>640</v>
      </c>
    </row>
    <row r="87" spans="1:15" x14ac:dyDescent="0.25">
      <c r="A87" s="514">
        <v>17</v>
      </c>
      <c r="B87" s="352" t="s">
        <v>3811</v>
      </c>
      <c r="C87" s="233" t="s">
        <v>1836</v>
      </c>
      <c r="D87" s="233"/>
      <c r="E87" s="230" t="s">
        <v>160</v>
      </c>
      <c r="F87" s="230" t="s">
        <v>167</v>
      </c>
      <c r="G87" s="230" t="s">
        <v>57</v>
      </c>
      <c r="H87" s="231"/>
      <c r="I87" s="230" t="s">
        <v>40</v>
      </c>
      <c r="J87" s="236">
        <v>1500</v>
      </c>
      <c r="K87" s="516">
        <v>300</v>
      </c>
      <c r="L87" s="224" t="s">
        <v>147</v>
      </c>
      <c r="M87" s="224" t="s">
        <v>41</v>
      </c>
      <c r="O87">
        <f t="shared" si="0"/>
        <v>300</v>
      </c>
    </row>
    <row r="88" spans="1:15" x14ac:dyDescent="0.25">
      <c r="A88" s="514">
        <v>17</v>
      </c>
      <c r="B88" s="352" t="s">
        <v>1784</v>
      </c>
      <c r="C88" s="233" t="s">
        <v>3812</v>
      </c>
      <c r="D88" s="233" t="s">
        <v>3260</v>
      </c>
      <c r="E88" s="283" t="s">
        <v>163</v>
      </c>
      <c r="F88" s="230"/>
      <c r="G88" s="230" t="s">
        <v>49</v>
      </c>
      <c r="H88" s="231"/>
      <c r="I88" s="233" t="s">
        <v>40</v>
      </c>
      <c r="J88" s="236">
        <v>1000</v>
      </c>
      <c r="K88" s="516">
        <v>200</v>
      </c>
      <c r="L88" s="224" t="s">
        <v>147</v>
      </c>
      <c r="M88" s="224" t="s">
        <v>41</v>
      </c>
      <c r="O88">
        <f t="shared" si="0"/>
        <v>200</v>
      </c>
    </row>
    <row r="89" spans="1:15" x14ac:dyDescent="0.25">
      <c r="A89" s="514">
        <v>17</v>
      </c>
      <c r="B89" s="352" t="s">
        <v>1784</v>
      </c>
      <c r="C89" s="233" t="s">
        <v>3812</v>
      </c>
      <c r="D89" s="233" t="s">
        <v>3260</v>
      </c>
      <c r="E89" s="283" t="s">
        <v>163</v>
      </c>
      <c r="F89" s="230"/>
      <c r="G89" s="230" t="s">
        <v>49</v>
      </c>
      <c r="H89" s="231"/>
      <c r="I89" s="450" t="s">
        <v>1911</v>
      </c>
      <c r="J89" s="236">
        <v>10</v>
      </c>
      <c r="K89" s="516">
        <v>100</v>
      </c>
      <c r="L89" s="224" t="s">
        <v>147</v>
      </c>
      <c r="M89" s="224" t="s">
        <v>41</v>
      </c>
      <c r="O89">
        <f t="shared" si="0"/>
        <v>2</v>
      </c>
    </row>
    <row r="90" spans="1:15" x14ac:dyDescent="0.25">
      <c r="A90" s="514">
        <v>17</v>
      </c>
      <c r="B90" s="352" t="s">
        <v>1280</v>
      </c>
      <c r="C90" s="233" t="s">
        <v>3813</v>
      </c>
      <c r="D90" s="233"/>
      <c r="E90" s="230" t="s">
        <v>160</v>
      </c>
      <c r="F90" s="230" t="s">
        <v>321</v>
      </c>
      <c r="G90" s="230" t="s">
        <v>42</v>
      </c>
      <c r="H90" s="231"/>
      <c r="I90" s="230" t="s">
        <v>40</v>
      </c>
      <c r="J90" s="236">
        <v>500</v>
      </c>
      <c r="K90" s="516">
        <v>100</v>
      </c>
      <c r="L90" s="224" t="s">
        <v>147</v>
      </c>
      <c r="M90" s="224" t="s">
        <v>41</v>
      </c>
      <c r="O90">
        <f t="shared" si="0"/>
        <v>100</v>
      </c>
    </row>
    <row r="91" spans="1:15" x14ac:dyDescent="0.25">
      <c r="A91" s="514">
        <v>17</v>
      </c>
      <c r="B91" s="352" t="s">
        <v>1280</v>
      </c>
      <c r="C91" s="233" t="s">
        <v>3813</v>
      </c>
      <c r="D91" s="233"/>
      <c r="E91" s="230" t="s">
        <v>160</v>
      </c>
      <c r="F91" s="230" t="s">
        <v>321</v>
      </c>
      <c r="G91" s="230" t="s">
        <v>42</v>
      </c>
      <c r="H91" s="231"/>
      <c r="I91" s="233" t="s">
        <v>40</v>
      </c>
      <c r="J91" s="236">
        <v>500</v>
      </c>
      <c r="K91" s="271" t="s">
        <v>152</v>
      </c>
      <c r="L91" s="224" t="s">
        <v>147</v>
      </c>
      <c r="M91" s="224" t="s">
        <v>41</v>
      </c>
      <c r="O91">
        <f t="shared" si="0"/>
        <v>100</v>
      </c>
    </row>
    <row r="92" spans="1:15" x14ac:dyDescent="0.25">
      <c r="A92" s="514">
        <v>17</v>
      </c>
      <c r="B92" s="352" t="s">
        <v>2766</v>
      </c>
      <c r="C92" s="233" t="s">
        <v>3075</v>
      </c>
      <c r="D92" s="233"/>
      <c r="E92" s="283" t="s">
        <v>163</v>
      </c>
      <c r="F92" s="230" t="s">
        <v>523</v>
      </c>
      <c r="G92" s="230" t="s">
        <v>42</v>
      </c>
      <c r="H92" s="231"/>
      <c r="I92" s="233" t="s">
        <v>40</v>
      </c>
      <c r="J92" s="236">
        <v>500</v>
      </c>
      <c r="K92" s="516">
        <v>100</v>
      </c>
      <c r="L92" s="224" t="s">
        <v>147</v>
      </c>
      <c r="M92" s="224" t="s">
        <v>41</v>
      </c>
      <c r="O92">
        <f t="shared" si="0"/>
        <v>100</v>
      </c>
    </row>
    <row r="93" spans="1:15" x14ac:dyDescent="0.25">
      <c r="A93" s="514">
        <v>17</v>
      </c>
      <c r="B93" s="352" t="s">
        <v>3814</v>
      </c>
      <c r="C93" s="233" t="s">
        <v>3815</v>
      </c>
      <c r="D93" s="233"/>
      <c r="E93" s="283" t="s">
        <v>163</v>
      </c>
      <c r="F93" s="230"/>
      <c r="G93" s="230" t="s">
        <v>83</v>
      </c>
      <c r="H93" s="231"/>
      <c r="I93" s="463" t="s">
        <v>377</v>
      </c>
      <c r="J93" s="236">
        <v>1000</v>
      </c>
      <c r="K93" s="516">
        <v>200</v>
      </c>
      <c r="L93" s="224" t="s">
        <v>147</v>
      </c>
      <c r="M93" s="224" t="s">
        <v>41</v>
      </c>
      <c r="O93">
        <f t="shared" si="0"/>
        <v>200</v>
      </c>
    </row>
    <row r="94" spans="1:15" x14ac:dyDescent="0.25">
      <c r="A94" s="522">
        <v>17</v>
      </c>
      <c r="B94" s="352" t="s">
        <v>1564</v>
      </c>
      <c r="C94" s="233" t="s">
        <v>2713</v>
      </c>
      <c r="D94" s="233"/>
      <c r="E94" s="230" t="s">
        <v>160</v>
      </c>
      <c r="F94" s="230" t="s">
        <v>167</v>
      </c>
      <c r="G94" s="230" t="s">
        <v>43</v>
      </c>
      <c r="H94" s="231"/>
      <c r="I94" s="230" t="s">
        <v>40</v>
      </c>
      <c r="J94" s="236">
        <v>5000</v>
      </c>
      <c r="K94" s="516">
        <v>1000</v>
      </c>
      <c r="L94" s="224" t="s">
        <v>147</v>
      </c>
      <c r="M94" s="224" t="s">
        <v>41</v>
      </c>
      <c r="O94">
        <f t="shared" si="0"/>
        <v>1000</v>
      </c>
    </row>
    <row r="95" spans="1:15" x14ac:dyDescent="0.25">
      <c r="A95" s="514">
        <v>17</v>
      </c>
      <c r="B95" s="352" t="s">
        <v>3816</v>
      </c>
      <c r="C95" s="233" t="s">
        <v>3817</v>
      </c>
      <c r="D95" s="233"/>
      <c r="E95" s="230" t="s">
        <v>160</v>
      </c>
      <c r="F95" s="230" t="s">
        <v>2716</v>
      </c>
      <c r="G95" s="230" t="s">
        <v>59</v>
      </c>
      <c r="H95" s="231"/>
      <c r="I95" s="233" t="s">
        <v>40</v>
      </c>
      <c r="J95" s="236">
        <v>2500</v>
      </c>
      <c r="K95" s="516">
        <v>500</v>
      </c>
      <c r="L95" s="224" t="s">
        <v>147</v>
      </c>
      <c r="M95" s="224" t="s">
        <v>41</v>
      </c>
      <c r="O95">
        <f t="shared" si="0"/>
        <v>500</v>
      </c>
    </row>
    <row r="96" spans="1:15" x14ac:dyDescent="0.25">
      <c r="A96" s="514">
        <v>17</v>
      </c>
      <c r="B96" s="352" t="s">
        <v>3818</v>
      </c>
      <c r="C96" s="233" t="s">
        <v>3819</v>
      </c>
      <c r="D96" s="233"/>
      <c r="E96" s="230" t="s">
        <v>160</v>
      </c>
      <c r="F96" s="230" t="s">
        <v>2716</v>
      </c>
      <c r="G96" s="230" t="s">
        <v>59</v>
      </c>
      <c r="H96" s="231"/>
      <c r="I96" s="233" t="s">
        <v>40</v>
      </c>
      <c r="J96" s="236">
        <v>1500</v>
      </c>
      <c r="K96" s="516">
        <v>300</v>
      </c>
      <c r="L96" s="224" t="s">
        <v>147</v>
      </c>
      <c r="M96" s="224" t="s">
        <v>41</v>
      </c>
      <c r="O96">
        <f t="shared" si="0"/>
        <v>300</v>
      </c>
    </row>
    <row r="97" spans="1:18" x14ac:dyDescent="0.25">
      <c r="A97" s="514">
        <v>17</v>
      </c>
      <c r="B97" s="352" t="s">
        <v>3820</v>
      </c>
      <c r="C97" s="233" t="s">
        <v>3821</v>
      </c>
      <c r="D97" s="233"/>
      <c r="E97" s="230" t="s">
        <v>160</v>
      </c>
      <c r="F97" s="230" t="s">
        <v>2716</v>
      </c>
      <c r="G97" s="230" t="s">
        <v>59</v>
      </c>
      <c r="H97" s="231"/>
      <c r="I97" s="233" t="s">
        <v>40</v>
      </c>
      <c r="J97" s="236">
        <v>1000</v>
      </c>
      <c r="K97" s="516">
        <v>200</v>
      </c>
      <c r="L97" s="224" t="s">
        <v>147</v>
      </c>
      <c r="M97" s="224" t="s">
        <v>41</v>
      </c>
      <c r="O97">
        <f t="shared" si="0"/>
        <v>200</v>
      </c>
      <c r="R97" s="69"/>
    </row>
    <row r="98" spans="1:18" x14ac:dyDescent="0.25">
      <c r="A98" s="514">
        <v>18</v>
      </c>
      <c r="B98" s="352" t="s">
        <v>3814</v>
      </c>
      <c r="C98" s="233" t="s">
        <v>3815</v>
      </c>
      <c r="D98" s="233"/>
      <c r="E98" s="283" t="s">
        <v>163</v>
      </c>
      <c r="F98" s="230"/>
      <c r="G98" s="230" t="s">
        <v>83</v>
      </c>
      <c r="H98" s="231"/>
      <c r="I98" s="463" t="s">
        <v>377</v>
      </c>
      <c r="J98" s="236">
        <v>2000</v>
      </c>
      <c r="K98" s="516">
        <v>400</v>
      </c>
      <c r="L98" s="224" t="s">
        <v>147</v>
      </c>
      <c r="M98" s="224" t="s">
        <v>41</v>
      </c>
      <c r="O98">
        <f t="shared" si="0"/>
        <v>400</v>
      </c>
    </row>
    <row r="99" spans="1:18" x14ac:dyDescent="0.25">
      <c r="A99" s="514">
        <v>18</v>
      </c>
      <c r="B99" s="352" t="s">
        <v>3822</v>
      </c>
      <c r="C99" s="233" t="s">
        <v>1543</v>
      </c>
      <c r="D99" s="233"/>
      <c r="E99" s="230" t="s">
        <v>160</v>
      </c>
      <c r="F99" s="230" t="s">
        <v>206</v>
      </c>
      <c r="G99" s="230" t="s">
        <v>55</v>
      </c>
      <c r="H99" s="231"/>
      <c r="I99" s="233" t="s">
        <v>40</v>
      </c>
      <c r="J99" s="236">
        <v>1000</v>
      </c>
      <c r="K99" s="516">
        <v>200</v>
      </c>
      <c r="L99" s="224" t="s">
        <v>147</v>
      </c>
      <c r="M99" s="224" t="s">
        <v>41</v>
      </c>
      <c r="O99">
        <f t="shared" si="0"/>
        <v>200</v>
      </c>
    </row>
    <row r="100" spans="1:18" x14ac:dyDescent="0.25">
      <c r="A100" s="514">
        <v>18</v>
      </c>
      <c r="B100" s="352" t="s">
        <v>2704</v>
      </c>
      <c r="C100" s="233" t="s">
        <v>3823</v>
      </c>
      <c r="D100" s="233"/>
      <c r="E100" s="230" t="s">
        <v>160</v>
      </c>
      <c r="F100" s="230" t="s">
        <v>1151</v>
      </c>
      <c r="G100" s="230" t="s">
        <v>49</v>
      </c>
      <c r="H100" s="231"/>
      <c r="I100" s="233" t="s">
        <v>40</v>
      </c>
      <c r="J100" s="236">
        <v>2250</v>
      </c>
      <c r="K100" s="516">
        <v>675</v>
      </c>
      <c r="L100" s="224" t="s">
        <v>147</v>
      </c>
      <c r="M100" s="224" t="s">
        <v>41</v>
      </c>
      <c r="O100">
        <f t="shared" si="0"/>
        <v>450</v>
      </c>
    </row>
    <row r="101" spans="1:18" x14ac:dyDescent="0.25">
      <c r="A101" s="514">
        <v>18</v>
      </c>
      <c r="B101" s="352" t="s">
        <v>3824</v>
      </c>
      <c r="C101" s="233" t="s">
        <v>3825</v>
      </c>
      <c r="D101" s="233"/>
      <c r="E101" s="230" t="s">
        <v>160</v>
      </c>
      <c r="F101" s="230" t="s">
        <v>420</v>
      </c>
      <c r="G101" s="230" t="s">
        <v>69</v>
      </c>
      <c r="H101" s="231"/>
      <c r="I101" s="233" t="s">
        <v>40</v>
      </c>
      <c r="J101" s="236">
        <v>1500</v>
      </c>
      <c r="K101" s="271" t="s">
        <v>152</v>
      </c>
      <c r="L101" s="224" t="s">
        <v>147</v>
      </c>
      <c r="M101" s="224" t="s">
        <v>41</v>
      </c>
      <c r="O101">
        <f t="shared" si="0"/>
        <v>300</v>
      </c>
    </row>
    <row r="102" spans="1:18" x14ac:dyDescent="0.25">
      <c r="A102" s="514">
        <v>19</v>
      </c>
      <c r="B102" s="352" t="s">
        <v>3827</v>
      </c>
      <c r="C102" s="233" t="s">
        <v>2184</v>
      </c>
      <c r="D102" s="233"/>
      <c r="E102" s="230" t="s">
        <v>160</v>
      </c>
      <c r="F102" s="230" t="s">
        <v>3294</v>
      </c>
      <c r="G102" s="230" t="s">
        <v>43</v>
      </c>
      <c r="H102" s="231"/>
      <c r="I102" s="233" t="s">
        <v>40</v>
      </c>
      <c r="J102" s="236">
        <v>1000</v>
      </c>
      <c r="K102" s="516">
        <v>200</v>
      </c>
      <c r="L102" s="224" t="s">
        <v>147</v>
      </c>
      <c r="M102" s="224" t="s">
        <v>41</v>
      </c>
      <c r="O102">
        <f t="shared" si="0"/>
        <v>200</v>
      </c>
    </row>
    <row r="103" spans="1:18" x14ac:dyDescent="0.25">
      <c r="A103" s="514">
        <v>19</v>
      </c>
      <c r="B103" s="352" t="s">
        <v>1393</v>
      </c>
      <c r="C103" s="233" t="s">
        <v>1394</v>
      </c>
      <c r="D103" s="233"/>
      <c r="E103" s="230" t="s">
        <v>160</v>
      </c>
      <c r="F103" s="230" t="s">
        <v>365</v>
      </c>
      <c r="G103" s="230" t="s">
        <v>44</v>
      </c>
      <c r="H103" s="231"/>
      <c r="I103" s="230" t="s">
        <v>40</v>
      </c>
      <c r="J103" s="236">
        <v>8000</v>
      </c>
      <c r="K103" s="516">
        <v>1600</v>
      </c>
      <c r="L103" s="224" t="s">
        <v>147</v>
      </c>
      <c r="M103" s="224" t="s">
        <v>41</v>
      </c>
      <c r="O103">
        <f t="shared" si="0"/>
        <v>1600</v>
      </c>
    </row>
    <row r="104" spans="1:18" x14ac:dyDescent="0.25">
      <c r="A104" s="522">
        <v>19</v>
      </c>
      <c r="B104" s="352" t="s">
        <v>3824</v>
      </c>
      <c r="C104" s="233" t="s">
        <v>3825</v>
      </c>
      <c r="D104" s="233"/>
      <c r="E104" s="230" t="s">
        <v>160</v>
      </c>
      <c r="F104" s="230" t="s">
        <v>420</v>
      </c>
      <c r="G104" s="230" t="s">
        <v>69</v>
      </c>
      <c r="H104" s="231"/>
      <c r="I104" s="233" t="s">
        <v>40</v>
      </c>
      <c r="J104" s="236">
        <v>1000</v>
      </c>
      <c r="K104" s="516">
        <v>200</v>
      </c>
      <c r="L104" s="224" t="s">
        <v>147</v>
      </c>
      <c r="M104" s="224" t="s">
        <v>41</v>
      </c>
      <c r="O104">
        <f t="shared" si="0"/>
        <v>200</v>
      </c>
    </row>
    <row r="105" spans="1:18" x14ac:dyDescent="0.25">
      <c r="A105" s="514">
        <v>20</v>
      </c>
      <c r="B105" s="352" t="s">
        <v>3828</v>
      </c>
      <c r="C105" s="233" t="s">
        <v>2146</v>
      </c>
      <c r="D105" s="233"/>
      <c r="E105" s="230" t="s">
        <v>160</v>
      </c>
      <c r="F105" s="230" t="s">
        <v>329</v>
      </c>
      <c r="G105" s="230" t="s">
        <v>54</v>
      </c>
      <c r="H105" s="231"/>
      <c r="I105" s="230" t="s">
        <v>40</v>
      </c>
      <c r="J105" s="236">
        <v>6000</v>
      </c>
      <c r="K105" s="516">
        <v>1200</v>
      </c>
      <c r="L105" s="224" t="s">
        <v>147</v>
      </c>
      <c r="M105" s="224" t="s">
        <v>41</v>
      </c>
      <c r="O105">
        <f t="shared" si="0"/>
        <v>1200</v>
      </c>
    </row>
    <row r="106" spans="1:18" x14ac:dyDescent="0.25">
      <c r="A106" s="514">
        <v>20</v>
      </c>
      <c r="B106" s="352" t="s">
        <v>1284</v>
      </c>
      <c r="C106" s="233" t="s">
        <v>3829</v>
      </c>
      <c r="D106" s="233"/>
      <c r="E106" s="230" t="s">
        <v>160</v>
      </c>
      <c r="F106" s="230" t="s">
        <v>678</v>
      </c>
      <c r="G106" s="230" t="s">
        <v>43</v>
      </c>
      <c r="H106" s="231"/>
      <c r="I106" s="230" t="s">
        <v>40</v>
      </c>
      <c r="J106" s="236">
        <v>800</v>
      </c>
      <c r="K106" s="516">
        <v>160</v>
      </c>
      <c r="L106" s="224" t="s">
        <v>147</v>
      </c>
      <c r="M106" s="224" t="s">
        <v>41</v>
      </c>
      <c r="O106">
        <f t="shared" si="0"/>
        <v>160</v>
      </c>
    </row>
    <row r="107" spans="1:18" x14ac:dyDescent="0.25">
      <c r="A107" s="514">
        <v>23</v>
      </c>
      <c r="B107" s="352" t="s">
        <v>2348</v>
      </c>
      <c r="C107" s="233" t="s">
        <v>1796</v>
      </c>
      <c r="D107" s="233"/>
      <c r="E107" s="230" t="s">
        <v>160</v>
      </c>
      <c r="F107" s="230" t="s">
        <v>529</v>
      </c>
      <c r="G107" s="230" t="s">
        <v>47</v>
      </c>
      <c r="H107" s="231"/>
      <c r="I107" s="233" t="s">
        <v>40</v>
      </c>
      <c r="J107" s="236">
        <v>1000</v>
      </c>
      <c r="K107" s="516">
        <v>200</v>
      </c>
      <c r="L107" s="224" t="s">
        <v>147</v>
      </c>
      <c r="M107" s="224" t="s">
        <v>41</v>
      </c>
      <c r="O107">
        <f t="shared" si="0"/>
        <v>200</v>
      </c>
    </row>
    <row r="108" spans="1:18" x14ac:dyDescent="0.25">
      <c r="A108" s="514">
        <v>23</v>
      </c>
      <c r="B108" s="352" t="s">
        <v>2050</v>
      </c>
      <c r="C108" s="233" t="s">
        <v>2356</v>
      </c>
      <c r="D108" s="233"/>
      <c r="E108" s="230" t="s">
        <v>160</v>
      </c>
      <c r="F108" s="230" t="s">
        <v>379</v>
      </c>
      <c r="G108" s="230" t="s">
        <v>58</v>
      </c>
      <c r="H108" s="231"/>
      <c r="I108" s="230" t="s">
        <v>40</v>
      </c>
      <c r="J108" s="236">
        <v>1500</v>
      </c>
      <c r="K108" s="516">
        <v>300</v>
      </c>
      <c r="L108" s="224" t="s">
        <v>147</v>
      </c>
      <c r="M108" s="224" t="s">
        <v>41</v>
      </c>
      <c r="O108">
        <f t="shared" si="0"/>
        <v>300</v>
      </c>
    </row>
    <row r="109" spans="1:18" x14ac:dyDescent="0.25">
      <c r="A109" s="514">
        <v>23</v>
      </c>
      <c r="B109" s="352" t="s">
        <v>3830</v>
      </c>
      <c r="C109" s="233" t="s">
        <v>3831</v>
      </c>
      <c r="D109" s="233"/>
      <c r="E109" s="230" t="s">
        <v>160</v>
      </c>
      <c r="F109" s="230" t="s">
        <v>3852</v>
      </c>
      <c r="G109" s="230" t="s">
        <v>47</v>
      </c>
      <c r="H109" s="231"/>
      <c r="I109" s="230" t="s">
        <v>40</v>
      </c>
      <c r="J109" s="236">
        <v>250</v>
      </c>
      <c r="K109" s="516">
        <v>50</v>
      </c>
      <c r="L109" s="224" t="s">
        <v>147</v>
      </c>
      <c r="M109" s="224" t="s">
        <v>41</v>
      </c>
      <c r="O109">
        <f t="shared" si="0"/>
        <v>50</v>
      </c>
      <c r="R109" s="69"/>
    </row>
    <row r="110" spans="1:18" x14ac:dyDescent="0.25">
      <c r="A110" s="514">
        <v>23</v>
      </c>
      <c r="B110" s="352" t="s">
        <v>2893</v>
      </c>
      <c r="C110" s="233" t="s">
        <v>3832</v>
      </c>
      <c r="D110" s="233"/>
      <c r="E110" s="230" t="s">
        <v>160</v>
      </c>
      <c r="F110" s="230" t="s">
        <v>180</v>
      </c>
      <c r="G110" s="230" t="s">
        <v>49</v>
      </c>
      <c r="H110" s="231"/>
      <c r="I110" s="230" t="s">
        <v>40</v>
      </c>
      <c r="J110" s="236">
        <v>2000</v>
      </c>
      <c r="K110" s="516">
        <v>400</v>
      </c>
      <c r="L110" s="224" t="s">
        <v>147</v>
      </c>
      <c r="M110" s="224" t="s">
        <v>41</v>
      </c>
      <c r="O110">
        <f t="shared" si="0"/>
        <v>400</v>
      </c>
    </row>
    <row r="111" spans="1:18" x14ac:dyDescent="0.25">
      <c r="A111" s="514">
        <v>23</v>
      </c>
      <c r="B111" s="352" t="s">
        <v>3833</v>
      </c>
      <c r="C111" s="233" t="s">
        <v>2146</v>
      </c>
      <c r="D111" s="233"/>
      <c r="E111" s="230" t="s">
        <v>160</v>
      </c>
      <c r="F111" s="230" t="s">
        <v>358</v>
      </c>
      <c r="G111" s="230" t="s">
        <v>43</v>
      </c>
      <c r="H111" s="231"/>
      <c r="I111" s="230" t="s">
        <v>40</v>
      </c>
      <c r="J111" s="236">
        <v>2000</v>
      </c>
      <c r="K111" s="516">
        <v>400</v>
      </c>
      <c r="L111" s="224" t="s">
        <v>147</v>
      </c>
      <c r="M111" s="224" t="s">
        <v>41</v>
      </c>
      <c r="O111">
        <f t="shared" si="0"/>
        <v>400</v>
      </c>
    </row>
    <row r="112" spans="1:18" x14ac:dyDescent="0.25">
      <c r="A112" s="514">
        <v>23</v>
      </c>
      <c r="B112" s="352" t="s">
        <v>3834</v>
      </c>
      <c r="C112" s="233" t="s">
        <v>3835</v>
      </c>
      <c r="D112" s="233" t="s">
        <v>3169</v>
      </c>
      <c r="E112" s="230" t="s">
        <v>160</v>
      </c>
      <c r="F112" s="230" t="s">
        <v>180</v>
      </c>
      <c r="G112" s="230" t="s">
        <v>49</v>
      </c>
      <c r="H112" s="231"/>
      <c r="I112" s="230" t="s">
        <v>40</v>
      </c>
      <c r="J112" s="236">
        <v>500</v>
      </c>
      <c r="K112" s="516">
        <v>100</v>
      </c>
      <c r="L112" s="224" t="s">
        <v>147</v>
      </c>
      <c r="M112" s="224" t="s">
        <v>41</v>
      </c>
      <c r="O112">
        <f t="shared" si="0"/>
        <v>100</v>
      </c>
    </row>
    <row r="113" spans="1:19" x14ac:dyDescent="0.25">
      <c r="A113" s="514">
        <v>23</v>
      </c>
      <c r="B113" s="352" t="s">
        <v>3834</v>
      </c>
      <c r="C113" s="233" t="s">
        <v>3835</v>
      </c>
      <c r="D113" s="233" t="s">
        <v>3169</v>
      </c>
      <c r="E113" s="230" t="s">
        <v>160</v>
      </c>
      <c r="F113" s="230" t="s">
        <v>180</v>
      </c>
      <c r="G113" s="230" t="s">
        <v>49</v>
      </c>
      <c r="H113" s="231"/>
      <c r="I113" s="450" t="s">
        <v>1911</v>
      </c>
      <c r="J113" s="236">
        <v>30</v>
      </c>
      <c r="K113" s="516">
        <v>300</v>
      </c>
      <c r="L113" s="224" t="s">
        <v>147</v>
      </c>
      <c r="M113" s="224" t="s">
        <v>41</v>
      </c>
      <c r="O113">
        <f t="shared" si="0"/>
        <v>6</v>
      </c>
    </row>
    <row r="114" spans="1:19" x14ac:dyDescent="0.25">
      <c r="A114" s="514">
        <v>23</v>
      </c>
      <c r="B114" s="352" t="s">
        <v>3652</v>
      </c>
      <c r="C114" s="233" t="s">
        <v>2178</v>
      </c>
      <c r="D114" s="233"/>
      <c r="E114" s="230" t="s">
        <v>160</v>
      </c>
      <c r="F114" s="230" t="s">
        <v>290</v>
      </c>
      <c r="G114" s="230" t="s">
        <v>49</v>
      </c>
      <c r="H114" s="231"/>
      <c r="I114" s="230" t="s">
        <v>40</v>
      </c>
      <c r="J114" s="236">
        <v>200</v>
      </c>
      <c r="K114" s="516">
        <v>40</v>
      </c>
      <c r="L114" s="224" t="s">
        <v>147</v>
      </c>
      <c r="M114" s="224" t="s">
        <v>41</v>
      </c>
      <c r="O114">
        <f t="shared" si="0"/>
        <v>40</v>
      </c>
    </row>
    <row r="115" spans="1:19" x14ac:dyDescent="0.25">
      <c r="A115" s="514">
        <v>23</v>
      </c>
      <c r="B115" s="352" t="s">
        <v>3652</v>
      </c>
      <c r="C115" s="233" t="s">
        <v>2178</v>
      </c>
      <c r="D115" s="233"/>
      <c r="E115" s="230" t="s">
        <v>160</v>
      </c>
      <c r="F115" s="230" t="s">
        <v>290</v>
      </c>
      <c r="G115" s="230" t="s">
        <v>49</v>
      </c>
      <c r="H115" s="231"/>
      <c r="I115" s="463" t="s">
        <v>377</v>
      </c>
      <c r="J115" s="236">
        <v>50</v>
      </c>
      <c r="K115" s="516">
        <v>10</v>
      </c>
      <c r="L115" s="224" t="s">
        <v>147</v>
      </c>
      <c r="M115" s="224" t="s">
        <v>41</v>
      </c>
      <c r="O115">
        <f t="shared" si="0"/>
        <v>10</v>
      </c>
    </row>
    <row r="116" spans="1:19" ht="15.75" x14ac:dyDescent="0.25">
      <c r="A116" s="522">
        <v>23</v>
      </c>
      <c r="B116" s="352" t="s">
        <v>3836</v>
      </c>
      <c r="C116" s="233" t="s">
        <v>3837</v>
      </c>
      <c r="D116" s="515" t="s">
        <v>3348</v>
      </c>
      <c r="E116" s="230" t="s">
        <v>160</v>
      </c>
      <c r="F116" s="230" t="s">
        <v>3853</v>
      </c>
      <c r="G116" s="230" t="s">
        <v>59</v>
      </c>
      <c r="H116" s="231"/>
      <c r="I116" s="230" t="s">
        <v>40</v>
      </c>
      <c r="J116" s="236">
        <v>500</v>
      </c>
      <c r="K116" s="516">
        <v>100</v>
      </c>
      <c r="L116" s="224" t="s">
        <v>147</v>
      </c>
      <c r="M116" s="224" t="s">
        <v>41</v>
      </c>
      <c r="O116">
        <f t="shared" si="0"/>
        <v>100</v>
      </c>
    </row>
    <row r="117" spans="1:19" x14ac:dyDescent="0.25">
      <c r="A117" s="514">
        <v>23</v>
      </c>
      <c r="B117" s="352" t="s">
        <v>1328</v>
      </c>
      <c r="C117" s="233" t="s">
        <v>3838</v>
      </c>
      <c r="D117" s="233"/>
      <c r="E117" s="230" t="s">
        <v>160</v>
      </c>
      <c r="F117" s="230" t="s">
        <v>703</v>
      </c>
      <c r="G117" s="230" t="s">
        <v>42</v>
      </c>
      <c r="H117" s="231"/>
      <c r="I117" s="233" t="s">
        <v>40</v>
      </c>
      <c r="J117" s="236">
        <v>500</v>
      </c>
      <c r="K117" s="516">
        <v>100</v>
      </c>
      <c r="L117" s="224" t="s">
        <v>147</v>
      </c>
      <c r="M117" s="224" t="s">
        <v>41</v>
      </c>
      <c r="O117">
        <f t="shared" si="0"/>
        <v>100</v>
      </c>
    </row>
    <row r="118" spans="1:19" x14ac:dyDescent="0.25">
      <c r="A118" s="514">
        <v>23</v>
      </c>
      <c r="B118" s="352" t="s">
        <v>3140</v>
      </c>
      <c r="C118" s="233" t="s">
        <v>3141</v>
      </c>
      <c r="D118" s="233"/>
      <c r="E118" s="230" t="s">
        <v>160</v>
      </c>
      <c r="F118" s="230" t="s">
        <v>1672</v>
      </c>
      <c r="G118" s="230" t="s">
        <v>48</v>
      </c>
      <c r="H118" s="231"/>
      <c r="I118" s="230" t="s">
        <v>40</v>
      </c>
      <c r="J118" s="464">
        <v>2000</v>
      </c>
      <c r="K118" s="236">
        <v>400</v>
      </c>
      <c r="L118" s="224" t="s">
        <v>147</v>
      </c>
      <c r="M118" s="224" t="s">
        <v>41</v>
      </c>
      <c r="O118">
        <f t="shared" si="0"/>
        <v>400</v>
      </c>
    </row>
    <row r="119" spans="1:19" x14ac:dyDescent="0.25">
      <c r="A119" s="514">
        <v>23</v>
      </c>
      <c r="B119" s="352" t="s">
        <v>2965</v>
      </c>
      <c r="C119" s="233" t="s">
        <v>3839</v>
      </c>
      <c r="D119" s="233"/>
      <c r="E119" s="230" t="s">
        <v>160</v>
      </c>
      <c r="F119" s="230" t="s">
        <v>1157</v>
      </c>
      <c r="G119" s="230" t="s">
        <v>43</v>
      </c>
      <c r="H119" s="231"/>
      <c r="I119" s="230" t="s">
        <v>40</v>
      </c>
      <c r="J119" s="236">
        <v>500</v>
      </c>
      <c r="K119" s="516">
        <v>100</v>
      </c>
      <c r="L119" s="224" t="s">
        <v>147</v>
      </c>
      <c r="M119" s="224" t="s">
        <v>41</v>
      </c>
      <c r="O119">
        <f t="shared" si="0"/>
        <v>100</v>
      </c>
    </row>
    <row r="120" spans="1:19" x14ac:dyDescent="0.25">
      <c r="A120" s="514">
        <v>23</v>
      </c>
      <c r="B120" s="352" t="s">
        <v>2965</v>
      </c>
      <c r="C120" s="233" t="s">
        <v>3839</v>
      </c>
      <c r="D120" s="233"/>
      <c r="E120" s="230" t="s">
        <v>160</v>
      </c>
      <c r="F120" s="230" t="s">
        <v>1157</v>
      </c>
      <c r="G120" s="230" t="s">
        <v>43</v>
      </c>
      <c r="H120" s="231"/>
      <c r="I120" s="450" t="s">
        <v>1911</v>
      </c>
      <c r="J120" s="236">
        <v>20</v>
      </c>
      <c r="K120" s="516">
        <v>200</v>
      </c>
      <c r="L120" s="224" t="s">
        <v>147</v>
      </c>
      <c r="M120" s="224" t="s">
        <v>41</v>
      </c>
      <c r="O120">
        <f t="shared" si="0"/>
        <v>4</v>
      </c>
    </row>
    <row r="121" spans="1:19" ht="15.75" x14ac:dyDescent="0.25">
      <c r="A121" s="514">
        <v>23</v>
      </c>
      <c r="B121" s="352" t="s">
        <v>3840</v>
      </c>
      <c r="C121" s="233" t="s">
        <v>1323</v>
      </c>
      <c r="D121" s="515" t="s">
        <v>3138</v>
      </c>
      <c r="E121" s="230" t="s">
        <v>160</v>
      </c>
      <c r="F121" s="230" t="s">
        <v>1005</v>
      </c>
      <c r="G121" s="230" t="s">
        <v>45</v>
      </c>
      <c r="H121" s="231"/>
      <c r="I121" s="230" t="s">
        <v>40</v>
      </c>
      <c r="J121" s="236">
        <v>4000</v>
      </c>
      <c r="K121" s="516">
        <v>800</v>
      </c>
      <c r="L121" s="224" t="s">
        <v>147</v>
      </c>
      <c r="M121" s="224" t="s">
        <v>41</v>
      </c>
      <c r="O121">
        <f t="shared" si="0"/>
        <v>800</v>
      </c>
    </row>
    <row r="122" spans="1:19" x14ac:dyDescent="0.25">
      <c r="A122" s="514">
        <v>26</v>
      </c>
      <c r="B122" s="352" t="s">
        <v>2496</v>
      </c>
      <c r="C122" s="233" t="s">
        <v>2497</v>
      </c>
      <c r="D122" s="233"/>
      <c r="E122" s="230" t="s">
        <v>160</v>
      </c>
      <c r="F122" s="230" t="s">
        <v>194</v>
      </c>
      <c r="G122" s="230" t="s">
        <v>43</v>
      </c>
      <c r="H122" s="231"/>
      <c r="I122" s="230" t="s">
        <v>40</v>
      </c>
      <c r="J122" s="236">
        <v>7000</v>
      </c>
      <c r="K122" s="516">
        <v>1400</v>
      </c>
      <c r="L122" s="224" t="s">
        <v>147</v>
      </c>
      <c r="M122" s="224" t="s">
        <v>41</v>
      </c>
      <c r="O122">
        <f t="shared" si="0"/>
        <v>1400</v>
      </c>
    </row>
    <row r="123" spans="1:19" x14ac:dyDescent="0.25">
      <c r="A123" s="514">
        <v>26</v>
      </c>
      <c r="B123" s="352" t="s">
        <v>2413</v>
      </c>
      <c r="C123" s="233" t="s">
        <v>3841</v>
      </c>
      <c r="D123" s="233"/>
      <c r="E123" s="230" t="s">
        <v>160</v>
      </c>
      <c r="F123" s="230"/>
      <c r="G123" s="230"/>
      <c r="H123" s="231"/>
      <c r="I123" s="230" t="s">
        <v>40</v>
      </c>
      <c r="J123" s="236">
        <v>1000</v>
      </c>
      <c r="K123" s="516">
        <v>200</v>
      </c>
      <c r="L123" s="224" t="s">
        <v>147</v>
      </c>
      <c r="M123" s="224" t="s">
        <v>41</v>
      </c>
      <c r="O123">
        <f t="shared" si="0"/>
        <v>200</v>
      </c>
    </row>
    <row r="124" spans="1:19" ht="15.75" x14ac:dyDescent="0.25">
      <c r="A124" s="514">
        <v>26</v>
      </c>
      <c r="B124" s="352" t="s">
        <v>3842</v>
      </c>
      <c r="C124" s="233" t="s">
        <v>3843</v>
      </c>
      <c r="D124" s="515" t="s">
        <v>3165</v>
      </c>
      <c r="E124" s="283" t="s">
        <v>163</v>
      </c>
      <c r="F124" s="230" t="s">
        <v>3854</v>
      </c>
      <c r="G124" s="230" t="s">
        <v>49</v>
      </c>
      <c r="H124" s="231"/>
      <c r="I124" s="230" t="s">
        <v>40</v>
      </c>
      <c r="J124" s="236">
        <v>1000</v>
      </c>
      <c r="K124" s="516">
        <v>200</v>
      </c>
      <c r="L124" s="224" t="s">
        <v>147</v>
      </c>
      <c r="M124" s="224" t="s">
        <v>41</v>
      </c>
      <c r="O124">
        <f t="shared" si="0"/>
        <v>200</v>
      </c>
    </row>
    <row r="125" spans="1:19" ht="15.75" x14ac:dyDescent="0.25">
      <c r="A125" s="514">
        <v>26</v>
      </c>
      <c r="B125" s="352" t="s">
        <v>3844</v>
      </c>
      <c r="C125" s="233" t="s">
        <v>3845</v>
      </c>
      <c r="D125" s="515" t="s">
        <v>3192</v>
      </c>
      <c r="E125" s="230" t="s">
        <v>160</v>
      </c>
      <c r="F125" s="230" t="s">
        <v>2996</v>
      </c>
      <c r="G125" s="230" t="s">
        <v>45</v>
      </c>
      <c r="H125" s="231"/>
      <c r="I125" s="230" t="s">
        <v>40</v>
      </c>
      <c r="J125" s="236">
        <v>300</v>
      </c>
      <c r="K125" s="516">
        <v>60</v>
      </c>
      <c r="L125" s="224" t="s">
        <v>147</v>
      </c>
      <c r="M125" s="224" t="s">
        <v>41</v>
      </c>
      <c r="O125">
        <f t="shared" si="0"/>
        <v>60</v>
      </c>
    </row>
    <row r="126" spans="1:19" x14ac:dyDescent="0.25">
      <c r="A126" s="514">
        <v>26</v>
      </c>
      <c r="B126" s="352" t="s">
        <v>3846</v>
      </c>
      <c r="C126" s="233" t="s">
        <v>3847</v>
      </c>
      <c r="D126" s="233"/>
      <c r="E126" s="283" t="s">
        <v>163</v>
      </c>
      <c r="F126" s="230" t="s">
        <v>954</v>
      </c>
      <c r="G126" s="230" t="s">
        <v>43</v>
      </c>
      <c r="H126" s="231"/>
      <c r="I126" s="450" t="s">
        <v>1911</v>
      </c>
      <c r="J126" s="236">
        <v>10</v>
      </c>
      <c r="K126" s="516">
        <v>100</v>
      </c>
      <c r="L126" s="224" t="s">
        <v>147</v>
      </c>
      <c r="M126" s="224" t="s">
        <v>41</v>
      </c>
      <c r="O126">
        <f t="shared" si="0"/>
        <v>2</v>
      </c>
      <c r="R126" s="69"/>
      <c r="S126" s="69"/>
    </row>
    <row r="127" spans="1:19" x14ac:dyDescent="0.25">
      <c r="A127" s="522">
        <v>26</v>
      </c>
      <c r="B127" s="352" t="s">
        <v>2956</v>
      </c>
      <c r="C127" s="233" t="s">
        <v>2957</v>
      </c>
      <c r="D127" s="233"/>
      <c r="E127" s="230" t="s">
        <v>160</v>
      </c>
      <c r="F127" s="230" t="s">
        <v>618</v>
      </c>
      <c r="G127" s="230" t="s">
        <v>43</v>
      </c>
      <c r="H127" s="231"/>
      <c r="I127" s="233" t="s">
        <v>40</v>
      </c>
      <c r="J127" s="236">
        <v>2500</v>
      </c>
      <c r="K127" s="516">
        <v>500</v>
      </c>
      <c r="L127" s="224" t="s">
        <v>147</v>
      </c>
      <c r="M127" s="224" t="s">
        <v>41</v>
      </c>
      <c r="O127">
        <f t="shared" si="0"/>
        <v>500</v>
      </c>
    </row>
    <row r="128" spans="1:19" x14ac:dyDescent="0.25">
      <c r="A128" s="514">
        <v>26</v>
      </c>
      <c r="B128" s="352" t="s">
        <v>2624</v>
      </c>
      <c r="C128" s="233" t="s">
        <v>1488</v>
      </c>
      <c r="D128" s="233"/>
      <c r="E128" s="230" t="s">
        <v>160</v>
      </c>
      <c r="F128" s="230" t="s">
        <v>2802</v>
      </c>
      <c r="G128" s="230" t="s">
        <v>79</v>
      </c>
      <c r="H128" s="231"/>
      <c r="I128" s="230" t="s">
        <v>40</v>
      </c>
      <c r="J128" s="236">
        <v>500</v>
      </c>
      <c r="K128" s="516">
        <v>100</v>
      </c>
      <c r="L128" s="224" t="s">
        <v>147</v>
      </c>
      <c r="M128" s="224" t="s">
        <v>41</v>
      </c>
      <c r="O128">
        <f t="shared" si="0"/>
        <v>100</v>
      </c>
      <c r="S128" s="69"/>
    </row>
    <row r="129" spans="1:15" x14ac:dyDescent="0.25">
      <c r="A129" s="514">
        <v>26</v>
      </c>
      <c r="B129" s="352" t="s">
        <v>3848</v>
      </c>
      <c r="C129" s="233" t="s">
        <v>3849</v>
      </c>
      <c r="D129" s="233"/>
      <c r="E129" s="230" t="s">
        <v>160</v>
      </c>
      <c r="F129" s="230"/>
      <c r="G129" s="230" t="s">
        <v>54</v>
      </c>
      <c r="H129" s="231"/>
      <c r="I129" s="230" t="s">
        <v>40</v>
      </c>
      <c r="J129" s="236">
        <v>750</v>
      </c>
      <c r="K129" s="516">
        <v>150</v>
      </c>
      <c r="L129" s="224" t="s">
        <v>147</v>
      </c>
      <c r="M129" s="224" t="s">
        <v>41</v>
      </c>
      <c r="O129">
        <f t="shared" si="0"/>
        <v>150</v>
      </c>
    </row>
    <row r="130" spans="1:15" x14ac:dyDescent="0.25">
      <c r="A130" s="514">
        <v>26</v>
      </c>
      <c r="B130" s="352" t="s">
        <v>3850</v>
      </c>
      <c r="C130" s="233" t="s">
        <v>2278</v>
      </c>
      <c r="D130" s="233"/>
      <c r="E130" s="230" t="s">
        <v>160</v>
      </c>
      <c r="F130" s="230" t="s">
        <v>243</v>
      </c>
      <c r="G130" s="230" t="s">
        <v>56</v>
      </c>
      <c r="H130" s="231"/>
      <c r="I130" s="233" t="s">
        <v>40</v>
      </c>
      <c r="J130" s="236">
        <v>1500</v>
      </c>
      <c r="K130" s="516">
        <v>300</v>
      </c>
      <c r="L130" s="224" t="s">
        <v>147</v>
      </c>
      <c r="M130" s="224" t="s">
        <v>41</v>
      </c>
      <c r="O130">
        <f t="shared" si="0"/>
        <v>300</v>
      </c>
    </row>
    <row r="131" spans="1:15" x14ac:dyDescent="0.25">
      <c r="A131" s="521">
        <v>26</v>
      </c>
      <c r="B131" s="517" t="s">
        <v>1432</v>
      </c>
      <c r="C131" s="518" t="s">
        <v>3851</v>
      </c>
      <c r="D131" s="233"/>
      <c r="E131" s="230" t="s">
        <v>160</v>
      </c>
      <c r="F131" s="519" t="s">
        <v>180</v>
      </c>
      <c r="G131" s="519" t="s">
        <v>45</v>
      </c>
      <c r="H131" s="231"/>
      <c r="I131" s="518" t="s">
        <v>40</v>
      </c>
      <c r="J131" s="520">
        <v>5000</v>
      </c>
      <c r="K131" s="271" t="s">
        <v>152</v>
      </c>
      <c r="L131" s="224" t="s">
        <v>147</v>
      </c>
      <c r="M131" s="224" t="s">
        <v>41</v>
      </c>
      <c r="O131">
        <f t="shared" si="0"/>
        <v>1000</v>
      </c>
    </row>
    <row r="132" spans="1:15" x14ac:dyDescent="0.25">
      <c r="A132" s="246"/>
      <c r="B132" s="352"/>
      <c r="C132" s="233"/>
      <c r="D132" s="233"/>
      <c r="E132" s="230"/>
      <c r="F132" s="230"/>
      <c r="G132" s="230"/>
      <c r="H132" s="231"/>
      <c r="I132" s="230"/>
      <c r="J132" s="236"/>
      <c r="K132" s="271"/>
      <c r="L132" s="224" t="s">
        <v>147</v>
      </c>
      <c r="M132" s="224" t="s">
        <v>41</v>
      </c>
      <c r="O132">
        <f t="shared" si="0"/>
        <v>0</v>
      </c>
    </row>
    <row r="133" spans="1:15" x14ac:dyDescent="0.25">
      <c r="A133" s="246"/>
      <c r="B133" s="352"/>
      <c r="C133" s="233"/>
      <c r="D133" s="233"/>
      <c r="E133" s="230"/>
      <c r="F133" s="230"/>
      <c r="G133" s="230"/>
      <c r="H133" s="231"/>
      <c r="I133" s="230"/>
      <c r="J133" s="236"/>
      <c r="K133" s="271"/>
      <c r="L133" s="224" t="s">
        <v>147</v>
      </c>
      <c r="M133" s="224" t="s">
        <v>41</v>
      </c>
      <c r="O133">
        <f t="shared" si="0"/>
        <v>0</v>
      </c>
    </row>
    <row r="134" spans="1:15" x14ac:dyDescent="0.25">
      <c r="A134" s="246"/>
      <c r="B134" s="352"/>
      <c r="C134" s="233"/>
      <c r="D134" s="233"/>
      <c r="E134" s="230"/>
      <c r="F134" s="230"/>
      <c r="G134" s="230"/>
      <c r="H134" s="231"/>
      <c r="I134" s="230"/>
      <c r="J134" s="236"/>
      <c r="K134" s="271"/>
      <c r="L134" s="224" t="s">
        <v>147</v>
      </c>
      <c r="M134" s="224" t="s">
        <v>41</v>
      </c>
      <c r="O134">
        <f t="shared" si="0"/>
        <v>0</v>
      </c>
    </row>
    <row r="135" spans="1:15" x14ac:dyDescent="0.25">
      <c r="A135" s="246"/>
      <c r="B135" s="352"/>
      <c r="C135" s="233"/>
      <c r="D135" s="233"/>
      <c r="E135" s="230"/>
      <c r="F135" s="230"/>
      <c r="G135" s="230"/>
      <c r="H135" s="231"/>
      <c r="I135" s="230"/>
      <c r="J135" s="236"/>
      <c r="K135" s="271"/>
      <c r="L135" s="224" t="s">
        <v>147</v>
      </c>
      <c r="M135" s="224" t="s">
        <v>41</v>
      </c>
      <c r="O135">
        <f t="shared" si="0"/>
        <v>0</v>
      </c>
    </row>
    <row r="136" spans="1:15" x14ac:dyDescent="0.25">
      <c r="A136" s="246"/>
      <c r="B136" s="352"/>
      <c r="C136" s="233"/>
      <c r="D136" s="233"/>
      <c r="E136" s="230"/>
      <c r="F136" s="230"/>
      <c r="G136" s="230"/>
      <c r="H136" s="231"/>
      <c r="I136" s="233"/>
      <c r="J136" s="236"/>
      <c r="K136" s="271"/>
      <c r="L136" s="224" t="s">
        <v>147</v>
      </c>
      <c r="M136" s="224" t="s">
        <v>41</v>
      </c>
      <c r="O136">
        <f t="shared" si="0"/>
        <v>0</v>
      </c>
    </row>
    <row r="137" spans="1:15" x14ac:dyDescent="0.25">
      <c r="A137" s="246"/>
      <c r="B137" s="352"/>
      <c r="C137" s="233"/>
      <c r="D137" s="233"/>
      <c r="E137" s="230"/>
      <c r="F137" s="230"/>
      <c r="G137" s="230"/>
      <c r="H137" s="231"/>
      <c r="I137" s="230"/>
      <c r="J137" s="236"/>
      <c r="K137" s="271"/>
      <c r="L137" s="224" t="s">
        <v>147</v>
      </c>
      <c r="M137" s="224" t="s">
        <v>41</v>
      </c>
      <c r="O137">
        <f t="shared" si="0"/>
        <v>0</v>
      </c>
    </row>
    <row r="138" spans="1:15" x14ac:dyDescent="0.25">
      <c r="A138" s="246"/>
      <c r="B138" s="352"/>
      <c r="C138" s="233"/>
      <c r="D138" s="230"/>
      <c r="E138" s="230"/>
      <c r="F138" s="230"/>
      <c r="G138" s="230"/>
      <c r="H138" s="231"/>
      <c r="I138" s="233"/>
      <c r="J138" s="236"/>
      <c r="K138" s="271"/>
      <c r="L138" s="224" t="s">
        <v>147</v>
      </c>
      <c r="M138" s="224" t="s">
        <v>41</v>
      </c>
      <c r="O138">
        <f t="shared" si="0"/>
        <v>0</v>
      </c>
    </row>
    <row r="139" spans="1:15" x14ac:dyDescent="0.25">
      <c r="A139" s="246"/>
      <c r="B139" s="352"/>
      <c r="C139" s="233"/>
      <c r="D139" s="233"/>
      <c r="E139" s="230"/>
      <c r="F139" s="230"/>
      <c r="G139" s="230"/>
      <c r="H139" s="231"/>
      <c r="I139" s="230"/>
      <c r="J139" s="236"/>
      <c r="K139" s="271"/>
      <c r="L139" s="224" t="s">
        <v>147</v>
      </c>
      <c r="M139" s="224" t="s">
        <v>41</v>
      </c>
      <c r="O139">
        <f t="shared" si="0"/>
        <v>0</v>
      </c>
    </row>
    <row r="140" spans="1:15" x14ac:dyDescent="0.25">
      <c r="A140" s="246"/>
      <c r="B140" s="352"/>
      <c r="C140" s="233"/>
      <c r="D140" s="233"/>
      <c r="E140" s="230"/>
      <c r="F140" s="230"/>
      <c r="G140" s="230"/>
      <c r="H140" s="231"/>
      <c r="I140" s="233"/>
      <c r="J140" s="236"/>
      <c r="K140" s="271"/>
      <c r="L140" s="224" t="s">
        <v>147</v>
      </c>
      <c r="M140" s="224" t="s">
        <v>41</v>
      </c>
      <c r="O140">
        <f t="shared" si="0"/>
        <v>0</v>
      </c>
    </row>
    <row r="141" spans="1:15" x14ac:dyDescent="0.25">
      <c r="A141" s="246"/>
      <c r="B141" s="352"/>
      <c r="C141" s="233"/>
      <c r="D141" s="233"/>
      <c r="E141" s="230"/>
      <c r="F141" s="230"/>
      <c r="G141" s="230"/>
      <c r="H141" s="231"/>
      <c r="I141" s="230"/>
      <c r="J141" s="236"/>
      <c r="K141" s="271"/>
      <c r="L141" s="224" t="s">
        <v>147</v>
      </c>
      <c r="M141" s="224" t="s">
        <v>41</v>
      </c>
      <c r="O141">
        <f t="shared" si="0"/>
        <v>0</v>
      </c>
    </row>
    <row r="142" spans="1:15" x14ac:dyDescent="0.25">
      <c r="A142" s="246"/>
      <c r="B142" s="352"/>
      <c r="C142" s="233"/>
      <c r="D142" s="233"/>
      <c r="E142" s="230"/>
      <c r="F142" s="230"/>
      <c r="G142" s="230"/>
      <c r="H142" s="231"/>
      <c r="I142" s="233"/>
      <c r="J142" s="236"/>
      <c r="K142" s="271"/>
      <c r="L142" s="224" t="s">
        <v>147</v>
      </c>
      <c r="M142" s="224" t="s">
        <v>41</v>
      </c>
      <c r="O142">
        <f t="shared" si="0"/>
        <v>0</v>
      </c>
    </row>
    <row r="143" spans="1:15" x14ac:dyDescent="0.25">
      <c r="A143" s="246"/>
      <c r="B143" s="352"/>
      <c r="C143" s="233"/>
      <c r="D143" s="233"/>
      <c r="E143" s="230"/>
      <c r="F143" s="230"/>
      <c r="G143" s="230"/>
      <c r="H143" s="231"/>
      <c r="I143" s="233"/>
      <c r="J143" s="236"/>
      <c r="K143" s="271"/>
      <c r="L143" s="224" t="s">
        <v>147</v>
      </c>
      <c r="M143" s="224" t="s">
        <v>41</v>
      </c>
      <c r="O143">
        <f t="shared" si="0"/>
        <v>0</v>
      </c>
    </row>
    <row r="144" spans="1:15" x14ac:dyDescent="0.25">
      <c r="A144" s="246"/>
      <c r="B144" s="352"/>
      <c r="C144" s="233"/>
      <c r="D144" s="233"/>
      <c r="E144" s="230"/>
      <c r="F144" s="230"/>
      <c r="G144" s="230"/>
      <c r="H144" s="231"/>
      <c r="I144" s="230"/>
      <c r="J144" s="236"/>
      <c r="K144" s="271"/>
      <c r="L144" s="224" t="s">
        <v>147</v>
      </c>
      <c r="M144" s="224" t="s">
        <v>41</v>
      </c>
      <c r="O144">
        <f t="shared" si="0"/>
        <v>0</v>
      </c>
    </row>
    <row r="145" spans="1:18" x14ac:dyDescent="0.25">
      <c r="A145" s="246"/>
      <c r="B145" s="352"/>
      <c r="C145" s="233"/>
      <c r="D145" s="233"/>
      <c r="E145" s="230"/>
      <c r="F145" s="230"/>
      <c r="G145" s="230"/>
      <c r="H145" s="231"/>
      <c r="I145" s="230"/>
      <c r="J145" s="236"/>
      <c r="K145" s="271"/>
      <c r="L145" s="224" t="s">
        <v>147</v>
      </c>
      <c r="M145" s="224" t="s">
        <v>41</v>
      </c>
      <c r="O145">
        <f t="shared" si="0"/>
        <v>0</v>
      </c>
    </row>
    <row r="146" spans="1:18" x14ac:dyDescent="0.25">
      <c r="A146" s="246"/>
      <c r="B146" s="352"/>
      <c r="C146" s="233"/>
      <c r="D146" s="233"/>
      <c r="E146" s="230"/>
      <c r="F146" s="230"/>
      <c r="G146" s="230"/>
      <c r="H146" s="231"/>
      <c r="I146" s="230"/>
      <c r="J146" s="236"/>
      <c r="K146" s="271"/>
      <c r="L146" s="224" t="s">
        <v>147</v>
      </c>
      <c r="M146" s="224" t="s">
        <v>41</v>
      </c>
      <c r="O146">
        <f t="shared" si="0"/>
        <v>0</v>
      </c>
    </row>
    <row r="147" spans="1:18" x14ac:dyDescent="0.25">
      <c r="A147" s="246"/>
      <c r="B147" s="352"/>
      <c r="C147" s="233"/>
      <c r="D147" s="233"/>
      <c r="E147" s="230"/>
      <c r="F147" s="230"/>
      <c r="G147" s="230"/>
      <c r="H147" s="231"/>
      <c r="I147" s="230"/>
      <c r="J147" s="236"/>
      <c r="K147" s="271"/>
      <c r="L147" s="224" t="s">
        <v>147</v>
      </c>
      <c r="M147" s="224" t="s">
        <v>41</v>
      </c>
      <c r="O147">
        <f t="shared" si="0"/>
        <v>0</v>
      </c>
      <c r="R147" s="69">
        <f>SUM(J144:J146,J148:J159,J161:J162)</f>
        <v>0</v>
      </c>
    </row>
    <row r="148" spans="1:18" x14ac:dyDescent="0.25">
      <c r="A148" s="246"/>
      <c r="B148" s="352"/>
      <c r="C148" s="233"/>
      <c r="D148" s="233"/>
      <c r="E148" s="230"/>
      <c r="F148" s="230"/>
      <c r="G148" s="230"/>
      <c r="H148" s="231"/>
      <c r="I148" s="233"/>
      <c r="J148" s="236"/>
      <c r="K148" s="271"/>
      <c r="L148" s="224" t="s">
        <v>147</v>
      </c>
      <c r="M148" s="224" t="s">
        <v>41</v>
      </c>
      <c r="O148">
        <f t="shared" si="0"/>
        <v>0</v>
      </c>
    </row>
    <row r="149" spans="1:18" x14ac:dyDescent="0.25">
      <c r="A149" s="246"/>
      <c r="B149" s="352"/>
      <c r="C149" s="233"/>
      <c r="D149" s="233"/>
      <c r="E149" s="230"/>
      <c r="F149" s="230"/>
      <c r="G149" s="230"/>
      <c r="H149" s="231"/>
      <c r="I149" s="230"/>
      <c r="J149" s="236"/>
      <c r="K149" s="271"/>
      <c r="L149" s="224" t="s">
        <v>147</v>
      </c>
      <c r="M149" s="224" t="s">
        <v>41</v>
      </c>
      <c r="O149">
        <f t="shared" si="0"/>
        <v>0</v>
      </c>
    </row>
    <row r="150" spans="1:18" x14ac:dyDescent="0.25">
      <c r="A150" s="246"/>
      <c r="B150" s="352"/>
      <c r="C150" s="233"/>
      <c r="D150" s="233"/>
      <c r="E150" s="230"/>
      <c r="F150" s="230"/>
      <c r="G150" s="230"/>
      <c r="H150" s="231"/>
      <c r="I150" s="230"/>
      <c r="J150" s="236"/>
      <c r="K150" s="271"/>
      <c r="L150" s="224" t="s">
        <v>147</v>
      </c>
      <c r="M150" s="224" t="s">
        <v>41</v>
      </c>
      <c r="O150">
        <f t="shared" si="0"/>
        <v>0</v>
      </c>
    </row>
    <row r="151" spans="1:18" x14ac:dyDescent="0.25">
      <c r="A151" s="246"/>
      <c r="B151" s="352"/>
      <c r="C151" s="233"/>
      <c r="D151" s="233"/>
      <c r="E151" s="230"/>
      <c r="F151" s="230"/>
      <c r="G151" s="230"/>
      <c r="H151" s="231"/>
      <c r="I151" s="230"/>
      <c r="J151" s="236"/>
      <c r="K151" s="271"/>
      <c r="L151" s="224" t="s">
        <v>147</v>
      </c>
      <c r="M151" s="224" t="s">
        <v>41</v>
      </c>
      <c r="O151">
        <f t="shared" si="0"/>
        <v>0</v>
      </c>
    </row>
    <row r="152" spans="1:18" x14ac:dyDescent="0.25">
      <c r="A152" s="246"/>
      <c r="B152" s="352"/>
      <c r="C152" s="233"/>
      <c r="D152" s="233"/>
      <c r="E152" s="230"/>
      <c r="F152" s="230"/>
      <c r="G152" s="230"/>
      <c r="H152" s="231"/>
      <c r="I152" s="233"/>
      <c r="J152" s="236"/>
      <c r="K152" s="271"/>
      <c r="L152" s="224" t="s">
        <v>147</v>
      </c>
      <c r="M152" s="224" t="s">
        <v>41</v>
      </c>
      <c r="O152">
        <f t="shared" si="0"/>
        <v>0</v>
      </c>
    </row>
    <row r="153" spans="1:18" x14ac:dyDescent="0.25">
      <c r="A153" s="246"/>
      <c r="B153" s="352"/>
      <c r="C153" s="233"/>
      <c r="D153" s="233"/>
      <c r="E153" s="230"/>
      <c r="F153" s="230"/>
      <c r="G153" s="230"/>
      <c r="H153" s="231"/>
      <c r="I153" s="233"/>
      <c r="J153" s="236"/>
      <c r="K153" s="271"/>
      <c r="L153" s="224" t="s">
        <v>147</v>
      </c>
      <c r="M153" s="224" t="s">
        <v>41</v>
      </c>
      <c r="O153">
        <f t="shared" si="0"/>
        <v>0</v>
      </c>
    </row>
    <row r="154" spans="1:18" x14ac:dyDescent="0.25">
      <c r="A154" s="246"/>
      <c r="B154" s="352"/>
      <c r="C154" s="233"/>
      <c r="D154" s="233"/>
      <c r="E154" s="230"/>
      <c r="F154" s="230"/>
      <c r="G154" s="230"/>
      <c r="H154" s="231"/>
      <c r="I154" s="230"/>
      <c r="J154" s="236"/>
      <c r="K154" s="271"/>
      <c r="L154" s="224" t="s">
        <v>147</v>
      </c>
      <c r="M154" s="224" t="s">
        <v>41</v>
      </c>
      <c r="O154">
        <f t="shared" si="0"/>
        <v>0</v>
      </c>
    </row>
    <row r="155" spans="1:18" x14ac:dyDescent="0.25">
      <c r="A155" s="246"/>
      <c r="B155" s="352"/>
      <c r="C155" s="233"/>
      <c r="D155" s="233"/>
      <c r="E155" s="230"/>
      <c r="F155" s="230"/>
      <c r="G155" s="230"/>
      <c r="H155" s="231"/>
      <c r="I155" s="230"/>
      <c r="J155" s="236"/>
      <c r="K155" s="271"/>
      <c r="L155" s="224" t="s">
        <v>147</v>
      </c>
      <c r="M155" s="224" t="s">
        <v>41</v>
      </c>
      <c r="O155">
        <f t="shared" si="0"/>
        <v>0</v>
      </c>
    </row>
    <row r="156" spans="1:18" x14ac:dyDescent="0.25">
      <c r="A156" s="246"/>
      <c r="B156" s="352"/>
      <c r="C156" s="233"/>
      <c r="D156" s="233"/>
      <c r="E156" s="230"/>
      <c r="F156" s="230"/>
      <c r="G156" s="230"/>
      <c r="H156" s="231"/>
      <c r="I156" s="233"/>
      <c r="J156" s="236"/>
      <c r="K156" s="271"/>
      <c r="L156" s="224" t="s">
        <v>147</v>
      </c>
      <c r="M156" s="224" t="s">
        <v>41</v>
      </c>
      <c r="O156">
        <f t="shared" si="0"/>
        <v>0</v>
      </c>
    </row>
    <row r="157" spans="1:18" x14ac:dyDescent="0.25">
      <c r="A157" s="246"/>
      <c r="B157" s="352"/>
      <c r="C157" s="233"/>
      <c r="D157" s="233"/>
      <c r="E157" s="230"/>
      <c r="F157" s="230"/>
      <c r="G157" s="230"/>
      <c r="H157" s="231"/>
      <c r="I157" s="230"/>
      <c r="J157" s="236"/>
      <c r="K157" s="271"/>
      <c r="L157" s="224" t="s">
        <v>147</v>
      </c>
      <c r="M157" s="224" t="s">
        <v>41</v>
      </c>
      <c r="O157">
        <f t="shared" si="0"/>
        <v>0</v>
      </c>
    </row>
    <row r="158" spans="1:18" x14ac:dyDescent="0.25">
      <c r="A158" s="246"/>
      <c r="B158" s="352"/>
      <c r="C158" s="233"/>
      <c r="D158" s="233"/>
      <c r="E158" s="230"/>
      <c r="F158" s="230"/>
      <c r="G158" s="230"/>
      <c r="H158" s="231"/>
      <c r="I158" s="233"/>
      <c r="J158" s="236"/>
      <c r="K158" s="271"/>
      <c r="L158" s="224" t="s">
        <v>147</v>
      </c>
      <c r="M158" s="224" t="s">
        <v>41</v>
      </c>
      <c r="O158">
        <f t="shared" si="0"/>
        <v>0</v>
      </c>
    </row>
    <row r="159" spans="1:18" x14ac:dyDescent="0.25">
      <c r="A159" s="246"/>
      <c r="B159" s="352"/>
      <c r="C159" s="233"/>
      <c r="D159" s="233"/>
      <c r="E159" s="230"/>
      <c r="F159" s="230"/>
      <c r="G159" s="230"/>
      <c r="H159" s="231"/>
      <c r="I159" s="233"/>
      <c r="J159" s="236"/>
      <c r="K159" s="271"/>
      <c r="L159" s="224" t="s">
        <v>147</v>
      </c>
      <c r="M159" s="224" t="s">
        <v>41</v>
      </c>
      <c r="O159">
        <f t="shared" si="0"/>
        <v>0</v>
      </c>
    </row>
    <row r="160" spans="1:18" x14ac:dyDescent="0.25">
      <c r="A160" s="246"/>
      <c r="B160" s="352"/>
      <c r="C160" s="233"/>
      <c r="D160" s="233"/>
      <c r="E160" s="230"/>
      <c r="F160" s="230"/>
      <c r="G160" s="230"/>
      <c r="H160" s="231"/>
      <c r="I160" s="230"/>
      <c r="J160" s="236"/>
      <c r="K160" s="271"/>
      <c r="L160" s="224" t="s">
        <v>147</v>
      </c>
      <c r="M160" s="224" t="s">
        <v>41</v>
      </c>
      <c r="O160">
        <f t="shared" si="0"/>
        <v>0</v>
      </c>
    </row>
    <row r="161" spans="1:15" x14ac:dyDescent="0.25">
      <c r="A161" s="246"/>
      <c r="B161" s="352"/>
      <c r="C161" s="233"/>
      <c r="D161" s="233"/>
      <c r="E161" s="230"/>
      <c r="F161" s="230"/>
      <c r="G161" s="230"/>
      <c r="H161" s="231"/>
      <c r="I161" s="230"/>
      <c r="J161" s="236"/>
      <c r="K161" s="271"/>
      <c r="L161" s="224" t="s">
        <v>147</v>
      </c>
      <c r="M161" s="224" t="s">
        <v>41</v>
      </c>
      <c r="O161">
        <f t="shared" si="0"/>
        <v>0</v>
      </c>
    </row>
    <row r="162" spans="1:15" x14ac:dyDescent="0.25">
      <c r="A162" s="246"/>
      <c r="B162" s="352"/>
      <c r="C162" s="233"/>
      <c r="D162" s="233"/>
      <c r="E162" s="230"/>
      <c r="F162" s="230"/>
      <c r="G162" s="230"/>
      <c r="H162" s="231"/>
      <c r="I162" s="233"/>
      <c r="J162" s="236"/>
      <c r="K162" s="271"/>
      <c r="L162" s="224" t="s">
        <v>147</v>
      </c>
      <c r="M162" s="224" t="s">
        <v>41</v>
      </c>
      <c r="O162">
        <f t="shared" si="0"/>
        <v>0</v>
      </c>
    </row>
    <row r="163" spans="1:15" x14ac:dyDescent="0.25">
      <c r="A163" s="246"/>
      <c r="B163" s="352"/>
      <c r="C163" s="233"/>
      <c r="D163" s="233"/>
      <c r="E163" s="230"/>
      <c r="F163" s="230"/>
      <c r="G163" s="230"/>
      <c r="H163" s="231"/>
      <c r="I163" s="233"/>
      <c r="J163" s="236"/>
      <c r="K163" s="271"/>
      <c r="L163" s="224" t="s">
        <v>147</v>
      </c>
      <c r="M163" s="224" t="s">
        <v>41</v>
      </c>
      <c r="O163">
        <f t="shared" si="0"/>
        <v>0</v>
      </c>
    </row>
    <row r="164" spans="1:15" x14ac:dyDescent="0.25">
      <c r="A164" s="246"/>
      <c r="B164" s="352"/>
      <c r="C164" s="233"/>
      <c r="D164" s="233"/>
      <c r="E164" s="230"/>
      <c r="F164" s="230"/>
      <c r="G164" s="230"/>
      <c r="H164" s="231"/>
      <c r="I164" s="230"/>
      <c r="J164" s="236"/>
      <c r="K164" s="271"/>
      <c r="L164" s="224" t="s">
        <v>147</v>
      </c>
      <c r="M164" s="224" t="s">
        <v>41</v>
      </c>
      <c r="O164">
        <f t="shared" si="0"/>
        <v>0</v>
      </c>
    </row>
    <row r="165" spans="1:15" x14ac:dyDescent="0.25">
      <c r="A165" s="246"/>
      <c r="B165" s="352"/>
      <c r="C165" s="233"/>
      <c r="D165" s="233"/>
      <c r="E165" s="230"/>
      <c r="F165" s="230"/>
      <c r="G165" s="230"/>
      <c r="H165" s="231"/>
      <c r="I165" s="233"/>
      <c r="J165" s="236"/>
      <c r="K165" s="271"/>
      <c r="L165" s="224" t="s">
        <v>147</v>
      </c>
      <c r="M165" s="224" t="s">
        <v>41</v>
      </c>
      <c r="O165">
        <f t="shared" si="0"/>
        <v>0</v>
      </c>
    </row>
    <row r="166" spans="1:15" x14ac:dyDescent="0.25">
      <c r="A166" s="246"/>
      <c r="B166" s="352"/>
      <c r="C166" s="233"/>
      <c r="D166" s="233"/>
      <c r="E166" s="230"/>
      <c r="F166" s="230"/>
      <c r="G166" s="230"/>
      <c r="H166" s="231"/>
      <c r="I166" s="233"/>
      <c r="J166" s="236"/>
      <c r="K166" s="271"/>
      <c r="L166" s="224" t="s">
        <v>147</v>
      </c>
      <c r="M166" s="224" t="s">
        <v>41</v>
      </c>
      <c r="O166">
        <f t="shared" si="0"/>
        <v>0</v>
      </c>
    </row>
    <row r="167" spans="1:15" x14ac:dyDescent="0.25">
      <c r="A167" s="246"/>
      <c r="B167" s="352"/>
      <c r="C167" s="233"/>
      <c r="D167" s="233"/>
      <c r="E167" s="230"/>
      <c r="F167" s="230"/>
      <c r="G167" s="230"/>
      <c r="H167" s="231"/>
      <c r="I167" s="233"/>
      <c r="J167" s="236"/>
      <c r="K167" s="271"/>
      <c r="L167" s="224" t="s">
        <v>147</v>
      </c>
      <c r="M167" s="224" t="s">
        <v>41</v>
      </c>
      <c r="O167">
        <f t="shared" si="0"/>
        <v>0</v>
      </c>
    </row>
    <row r="168" spans="1:15" x14ac:dyDescent="0.25">
      <c r="A168" s="246"/>
      <c r="B168" s="352"/>
      <c r="C168" s="233"/>
      <c r="D168" s="233"/>
      <c r="E168" s="230"/>
      <c r="F168" s="230"/>
      <c r="G168" s="230"/>
      <c r="H168" s="231"/>
      <c r="I168" s="230"/>
      <c r="J168" s="236"/>
      <c r="K168" s="271"/>
      <c r="L168" s="224" t="s">
        <v>147</v>
      </c>
      <c r="M168" s="224" t="s">
        <v>41</v>
      </c>
      <c r="O168">
        <f t="shared" si="0"/>
        <v>0</v>
      </c>
    </row>
    <row r="169" spans="1:15" x14ac:dyDescent="0.25">
      <c r="A169" s="246"/>
      <c r="B169" s="352"/>
      <c r="C169" s="233"/>
      <c r="D169" s="233"/>
      <c r="E169" s="230"/>
      <c r="F169" s="230"/>
      <c r="G169" s="230"/>
      <c r="H169" s="231"/>
      <c r="I169" s="233"/>
      <c r="J169" s="236"/>
      <c r="K169" s="271"/>
      <c r="L169" s="224" t="s">
        <v>147</v>
      </c>
      <c r="M169" s="224" t="s">
        <v>41</v>
      </c>
      <c r="O169">
        <f t="shared" si="0"/>
        <v>0</v>
      </c>
    </row>
    <row r="170" spans="1:15" x14ac:dyDescent="0.25">
      <c r="A170" s="246"/>
      <c r="B170" s="352"/>
      <c r="C170" s="233"/>
      <c r="D170" s="233"/>
      <c r="E170" s="230"/>
      <c r="F170" s="230"/>
      <c r="G170" s="230"/>
      <c r="H170" s="231"/>
      <c r="I170" s="230"/>
      <c r="J170" s="236"/>
      <c r="K170" s="271"/>
      <c r="L170" s="224" t="s">
        <v>147</v>
      </c>
      <c r="M170" s="224" t="s">
        <v>41</v>
      </c>
      <c r="O170">
        <f t="shared" si="0"/>
        <v>0</v>
      </c>
    </row>
    <row r="171" spans="1:15" x14ac:dyDescent="0.25">
      <c r="A171" s="246"/>
      <c r="B171" s="352"/>
      <c r="C171" s="233"/>
      <c r="D171" s="233"/>
      <c r="E171" s="230"/>
      <c r="F171" s="230"/>
      <c r="G171" s="230"/>
      <c r="H171" s="231"/>
      <c r="I171" s="233"/>
      <c r="J171" s="236"/>
      <c r="K171" s="271"/>
      <c r="L171" s="224" t="s">
        <v>147</v>
      </c>
      <c r="M171" s="224" t="s">
        <v>41</v>
      </c>
      <c r="O171">
        <f t="shared" si="0"/>
        <v>0</v>
      </c>
    </row>
    <row r="172" spans="1:15" x14ac:dyDescent="0.25">
      <c r="A172" s="246"/>
      <c r="B172" s="352"/>
      <c r="C172" s="233"/>
      <c r="D172" s="233"/>
      <c r="E172" s="230"/>
      <c r="F172" s="230"/>
      <c r="G172" s="230"/>
      <c r="H172" s="231"/>
      <c r="I172" s="233"/>
      <c r="J172" s="236"/>
      <c r="K172" s="271"/>
      <c r="L172" s="224" t="s">
        <v>147</v>
      </c>
      <c r="M172" s="224" t="s">
        <v>41</v>
      </c>
      <c r="O172">
        <f t="shared" si="0"/>
        <v>0</v>
      </c>
    </row>
    <row r="173" spans="1:15" x14ac:dyDescent="0.25">
      <c r="A173" s="246"/>
      <c r="B173" s="352"/>
      <c r="C173" s="233"/>
      <c r="D173" s="233"/>
      <c r="E173" s="230"/>
      <c r="F173" s="230"/>
      <c r="G173" s="230"/>
      <c r="H173" s="231"/>
      <c r="I173" s="230"/>
      <c r="J173" s="236"/>
      <c r="K173" s="271"/>
      <c r="L173" s="224" t="s">
        <v>147</v>
      </c>
      <c r="M173" s="224" t="s">
        <v>41</v>
      </c>
      <c r="O173">
        <f t="shared" si="0"/>
        <v>0</v>
      </c>
    </row>
    <row r="174" spans="1:15" x14ac:dyDescent="0.25">
      <c r="A174" s="246"/>
      <c r="B174" s="352"/>
      <c r="C174" s="233"/>
      <c r="D174" s="233"/>
      <c r="E174" s="230"/>
      <c r="F174" s="230"/>
      <c r="G174" s="230"/>
      <c r="H174" s="231"/>
      <c r="I174" s="230"/>
      <c r="J174" s="236"/>
      <c r="K174" s="271"/>
      <c r="L174" s="224" t="s">
        <v>147</v>
      </c>
      <c r="M174" s="224" t="s">
        <v>41</v>
      </c>
      <c r="O174">
        <f t="shared" si="0"/>
        <v>0</v>
      </c>
    </row>
    <row r="175" spans="1:15" x14ac:dyDescent="0.25">
      <c r="A175" s="246"/>
      <c r="B175" s="352"/>
      <c r="C175" s="233"/>
      <c r="D175" s="233"/>
      <c r="E175" s="230"/>
      <c r="F175" s="230"/>
      <c r="G175" s="230"/>
      <c r="H175" s="231"/>
      <c r="I175" s="233"/>
      <c r="J175" s="236"/>
      <c r="K175" s="271"/>
      <c r="L175" s="224" t="s">
        <v>147</v>
      </c>
      <c r="M175" s="224" t="s">
        <v>41</v>
      </c>
      <c r="O175">
        <f t="shared" si="0"/>
        <v>0</v>
      </c>
    </row>
    <row r="176" spans="1:15" x14ac:dyDescent="0.25">
      <c r="A176" s="246"/>
      <c r="B176" s="352"/>
      <c r="C176" s="233"/>
      <c r="D176" s="233"/>
      <c r="E176" s="230"/>
      <c r="F176" s="230"/>
      <c r="G176" s="230"/>
      <c r="H176" s="231"/>
      <c r="I176" s="230"/>
      <c r="J176" s="236"/>
      <c r="K176" s="271"/>
      <c r="L176" s="224" t="s">
        <v>147</v>
      </c>
      <c r="M176" s="224" t="s">
        <v>41</v>
      </c>
      <c r="O176">
        <f t="shared" si="0"/>
        <v>0</v>
      </c>
    </row>
    <row r="177" spans="1:15" x14ac:dyDescent="0.25">
      <c r="A177" s="246"/>
      <c r="B177" s="352"/>
      <c r="C177" s="233"/>
      <c r="D177" s="233"/>
      <c r="E177" s="230"/>
      <c r="F177" s="230"/>
      <c r="G177" s="230"/>
      <c r="H177" s="231"/>
      <c r="I177" s="233"/>
      <c r="J177" s="236"/>
      <c r="K177" s="271"/>
      <c r="L177" s="224" t="s">
        <v>147</v>
      </c>
      <c r="M177" s="224" t="s">
        <v>41</v>
      </c>
      <c r="O177">
        <f t="shared" si="0"/>
        <v>0</v>
      </c>
    </row>
    <row r="178" spans="1:15" x14ac:dyDescent="0.25">
      <c r="A178" s="246"/>
      <c r="B178" s="352"/>
      <c r="C178" s="233"/>
      <c r="D178" s="233"/>
      <c r="E178" s="230"/>
      <c r="F178" s="230"/>
      <c r="G178" s="230"/>
      <c r="H178" s="231"/>
      <c r="I178" s="230"/>
      <c r="J178" s="236"/>
      <c r="K178" s="271"/>
      <c r="L178" s="224" t="s">
        <v>147</v>
      </c>
      <c r="M178" s="224" t="s">
        <v>41</v>
      </c>
      <c r="O178">
        <f t="shared" si="0"/>
        <v>0</v>
      </c>
    </row>
    <row r="179" spans="1:15" x14ac:dyDescent="0.25">
      <c r="A179" s="246"/>
      <c r="B179" s="352"/>
      <c r="C179" s="233"/>
      <c r="D179" s="233"/>
      <c r="E179" s="230"/>
      <c r="F179" s="230"/>
      <c r="G179" s="230"/>
      <c r="H179" s="231"/>
      <c r="I179" s="230"/>
      <c r="J179" s="236"/>
      <c r="K179" s="271"/>
      <c r="L179" s="224" t="s">
        <v>147</v>
      </c>
      <c r="M179" s="224" t="s">
        <v>41</v>
      </c>
      <c r="O179">
        <f t="shared" si="0"/>
        <v>0</v>
      </c>
    </row>
    <row r="180" spans="1:15" x14ac:dyDescent="0.25">
      <c r="A180" s="246"/>
      <c r="B180" s="352"/>
      <c r="C180" s="233"/>
      <c r="D180" s="233"/>
      <c r="E180" s="230"/>
      <c r="F180" s="230"/>
      <c r="G180" s="230"/>
      <c r="H180" s="231"/>
      <c r="I180" s="230"/>
      <c r="J180" s="236"/>
      <c r="K180" s="271"/>
      <c r="L180" s="224" t="s">
        <v>147</v>
      </c>
      <c r="M180" s="224" t="s">
        <v>41</v>
      </c>
      <c r="O180">
        <f t="shared" si="0"/>
        <v>0</v>
      </c>
    </row>
    <row r="181" spans="1:15" x14ac:dyDescent="0.25">
      <c r="A181" s="246"/>
      <c r="B181" s="352"/>
      <c r="C181" s="233"/>
      <c r="D181" s="233"/>
      <c r="E181" s="230"/>
      <c r="F181" s="230"/>
      <c r="G181" s="230"/>
      <c r="H181" s="231"/>
      <c r="I181" s="230"/>
      <c r="J181" s="236"/>
      <c r="K181" s="271"/>
      <c r="L181" s="224" t="s">
        <v>147</v>
      </c>
      <c r="M181" s="224" t="s">
        <v>41</v>
      </c>
      <c r="O181">
        <f t="shared" si="0"/>
        <v>0</v>
      </c>
    </row>
    <row r="182" spans="1:15" x14ac:dyDescent="0.25">
      <c r="A182" s="246"/>
      <c r="B182" s="352"/>
      <c r="C182" s="233"/>
      <c r="D182" s="233"/>
      <c r="E182" s="230"/>
      <c r="F182" s="230"/>
      <c r="G182" s="230"/>
      <c r="H182" s="231"/>
      <c r="I182" s="230"/>
      <c r="J182" s="236"/>
      <c r="K182" s="271"/>
      <c r="L182" s="224" t="s">
        <v>147</v>
      </c>
      <c r="M182" s="224" t="s">
        <v>41</v>
      </c>
      <c r="O182">
        <f t="shared" si="0"/>
        <v>0</v>
      </c>
    </row>
    <row r="183" spans="1:15" x14ac:dyDescent="0.25">
      <c r="A183" s="246"/>
      <c r="B183" s="352"/>
      <c r="C183" s="233"/>
      <c r="D183" s="233"/>
      <c r="E183" s="230"/>
      <c r="F183" s="230"/>
      <c r="G183" s="230"/>
      <c r="H183" s="231"/>
      <c r="I183" s="230"/>
      <c r="J183" s="236"/>
      <c r="K183" s="271"/>
      <c r="L183" s="224" t="s">
        <v>147</v>
      </c>
      <c r="M183" s="224" t="s">
        <v>41</v>
      </c>
      <c r="O183">
        <f t="shared" si="0"/>
        <v>0</v>
      </c>
    </row>
    <row r="184" spans="1:15" x14ac:dyDescent="0.25">
      <c r="A184" s="246"/>
      <c r="B184" s="352"/>
      <c r="C184" s="233"/>
      <c r="D184" s="233"/>
      <c r="E184" s="230"/>
      <c r="F184" s="230"/>
      <c r="G184" s="230"/>
      <c r="H184" s="231"/>
      <c r="I184" s="233"/>
      <c r="J184" s="236"/>
      <c r="K184" s="271"/>
      <c r="L184" s="224" t="s">
        <v>147</v>
      </c>
      <c r="M184" s="224" t="s">
        <v>41</v>
      </c>
      <c r="O184">
        <f t="shared" si="0"/>
        <v>0</v>
      </c>
    </row>
    <row r="185" spans="1:15" x14ac:dyDescent="0.25">
      <c r="A185" s="246"/>
      <c r="B185" s="352"/>
      <c r="C185" s="233"/>
      <c r="D185" s="233"/>
      <c r="E185" s="230"/>
      <c r="F185" s="230"/>
      <c r="G185" s="230"/>
      <c r="H185" s="231"/>
      <c r="I185" s="230"/>
      <c r="J185" s="236"/>
      <c r="K185" s="271"/>
      <c r="L185" s="224" t="s">
        <v>147</v>
      </c>
      <c r="M185" s="224" t="s">
        <v>41</v>
      </c>
      <c r="O185">
        <f t="shared" si="0"/>
        <v>0</v>
      </c>
    </row>
    <row r="186" spans="1:15" x14ac:dyDescent="0.25">
      <c r="A186" s="246"/>
      <c r="B186" s="352"/>
      <c r="C186" s="233"/>
      <c r="D186" s="233"/>
      <c r="E186" s="230"/>
      <c r="F186" s="230"/>
      <c r="G186" s="230"/>
      <c r="H186" s="231"/>
      <c r="I186" s="233"/>
      <c r="J186" s="236"/>
      <c r="K186" s="271"/>
      <c r="L186" s="224" t="s">
        <v>147</v>
      </c>
      <c r="M186" s="224" t="s">
        <v>41</v>
      </c>
      <c r="O186">
        <f t="shared" si="0"/>
        <v>0</v>
      </c>
    </row>
    <row r="187" spans="1:15" x14ac:dyDescent="0.25">
      <c r="A187" s="246"/>
      <c r="B187" s="352"/>
      <c r="C187" s="233"/>
      <c r="D187" s="233"/>
      <c r="E187" s="230"/>
      <c r="F187" s="230"/>
      <c r="G187" s="230"/>
      <c r="H187" s="231"/>
      <c r="I187" s="233"/>
      <c r="J187" s="236"/>
      <c r="K187" s="271"/>
      <c r="L187" s="224" t="s">
        <v>147</v>
      </c>
      <c r="M187" s="224" t="s">
        <v>41</v>
      </c>
      <c r="O187">
        <f t="shared" si="0"/>
        <v>0</v>
      </c>
    </row>
    <row r="188" spans="1:15" x14ac:dyDescent="0.25">
      <c r="A188" s="246"/>
      <c r="B188" s="352"/>
      <c r="C188" s="233"/>
      <c r="D188" s="233"/>
      <c r="E188" s="230"/>
      <c r="F188" s="230"/>
      <c r="G188" s="230"/>
      <c r="H188" s="231"/>
      <c r="I188" s="230"/>
      <c r="J188" s="236"/>
      <c r="K188" s="271"/>
      <c r="L188" s="224" t="s">
        <v>147</v>
      </c>
      <c r="M188" s="224" t="s">
        <v>41</v>
      </c>
      <c r="O188">
        <f t="shared" si="0"/>
        <v>0</v>
      </c>
    </row>
    <row r="189" spans="1:15" x14ac:dyDescent="0.25">
      <c r="A189" s="246"/>
      <c r="B189" s="352"/>
      <c r="C189" s="233"/>
      <c r="D189" s="233"/>
      <c r="E189" s="230"/>
      <c r="F189" s="230"/>
      <c r="G189" s="230"/>
      <c r="H189" s="231"/>
      <c r="I189" s="233"/>
      <c r="J189" s="236"/>
      <c r="K189" s="271"/>
      <c r="L189" s="224" t="s">
        <v>147</v>
      </c>
      <c r="M189" s="224" t="s">
        <v>41</v>
      </c>
      <c r="O189">
        <f t="shared" si="0"/>
        <v>0</v>
      </c>
    </row>
    <row r="190" spans="1:15" x14ac:dyDescent="0.25">
      <c r="A190" s="246"/>
      <c r="B190" s="352"/>
      <c r="C190" s="233"/>
      <c r="D190" s="233"/>
      <c r="E190" s="230"/>
      <c r="F190" s="230"/>
      <c r="G190" s="230"/>
      <c r="H190" s="231"/>
      <c r="I190" s="230"/>
      <c r="J190" s="236"/>
      <c r="K190" s="271"/>
      <c r="L190" s="224" t="s">
        <v>147</v>
      </c>
      <c r="M190" s="224" t="s">
        <v>41</v>
      </c>
      <c r="O190">
        <f t="shared" si="0"/>
        <v>0</v>
      </c>
    </row>
    <row r="191" spans="1:15" x14ac:dyDescent="0.25">
      <c r="A191" s="246"/>
      <c r="B191" s="352"/>
      <c r="C191" s="233"/>
      <c r="D191" s="233"/>
      <c r="E191" s="230"/>
      <c r="F191" s="230"/>
      <c r="G191" s="230"/>
      <c r="H191" s="231"/>
      <c r="I191" s="233"/>
      <c r="J191" s="236"/>
      <c r="K191" s="271"/>
      <c r="L191" s="224" t="s">
        <v>147</v>
      </c>
      <c r="M191" s="224" t="s">
        <v>41</v>
      </c>
      <c r="O191">
        <f t="shared" si="0"/>
        <v>0</v>
      </c>
    </row>
    <row r="192" spans="1:15" x14ac:dyDescent="0.25">
      <c r="A192" s="246"/>
      <c r="B192" s="352"/>
      <c r="C192" s="233"/>
      <c r="D192" s="233"/>
      <c r="E192" s="230"/>
      <c r="F192" s="230"/>
      <c r="G192" s="230"/>
      <c r="H192" s="231"/>
      <c r="I192" s="233"/>
      <c r="J192" s="236"/>
      <c r="K192" s="271"/>
      <c r="L192" s="224" t="s">
        <v>147</v>
      </c>
      <c r="M192" s="224" t="s">
        <v>41</v>
      </c>
      <c r="O192">
        <f t="shared" si="0"/>
        <v>0</v>
      </c>
    </row>
    <row r="193" spans="1:15" x14ac:dyDescent="0.25">
      <c r="A193" s="246"/>
      <c r="B193" s="352"/>
      <c r="C193" s="233"/>
      <c r="D193" s="233"/>
      <c r="E193" s="230"/>
      <c r="F193" s="230"/>
      <c r="G193" s="230"/>
      <c r="H193" s="231"/>
      <c r="I193" s="230"/>
      <c r="J193" s="236"/>
      <c r="K193" s="271"/>
      <c r="L193" s="224" t="s">
        <v>147</v>
      </c>
      <c r="M193" s="224" t="s">
        <v>41</v>
      </c>
      <c r="O193">
        <f t="shared" si="0"/>
        <v>0</v>
      </c>
    </row>
    <row r="194" spans="1:15" x14ac:dyDescent="0.25">
      <c r="A194" s="246"/>
      <c r="B194" s="352"/>
      <c r="C194" s="233"/>
      <c r="D194" s="233"/>
      <c r="E194" s="230"/>
      <c r="F194" s="230"/>
      <c r="G194" s="230"/>
      <c r="H194" s="231"/>
      <c r="I194" s="233"/>
      <c r="J194" s="236"/>
      <c r="K194" s="271"/>
      <c r="L194" s="224" t="s">
        <v>147</v>
      </c>
      <c r="M194" s="224" t="s">
        <v>41</v>
      </c>
      <c r="O194">
        <f t="shared" si="0"/>
        <v>0</v>
      </c>
    </row>
    <row r="195" spans="1:15" x14ac:dyDescent="0.25">
      <c r="A195" s="246"/>
      <c r="B195" s="352"/>
      <c r="C195" s="233"/>
      <c r="D195" s="233"/>
      <c r="E195" s="230"/>
      <c r="F195" s="230"/>
      <c r="G195" s="230"/>
      <c r="H195" s="231"/>
      <c r="I195" s="230"/>
      <c r="J195" s="236"/>
      <c r="K195" s="271"/>
      <c r="L195" s="224" t="s">
        <v>147</v>
      </c>
      <c r="M195" s="224" t="s">
        <v>41</v>
      </c>
      <c r="O195">
        <f t="shared" si="0"/>
        <v>0</v>
      </c>
    </row>
    <row r="196" spans="1:15" x14ac:dyDescent="0.25">
      <c r="A196" s="246"/>
      <c r="B196" s="352"/>
      <c r="C196" s="233"/>
      <c r="D196" s="233"/>
      <c r="E196" s="230"/>
      <c r="F196" s="230"/>
      <c r="G196" s="230"/>
      <c r="H196" s="231"/>
      <c r="I196" s="233"/>
      <c r="J196" s="236"/>
      <c r="K196" s="271"/>
      <c r="L196" s="224" t="s">
        <v>147</v>
      </c>
      <c r="M196" s="224" t="s">
        <v>41</v>
      </c>
      <c r="O196">
        <f t="shared" si="0"/>
        <v>0</v>
      </c>
    </row>
    <row r="197" spans="1:15" x14ac:dyDescent="0.25">
      <c r="A197" s="246"/>
      <c r="B197" s="352"/>
      <c r="C197" s="233"/>
      <c r="D197" s="233"/>
      <c r="E197" s="230"/>
      <c r="F197" s="230"/>
      <c r="G197" s="230"/>
      <c r="H197" s="231"/>
      <c r="I197" s="233"/>
      <c r="J197" s="236"/>
      <c r="K197" s="271"/>
      <c r="L197" s="224" t="s">
        <v>147</v>
      </c>
      <c r="M197" s="224" t="s">
        <v>41</v>
      </c>
      <c r="O197">
        <f t="shared" si="0"/>
        <v>0</v>
      </c>
    </row>
    <row r="198" spans="1:15" x14ac:dyDescent="0.25">
      <c r="A198" s="246"/>
      <c r="B198" s="352"/>
      <c r="C198" s="233"/>
      <c r="D198" s="233"/>
      <c r="E198" s="230"/>
      <c r="F198" s="230"/>
      <c r="G198" s="230"/>
      <c r="H198" s="231"/>
      <c r="I198" s="230"/>
      <c r="J198" s="236"/>
      <c r="K198" s="271"/>
      <c r="L198" s="224" t="s">
        <v>147</v>
      </c>
      <c r="M198" s="224" t="s">
        <v>41</v>
      </c>
      <c r="O198">
        <f t="shared" si="0"/>
        <v>0</v>
      </c>
    </row>
    <row r="199" spans="1:15" x14ac:dyDescent="0.25">
      <c r="A199" s="246"/>
      <c r="B199" s="352"/>
      <c r="C199" s="233"/>
      <c r="D199" s="233"/>
      <c r="E199" s="230"/>
      <c r="F199" s="230"/>
      <c r="G199" s="230"/>
      <c r="H199" s="231"/>
      <c r="I199" s="230"/>
      <c r="J199" s="236"/>
      <c r="K199" s="271"/>
      <c r="L199" s="224" t="s">
        <v>147</v>
      </c>
      <c r="M199" s="224" t="s">
        <v>41</v>
      </c>
      <c r="O199">
        <f t="shared" si="0"/>
        <v>0</v>
      </c>
    </row>
    <row r="200" spans="1:15" x14ac:dyDescent="0.25">
      <c r="A200" s="246"/>
      <c r="B200" s="352"/>
      <c r="C200" s="233"/>
      <c r="D200" s="233"/>
      <c r="E200" s="230"/>
      <c r="F200" s="230"/>
      <c r="G200" s="230"/>
      <c r="H200" s="231"/>
      <c r="I200" s="233"/>
      <c r="J200" s="236"/>
      <c r="K200" s="271"/>
      <c r="L200" s="224" t="s">
        <v>147</v>
      </c>
      <c r="M200" s="224" t="s">
        <v>41</v>
      </c>
      <c r="O200">
        <f t="shared" si="0"/>
        <v>0</v>
      </c>
    </row>
    <row r="201" spans="1:15" x14ac:dyDescent="0.25">
      <c r="A201" s="246"/>
      <c r="B201" s="352"/>
      <c r="C201" s="233"/>
      <c r="D201" s="233"/>
      <c r="E201" s="230"/>
      <c r="F201" s="230"/>
      <c r="G201" s="230"/>
      <c r="H201" s="231"/>
      <c r="I201" s="230"/>
      <c r="J201" s="236"/>
      <c r="K201" s="271"/>
      <c r="L201" s="224" t="s">
        <v>147</v>
      </c>
      <c r="M201" s="224" t="s">
        <v>41</v>
      </c>
      <c r="O201">
        <f t="shared" si="0"/>
        <v>0</v>
      </c>
    </row>
    <row r="202" spans="1:15" x14ac:dyDescent="0.25">
      <c r="A202" s="246"/>
      <c r="B202" s="352"/>
      <c r="C202" s="233"/>
      <c r="D202" s="233"/>
      <c r="E202" s="230"/>
      <c r="F202" s="230"/>
      <c r="G202" s="230"/>
      <c r="H202" s="231"/>
      <c r="I202" s="233"/>
      <c r="J202" s="236"/>
      <c r="K202" s="271"/>
      <c r="L202" s="224" t="s">
        <v>147</v>
      </c>
      <c r="M202" s="224" t="s">
        <v>41</v>
      </c>
      <c r="O202">
        <f t="shared" si="0"/>
        <v>0</v>
      </c>
    </row>
    <row r="203" spans="1:15" x14ac:dyDescent="0.25">
      <c r="A203" s="246"/>
      <c r="B203" s="352"/>
      <c r="C203" s="233"/>
      <c r="D203" s="233"/>
      <c r="E203" s="230"/>
      <c r="F203" s="230"/>
      <c r="G203" s="230"/>
      <c r="H203" s="231"/>
      <c r="I203" s="233"/>
      <c r="J203" s="236"/>
      <c r="K203" s="271"/>
      <c r="L203" s="224" t="s">
        <v>147</v>
      </c>
      <c r="M203" s="224" t="s">
        <v>41</v>
      </c>
    </row>
    <row r="204" spans="1:15" x14ac:dyDescent="0.25">
      <c r="A204" s="246"/>
      <c r="B204" s="352"/>
      <c r="C204" s="233"/>
      <c r="D204" s="233"/>
      <c r="E204" s="230"/>
      <c r="F204" s="230"/>
      <c r="G204" s="230"/>
      <c r="H204" s="231"/>
      <c r="I204" s="230"/>
      <c r="J204" s="236"/>
      <c r="K204" s="271"/>
      <c r="L204" s="224" t="s">
        <v>147</v>
      </c>
      <c r="M204" s="224" t="s">
        <v>41</v>
      </c>
    </row>
    <row r="205" spans="1:15" x14ac:dyDescent="0.25">
      <c r="A205" s="246"/>
      <c r="B205" s="352"/>
      <c r="C205" s="233"/>
      <c r="D205" s="233"/>
      <c r="E205" s="230"/>
      <c r="F205" s="230"/>
      <c r="G205" s="230"/>
      <c r="H205" s="231"/>
      <c r="I205" s="233"/>
      <c r="J205" s="236"/>
      <c r="K205" s="271"/>
      <c r="L205" s="224" t="s">
        <v>147</v>
      </c>
      <c r="M205" s="224" t="s">
        <v>41</v>
      </c>
    </row>
    <row r="206" spans="1:15" x14ac:dyDescent="0.25">
      <c r="A206" s="246"/>
      <c r="B206" s="352"/>
      <c r="C206" s="233"/>
      <c r="D206" s="233"/>
      <c r="E206" s="230"/>
      <c r="F206" s="230"/>
      <c r="G206" s="230"/>
      <c r="H206" s="231"/>
      <c r="I206" s="230"/>
      <c r="J206" s="236"/>
      <c r="K206" s="271"/>
      <c r="L206" s="224" t="s">
        <v>147</v>
      </c>
      <c r="M206" s="224" t="s">
        <v>41</v>
      </c>
    </row>
    <row r="207" spans="1:15" x14ac:dyDescent="0.25">
      <c r="A207" s="246"/>
      <c r="B207" s="352"/>
      <c r="C207" s="233"/>
      <c r="D207" s="233"/>
      <c r="E207" s="230"/>
      <c r="F207" s="230"/>
      <c r="G207" s="230"/>
      <c r="H207" s="231"/>
      <c r="I207" s="230"/>
      <c r="J207" s="236"/>
      <c r="K207" s="271"/>
      <c r="L207" s="224" t="s">
        <v>147</v>
      </c>
      <c r="M207" s="224" t="s">
        <v>41</v>
      </c>
    </row>
    <row r="208" spans="1:15" x14ac:dyDescent="0.25">
      <c r="A208" s="246"/>
      <c r="B208" s="352"/>
      <c r="C208" s="233"/>
      <c r="D208" s="233"/>
      <c r="E208" s="230"/>
      <c r="F208" s="230"/>
      <c r="G208" s="230"/>
      <c r="H208" s="231"/>
      <c r="I208" s="233"/>
      <c r="J208" s="236"/>
      <c r="K208" s="271"/>
      <c r="L208" s="224" t="s">
        <v>147</v>
      </c>
      <c r="M208" s="224" t="s">
        <v>41</v>
      </c>
    </row>
    <row r="209" spans="1:13" x14ac:dyDescent="0.25">
      <c r="A209" s="246"/>
      <c r="B209" s="352"/>
      <c r="C209" s="233"/>
      <c r="D209" s="233"/>
      <c r="E209" s="230"/>
      <c r="F209" s="230"/>
      <c r="G209" s="230"/>
      <c r="H209" s="231"/>
      <c r="I209" s="233"/>
      <c r="J209" s="236"/>
      <c r="K209" s="271"/>
      <c r="L209" s="224" t="s">
        <v>147</v>
      </c>
      <c r="M209" s="224" t="s">
        <v>41</v>
      </c>
    </row>
    <row r="210" spans="1:13" x14ac:dyDescent="0.25">
      <c r="A210" s="246"/>
      <c r="B210" s="352"/>
      <c r="C210" s="233"/>
      <c r="D210" s="233"/>
      <c r="E210" s="230"/>
      <c r="F210" s="230"/>
      <c r="G210" s="230"/>
      <c r="H210" s="231"/>
      <c r="I210" s="230"/>
      <c r="J210" s="236"/>
      <c r="K210" s="271"/>
      <c r="L210" s="224" t="s">
        <v>147</v>
      </c>
      <c r="M210" s="224" t="s">
        <v>41</v>
      </c>
    </row>
    <row r="211" spans="1:13" x14ac:dyDescent="0.25">
      <c r="A211" s="246"/>
      <c r="B211" s="352"/>
      <c r="C211" s="233"/>
      <c r="D211" s="233"/>
      <c r="E211" s="230"/>
      <c r="F211" s="230"/>
      <c r="G211" s="230"/>
      <c r="H211" s="231"/>
      <c r="I211" s="230"/>
      <c r="J211" s="236"/>
      <c r="K211" s="271"/>
      <c r="L211" s="224" t="s">
        <v>147</v>
      </c>
      <c r="M211" s="224" t="s">
        <v>41</v>
      </c>
    </row>
    <row r="212" spans="1:13" x14ac:dyDescent="0.25">
      <c r="A212" s="246"/>
      <c r="B212" s="352"/>
      <c r="C212" s="233"/>
      <c r="D212" s="233"/>
      <c r="E212" s="230"/>
      <c r="F212" s="230"/>
      <c r="G212" s="230"/>
      <c r="H212" s="231"/>
      <c r="I212" s="230"/>
      <c r="J212" s="236"/>
      <c r="K212" s="271"/>
      <c r="L212" s="224" t="s">
        <v>147</v>
      </c>
      <c r="M212" s="224" t="s">
        <v>41</v>
      </c>
    </row>
    <row r="213" spans="1:13" x14ac:dyDescent="0.25">
      <c r="A213" s="246"/>
      <c r="B213" s="352"/>
      <c r="C213" s="233"/>
      <c r="D213" s="233"/>
      <c r="E213" s="230"/>
      <c r="F213" s="230"/>
      <c r="G213" s="230"/>
      <c r="H213" s="231"/>
      <c r="I213" s="233"/>
      <c r="J213" s="236"/>
      <c r="K213" s="271"/>
      <c r="L213" s="224" t="s">
        <v>147</v>
      </c>
      <c r="M213" s="224" t="s">
        <v>41</v>
      </c>
    </row>
    <row r="214" spans="1:13" x14ac:dyDescent="0.25">
      <c r="A214" s="246"/>
      <c r="B214" s="352"/>
      <c r="C214" s="233"/>
      <c r="D214" s="233"/>
      <c r="E214" s="230"/>
      <c r="F214" s="230"/>
      <c r="G214" s="230"/>
      <c r="H214" s="231"/>
      <c r="I214" s="230"/>
      <c r="J214" s="236"/>
      <c r="K214" s="271"/>
      <c r="L214" s="224" t="s">
        <v>147</v>
      </c>
      <c r="M214" s="224" t="s">
        <v>41</v>
      </c>
    </row>
    <row r="215" spans="1:13" x14ac:dyDescent="0.25">
      <c r="A215" s="246"/>
      <c r="B215" s="352"/>
      <c r="C215" s="233"/>
      <c r="D215" s="233"/>
      <c r="E215" s="230"/>
      <c r="F215" s="230"/>
      <c r="G215" s="230"/>
      <c r="H215" s="231"/>
      <c r="I215" s="230"/>
      <c r="J215" s="236"/>
      <c r="K215" s="271"/>
      <c r="L215" s="224" t="s">
        <v>147</v>
      </c>
      <c r="M215" s="224" t="s">
        <v>41</v>
      </c>
    </row>
    <row r="216" spans="1:13" x14ac:dyDescent="0.25">
      <c r="A216" s="246"/>
      <c r="B216" s="352"/>
      <c r="C216" s="233"/>
      <c r="D216" s="233"/>
      <c r="E216" s="230"/>
      <c r="F216" s="230"/>
      <c r="G216" s="230"/>
      <c r="H216" s="231"/>
      <c r="I216" s="230"/>
      <c r="J216" s="236"/>
      <c r="K216" s="271"/>
      <c r="L216" s="224" t="s">
        <v>147</v>
      </c>
      <c r="M216" s="224" t="s">
        <v>41</v>
      </c>
    </row>
    <row r="217" spans="1:13" x14ac:dyDescent="0.25">
      <c r="A217" s="246"/>
      <c r="B217" s="352"/>
      <c r="C217" s="233"/>
      <c r="D217" s="233"/>
      <c r="E217" s="230"/>
      <c r="F217" s="230"/>
      <c r="G217" s="230"/>
      <c r="H217" s="231"/>
      <c r="I217" s="230"/>
      <c r="J217" s="236"/>
      <c r="K217" s="271"/>
      <c r="L217" s="224" t="s">
        <v>147</v>
      </c>
      <c r="M217" s="224" t="s">
        <v>41</v>
      </c>
    </row>
    <row r="218" spans="1:13" x14ac:dyDescent="0.25">
      <c r="A218" s="246"/>
      <c r="B218" s="352"/>
      <c r="C218" s="233"/>
      <c r="D218" s="233"/>
      <c r="E218" s="230"/>
      <c r="F218" s="230"/>
      <c r="G218" s="230"/>
      <c r="H218" s="231"/>
      <c r="I218" s="230"/>
      <c r="J218" s="236"/>
      <c r="K218" s="271"/>
      <c r="L218" s="224" t="s">
        <v>147</v>
      </c>
      <c r="M218" s="224" t="s">
        <v>41</v>
      </c>
    </row>
    <row r="219" spans="1:13" x14ac:dyDescent="0.25">
      <c r="A219" s="246"/>
      <c r="B219" s="352"/>
      <c r="C219" s="233"/>
      <c r="D219" s="233"/>
      <c r="E219" s="230"/>
      <c r="F219" s="230"/>
      <c r="G219" s="230"/>
      <c r="H219" s="231"/>
      <c r="I219" s="230"/>
      <c r="J219" s="236"/>
      <c r="K219" s="271"/>
      <c r="L219" s="224" t="s">
        <v>147</v>
      </c>
      <c r="M219" s="224" t="s">
        <v>41</v>
      </c>
    </row>
    <row r="220" spans="1:13" x14ac:dyDescent="0.25">
      <c r="A220" s="246"/>
      <c r="B220" s="352"/>
      <c r="C220" s="233"/>
      <c r="D220" s="233"/>
      <c r="E220" s="230"/>
      <c r="F220" s="230"/>
      <c r="G220" s="230"/>
      <c r="H220" s="231"/>
      <c r="I220" s="230"/>
      <c r="J220" s="236"/>
      <c r="K220" s="271"/>
      <c r="L220" s="224" t="s">
        <v>147</v>
      </c>
      <c r="M220" s="224" t="s">
        <v>41</v>
      </c>
    </row>
    <row r="221" spans="1:13" x14ac:dyDescent="0.25">
      <c r="A221" s="246"/>
      <c r="B221" s="352"/>
      <c r="C221" s="233"/>
      <c r="D221" s="233"/>
      <c r="E221" s="230"/>
      <c r="F221" s="230"/>
      <c r="G221" s="230"/>
      <c r="H221" s="231"/>
      <c r="I221" s="230"/>
      <c r="J221" s="236"/>
      <c r="K221" s="271"/>
      <c r="L221" s="224" t="s">
        <v>147</v>
      </c>
      <c r="M221" s="224" t="s">
        <v>41</v>
      </c>
    </row>
    <row r="222" spans="1:13" x14ac:dyDescent="0.25">
      <c r="A222" s="246"/>
      <c r="B222" s="352"/>
      <c r="C222" s="233"/>
      <c r="D222" s="233"/>
      <c r="E222" s="230"/>
      <c r="F222" s="230"/>
      <c r="G222" s="230"/>
      <c r="H222" s="231"/>
      <c r="I222" s="230"/>
      <c r="J222" s="236"/>
      <c r="K222" s="271"/>
      <c r="L222" s="224" t="s">
        <v>147</v>
      </c>
      <c r="M222" s="224" t="s">
        <v>41</v>
      </c>
    </row>
    <row r="223" spans="1:13" x14ac:dyDescent="0.25">
      <c r="A223" s="246"/>
      <c r="B223" s="352"/>
      <c r="C223" s="233"/>
      <c r="D223" s="233"/>
      <c r="E223" s="230"/>
      <c r="F223" s="230"/>
      <c r="G223" s="230"/>
      <c r="H223" s="231"/>
      <c r="I223" s="230"/>
      <c r="J223" s="236"/>
      <c r="K223" s="271"/>
      <c r="L223" s="224" t="s">
        <v>147</v>
      </c>
      <c r="M223" s="224" t="s">
        <v>41</v>
      </c>
    </row>
    <row r="224" spans="1:13" x14ac:dyDescent="0.25">
      <c r="A224" s="246"/>
      <c r="B224" s="352"/>
      <c r="C224" s="233"/>
      <c r="D224" s="233"/>
      <c r="E224" s="230"/>
      <c r="F224" s="230"/>
      <c r="G224" s="230"/>
      <c r="H224" s="231"/>
      <c r="I224" s="230"/>
      <c r="J224" s="236"/>
      <c r="K224" s="271"/>
      <c r="L224" s="224" t="s">
        <v>147</v>
      </c>
      <c r="M224" s="224" t="s">
        <v>41</v>
      </c>
    </row>
    <row r="225" spans="1:18" x14ac:dyDescent="0.25">
      <c r="A225" s="246"/>
      <c r="B225" s="352"/>
      <c r="C225" s="233"/>
      <c r="D225" s="233"/>
      <c r="E225" s="230"/>
      <c r="F225" s="230"/>
      <c r="G225" s="230"/>
      <c r="H225" s="231"/>
      <c r="I225" s="230"/>
      <c r="J225" s="236"/>
      <c r="K225" s="271"/>
      <c r="L225" s="224" t="s">
        <v>147</v>
      </c>
      <c r="M225" s="224" t="s">
        <v>41</v>
      </c>
    </row>
    <row r="226" spans="1:18" x14ac:dyDescent="0.25">
      <c r="A226" s="246"/>
      <c r="B226" s="352"/>
      <c r="C226" s="233"/>
      <c r="D226" s="233"/>
      <c r="E226" s="230"/>
      <c r="F226" s="230"/>
      <c r="G226" s="230"/>
      <c r="H226" s="231"/>
      <c r="I226" s="230"/>
      <c r="J226" s="236"/>
      <c r="K226" s="271"/>
      <c r="L226" s="224" t="s">
        <v>147</v>
      </c>
      <c r="M226" s="224" t="s">
        <v>41</v>
      </c>
    </row>
    <row r="227" spans="1:18" x14ac:dyDescent="0.25">
      <c r="A227" s="246"/>
      <c r="B227" s="352"/>
      <c r="C227" s="233"/>
      <c r="D227" s="233"/>
      <c r="E227" s="230"/>
      <c r="F227" s="230"/>
      <c r="G227" s="230"/>
      <c r="H227" s="231"/>
      <c r="I227" s="230"/>
      <c r="J227" s="236"/>
      <c r="K227" s="271"/>
      <c r="L227" s="224" t="s">
        <v>147</v>
      </c>
      <c r="M227" s="224" t="s">
        <v>41</v>
      </c>
    </row>
    <row r="228" spans="1:18" x14ac:dyDescent="0.25">
      <c r="A228" s="246"/>
      <c r="B228" s="352"/>
      <c r="C228" s="233"/>
      <c r="D228" s="233"/>
      <c r="E228" s="230"/>
      <c r="F228" s="230"/>
      <c r="G228" s="230"/>
      <c r="H228" s="231"/>
      <c r="I228" s="233"/>
      <c r="J228" s="236"/>
      <c r="K228" s="271"/>
      <c r="L228" s="224" t="s">
        <v>147</v>
      </c>
      <c r="M228" s="224" t="s">
        <v>41</v>
      </c>
    </row>
    <row r="229" spans="1:18" x14ac:dyDescent="0.25">
      <c r="A229" s="246"/>
      <c r="B229" s="352"/>
      <c r="C229" s="233"/>
      <c r="D229" s="233"/>
      <c r="E229" s="230"/>
      <c r="F229" s="230"/>
      <c r="G229" s="230"/>
      <c r="H229" s="231"/>
      <c r="I229" s="230"/>
      <c r="J229" s="236"/>
      <c r="K229" s="271"/>
      <c r="L229" s="224" t="s">
        <v>147</v>
      </c>
      <c r="M229" s="224" t="s">
        <v>41</v>
      </c>
      <c r="R229" s="69">
        <f>SUM(J229:J231,J227,J236:J237,J239:J241,J244:J247,J249:J250,J253:J256,J258:J261,J263:J265,J267,J269:J272)</f>
        <v>0</v>
      </c>
    </row>
    <row r="230" spans="1:18" x14ac:dyDescent="0.25">
      <c r="A230" s="246"/>
      <c r="B230" s="352"/>
      <c r="C230" s="233"/>
      <c r="D230" s="233"/>
      <c r="E230" s="230"/>
      <c r="F230" s="230"/>
      <c r="G230" s="230"/>
      <c r="H230" s="231"/>
      <c r="I230" s="230"/>
      <c r="J230" s="236"/>
      <c r="K230" s="271"/>
      <c r="L230" s="224" t="s">
        <v>147</v>
      </c>
      <c r="M230" s="224" t="s">
        <v>41</v>
      </c>
    </row>
    <row r="231" spans="1:18" x14ac:dyDescent="0.25">
      <c r="A231" s="246"/>
      <c r="B231" s="352"/>
      <c r="C231" s="233"/>
      <c r="D231" s="233"/>
      <c r="E231" s="230"/>
      <c r="F231" s="230"/>
      <c r="G231" s="230"/>
      <c r="H231" s="231"/>
      <c r="I231" s="230"/>
      <c r="J231" s="236"/>
      <c r="K231" s="271"/>
      <c r="L231" s="224" t="s">
        <v>147</v>
      </c>
      <c r="M231" s="224" t="s">
        <v>41</v>
      </c>
    </row>
    <row r="232" spans="1:18" x14ac:dyDescent="0.25">
      <c r="A232" s="246"/>
      <c r="B232" s="352"/>
      <c r="C232" s="233"/>
      <c r="D232" s="233"/>
      <c r="E232" s="230"/>
      <c r="F232" s="230"/>
      <c r="G232" s="230"/>
      <c r="H232" s="231"/>
      <c r="I232" s="233"/>
      <c r="J232" s="236"/>
      <c r="K232" s="271"/>
      <c r="L232" s="224" t="s">
        <v>147</v>
      </c>
      <c r="M232" s="224" t="s">
        <v>41</v>
      </c>
    </row>
    <row r="233" spans="1:18" x14ac:dyDescent="0.25">
      <c r="A233" s="246"/>
      <c r="B233" s="352"/>
      <c r="C233" s="233"/>
      <c r="D233" s="233"/>
      <c r="E233" s="230"/>
      <c r="F233" s="230"/>
      <c r="G233" s="230"/>
      <c r="H233" s="231"/>
      <c r="I233" s="230"/>
      <c r="J233" s="236"/>
      <c r="K233" s="271"/>
      <c r="L233" s="224" t="s">
        <v>147</v>
      </c>
      <c r="M233" s="224" t="s">
        <v>41</v>
      </c>
    </row>
    <row r="234" spans="1:18" x14ac:dyDescent="0.25">
      <c r="A234" s="246"/>
      <c r="B234" s="352"/>
      <c r="C234" s="233"/>
      <c r="D234" s="233"/>
      <c r="E234" s="230"/>
      <c r="F234" s="230"/>
      <c r="G234" s="230"/>
      <c r="H234" s="231"/>
      <c r="I234" s="230"/>
      <c r="J234" s="236"/>
      <c r="K234" s="271"/>
      <c r="L234" s="224" t="s">
        <v>147</v>
      </c>
      <c r="M234" s="224" t="s">
        <v>41</v>
      </c>
    </row>
    <row r="235" spans="1:18" x14ac:dyDescent="0.25">
      <c r="A235" s="246"/>
      <c r="B235" s="352"/>
      <c r="C235" s="233"/>
      <c r="D235" s="233"/>
      <c r="E235" s="230"/>
      <c r="F235" s="230"/>
      <c r="G235" s="230"/>
      <c r="H235" s="231"/>
      <c r="I235" s="230"/>
      <c r="J235" s="236"/>
      <c r="K235" s="271"/>
      <c r="L235" s="224" t="s">
        <v>147</v>
      </c>
      <c r="M235" s="224" t="s">
        <v>41</v>
      </c>
    </row>
    <row r="236" spans="1:18" x14ac:dyDescent="0.25">
      <c r="A236" s="246"/>
      <c r="B236" s="352"/>
      <c r="C236" s="233"/>
      <c r="D236" s="233"/>
      <c r="E236" s="230"/>
      <c r="F236" s="230"/>
      <c r="G236" s="230"/>
      <c r="H236" s="231"/>
      <c r="I236" s="230"/>
      <c r="J236" s="236"/>
      <c r="K236" s="271"/>
      <c r="L236" s="224" t="s">
        <v>147</v>
      </c>
      <c r="M236" s="224" t="s">
        <v>41</v>
      </c>
    </row>
    <row r="237" spans="1:18" x14ac:dyDescent="0.25">
      <c r="A237" s="246"/>
      <c r="B237" s="352"/>
      <c r="C237" s="233"/>
      <c r="D237" s="233"/>
      <c r="E237" s="230"/>
      <c r="F237" s="230"/>
      <c r="G237" s="230"/>
      <c r="H237" s="231"/>
      <c r="I237" s="230"/>
      <c r="J237" s="236"/>
      <c r="K237" s="271"/>
      <c r="L237" s="224" t="s">
        <v>147</v>
      </c>
      <c r="M237" s="224" t="s">
        <v>41</v>
      </c>
    </row>
    <row r="238" spans="1:18" x14ac:dyDescent="0.25">
      <c r="A238" s="246"/>
      <c r="B238" s="352"/>
      <c r="C238" s="233"/>
      <c r="D238" s="233"/>
      <c r="E238" s="230"/>
      <c r="F238" s="230"/>
      <c r="G238" s="230"/>
      <c r="H238" s="231"/>
      <c r="I238" s="233"/>
      <c r="J238" s="236"/>
      <c r="K238" s="271"/>
      <c r="L238" s="224" t="s">
        <v>147</v>
      </c>
      <c r="M238" s="224" t="s">
        <v>41</v>
      </c>
    </row>
    <row r="239" spans="1:18" x14ac:dyDescent="0.25">
      <c r="A239" s="246"/>
      <c r="B239" s="352"/>
      <c r="C239" s="233"/>
      <c r="D239" s="233"/>
      <c r="E239" s="230"/>
      <c r="F239" s="230"/>
      <c r="G239" s="230"/>
      <c r="H239" s="231"/>
      <c r="I239" s="230"/>
      <c r="J239" s="236"/>
      <c r="K239" s="271"/>
      <c r="L239" s="224" t="s">
        <v>147</v>
      </c>
      <c r="M239" s="224" t="s">
        <v>41</v>
      </c>
    </row>
    <row r="240" spans="1:18" x14ac:dyDescent="0.25">
      <c r="A240" s="246"/>
      <c r="B240" s="352"/>
      <c r="C240" s="233"/>
      <c r="D240" s="233"/>
      <c r="E240" s="230"/>
      <c r="F240" s="230"/>
      <c r="G240" s="230"/>
      <c r="H240" s="231"/>
      <c r="I240" s="230"/>
      <c r="J240" s="236"/>
      <c r="K240" s="271"/>
      <c r="L240" s="224" t="s">
        <v>147</v>
      </c>
      <c r="M240" s="224" t="s">
        <v>41</v>
      </c>
    </row>
    <row r="241" spans="1:13" x14ac:dyDescent="0.25">
      <c r="A241" s="246"/>
      <c r="B241" s="352"/>
      <c r="C241" s="233"/>
      <c r="D241" s="233"/>
      <c r="E241" s="230"/>
      <c r="F241" s="230"/>
      <c r="G241" s="230"/>
      <c r="H241" s="231"/>
      <c r="I241" s="230"/>
      <c r="J241" s="236"/>
      <c r="K241" s="271"/>
      <c r="L241" s="224" t="s">
        <v>147</v>
      </c>
      <c r="M241" s="224" t="s">
        <v>41</v>
      </c>
    </row>
    <row r="242" spans="1:13" x14ac:dyDescent="0.25">
      <c r="A242" s="246"/>
      <c r="B242" s="352"/>
      <c r="C242" s="233"/>
      <c r="D242" s="233"/>
      <c r="E242" s="230"/>
      <c r="F242" s="230"/>
      <c r="G242" s="230"/>
      <c r="H242" s="231"/>
      <c r="I242" s="233"/>
      <c r="J242" s="236"/>
      <c r="K242" s="271"/>
      <c r="L242" s="224" t="s">
        <v>147</v>
      </c>
      <c r="M242" s="224" t="s">
        <v>41</v>
      </c>
    </row>
    <row r="243" spans="1:13" x14ac:dyDescent="0.25">
      <c r="A243" s="246"/>
      <c r="B243" s="352"/>
      <c r="C243" s="233"/>
      <c r="D243" s="233"/>
      <c r="E243" s="230"/>
      <c r="F243" s="230"/>
      <c r="G243" s="230"/>
      <c r="H243" s="231"/>
      <c r="I243" s="230"/>
      <c r="J243" s="236"/>
      <c r="K243" s="271"/>
      <c r="L243" s="224" t="s">
        <v>147</v>
      </c>
      <c r="M243" s="224" t="s">
        <v>41</v>
      </c>
    </row>
    <row r="244" spans="1:13" x14ac:dyDescent="0.25">
      <c r="A244" s="246"/>
      <c r="B244" s="352"/>
      <c r="C244" s="233"/>
      <c r="D244" s="233"/>
      <c r="E244" s="230"/>
      <c r="F244" s="230"/>
      <c r="G244" s="230"/>
      <c r="H244" s="231"/>
      <c r="I244" s="230"/>
      <c r="J244" s="236"/>
      <c r="K244" s="271"/>
      <c r="L244" s="224" t="s">
        <v>147</v>
      </c>
      <c r="M244" s="224" t="s">
        <v>41</v>
      </c>
    </row>
    <row r="245" spans="1:13" x14ac:dyDescent="0.25">
      <c r="A245" s="246"/>
      <c r="B245" s="352"/>
      <c r="C245" s="233"/>
      <c r="D245" s="233"/>
      <c r="E245" s="230"/>
      <c r="F245" s="230"/>
      <c r="G245" s="230"/>
      <c r="H245" s="231"/>
      <c r="I245" s="230"/>
      <c r="J245" s="236"/>
      <c r="K245" s="271"/>
      <c r="L245" s="224" t="s">
        <v>147</v>
      </c>
      <c r="M245" s="224" t="s">
        <v>41</v>
      </c>
    </row>
    <row r="246" spans="1:13" x14ac:dyDescent="0.25">
      <c r="A246" s="246"/>
      <c r="B246" s="352"/>
      <c r="C246" s="233"/>
      <c r="D246" s="233"/>
      <c r="E246" s="230"/>
      <c r="F246" s="230"/>
      <c r="G246" s="230"/>
      <c r="H246" s="231"/>
      <c r="I246" s="230"/>
      <c r="J246" s="236"/>
      <c r="K246" s="271"/>
      <c r="L246" s="224" t="s">
        <v>147</v>
      </c>
      <c r="M246" s="224" t="s">
        <v>41</v>
      </c>
    </row>
    <row r="247" spans="1:13" x14ac:dyDescent="0.25">
      <c r="A247" s="246"/>
      <c r="B247" s="352"/>
      <c r="C247" s="233"/>
      <c r="D247" s="233"/>
      <c r="E247" s="230"/>
      <c r="F247" s="230"/>
      <c r="G247" s="230"/>
      <c r="H247" s="231"/>
      <c r="I247" s="230"/>
      <c r="J247" s="236"/>
      <c r="K247" s="271"/>
      <c r="L247" s="224" t="s">
        <v>147</v>
      </c>
      <c r="M247" s="224" t="s">
        <v>41</v>
      </c>
    </row>
    <row r="248" spans="1:13" x14ac:dyDescent="0.25">
      <c r="A248" s="246"/>
      <c r="B248" s="352"/>
      <c r="C248" s="233"/>
      <c r="D248" s="233"/>
      <c r="E248" s="230"/>
      <c r="F248" s="230"/>
      <c r="G248" s="230"/>
      <c r="H248" s="231"/>
      <c r="I248" s="233"/>
      <c r="J248" s="236"/>
      <c r="K248" s="271"/>
      <c r="L248" s="224" t="s">
        <v>147</v>
      </c>
      <c r="M248" s="224" t="s">
        <v>41</v>
      </c>
    </row>
    <row r="249" spans="1:13" x14ac:dyDescent="0.25">
      <c r="A249" s="246"/>
      <c r="B249" s="352"/>
      <c r="C249" s="233"/>
      <c r="D249" s="233"/>
      <c r="E249" s="230"/>
      <c r="F249" s="230"/>
      <c r="G249" s="230"/>
      <c r="H249" s="231"/>
      <c r="I249" s="230"/>
      <c r="J249" s="236"/>
      <c r="K249" s="271"/>
      <c r="L249" s="224" t="s">
        <v>147</v>
      </c>
      <c r="M249" s="224" t="s">
        <v>41</v>
      </c>
    </row>
    <row r="250" spans="1:13" x14ac:dyDescent="0.25">
      <c r="A250" s="246"/>
      <c r="B250" s="352"/>
      <c r="C250" s="233"/>
      <c r="D250" s="233"/>
      <c r="E250" s="230"/>
      <c r="F250" s="230"/>
      <c r="G250" s="230"/>
      <c r="H250" s="231"/>
      <c r="I250" s="230"/>
      <c r="J250" s="236"/>
      <c r="K250" s="271"/>
      <c r="L250" s="224" t="s">
        <v>147</v>
      </c>
      <c r="M250" s="224" t="s">
        <v>41</v>
      </c>
    </row>
    <row r="251" spans="1:13" x14ac:dyDescent="0.25">
      <c r="A251" s="246"/>
      <c r="B251" s="352"/>
      <c r="C251" s="233"/>
      <c r="D251" s="233"/>
      <c r="E251" s="230"/>
      <c r="F251" s="230"/>
      <c r="G251" s="230"/>
      <c r="H251" s="231"/>
      <c r="I251" s="233"/>
      <c r="J251" s="236"/>
      <c r="K251" s="271"/>
      <c r="L251" s="224" t="s">
        <v>147</v>
      </c>
      <c r="M251" s="224" t="s">
        <v>41</v>
      </c>
    </row>
    <row r="252" spans="1:13" x14ac:dyDescent="0.25">
      <c r="A252" s="246"/>
      <c r="B252" s="352"/>
      <c r="C252" s="233"/>
      <c r="D252" s="233"/>
      <c r="E252" s="230"/>
      <c r="F252" s="230"/>
      <c r="G252" s="230"/>
      <c r="H252" s="231"/>
      <c r="I252" s="230"/>
      <c r="J252" s="236"/>
      <c r="K252" s="271"/>
      <c r="L252" s="224" t="s">
        <v>147</v>
      </c>
      <c r="M252" s="224" t="s">
        <v>41</v>
      </c>
    </row>
    <row r="253" spans="1:13" x14ac:dyDescent="0.25">
      <c r="A253" s="246"/>
      <c r="B253" s="352"/>
      <c r="C253" s="233"/>
      <c r="D253" s="233"/>
      <c r="E253" s="230"/>
      <c r="F253" s="230"/>
      <c r="G253" s="230"/>
      <c r="H253" s="231"/>
      <c r="I253" s="230"/>
      <c r="J253" s="236"/>
      <c r="K253" s="271"/>
      <c r="L253" s="224" t="s">
        <v>147</v>
      </c>
      <c r="M253" s="224" t="s">
        <v>41</v>
      </c>
    </row>
    <row r="254" spans="1:13" x14ac:dyDescent="0.25">
      <c r="A254" s="246"/>
      <c r="B254" s="352"/>
      <c r="C254" s="233"/>
      <c r="D254" s="233"/>
      <c r="E254" s="230"/>
      <c r="F254" s="230"/>
      <c r="G254" s="230"/>
      <c r="H254" s="231"/>
      <c r="I254" s="230"/>
      <c r="J254" s="236"/>
      <c r="K254" s="271"/>
      <c r="L254" s="224" t="s">
        <v>147</v>
      </c>
      <c r="M254" s="224" t="s">
        <v>41</v>
      </c>
    </row>
    <row r="255" spans="1:13" x14ac:dyDescent="0.25">
      <c r="A255" s="246"/>
      <c r="B255" s="352"/>
      <c r="C255" s="233"/>
      <c r="D255" s="233"/>
      <c r="E255" s="230"/>
      <c r="F255" s="230"/>
      <c r="G255" s="230"/>
      <c r="H255" s="231"/>
      <c r="I255" s="230"/>
      <c r="J255" s="236"/>
      <c r="K255" s="271"/>
      <c r="L255" s="224" t="s">
        <v>147</v>
      </c>
      <c r="M255" s="224" t="s">
        <v>41</v>
      </c>
    </row>
    <row r="256" spans="1:13" x14ac:dyDescent="0.25">
      <c r="A256" s="246"/>
      <c r="B256" s="352"/>
      <c r="C256" s="233"/>
      <c r="D256" s="233"/>
      <c r="E256" s="230"/>
      <c r="F256" s="230"/>
      <c r="G256" s="230"/>
      <c r="H256" s="231"/>
      <c r="I256" s="230"/>
      <c r="J256" s="236"/>
      <c r="K256" s="271"/>
      <c r="L256" s="224" t="s">
        <v>147</v>
      </c>
      <c r="M256" s="224" t="s">
        <v>41</v>
      </c>
    </row>
    <row r="257" spans="1:13" x14ac:dyDescent="0.25">
      <c r="A257" s="246"/>
      <c r="B257" s="352"/>
      <c r="C257" s="233"/>
      <c r="D257" s="233"/>
      <c r="E257" s="230"/>
      <c r="F257" s="230"/>
      <c r="G257" s="230"/>
      <c r="H257" s="231"/>
      <c r="I257" s="233"/>
      <c r="J257" s="236"/>
      <c r="K257" s="271"/>
      <c r="L257" s="224" t="s">
        <v>147</v>
      </c>
      <c r="M257" s="224" t="s">
        <v>41</v>
      </c>
    </row>
    <row r="258" spans="1:13" x14ac:dyDescent="0.25">
      <c r="A258" s="246"/>
      <c r="B258" s="352"/>
      <c r="C258" s="233"/>
      <c r="D258" s="233"/>
      <c r="E258" s="230"/>
      <c r="F258" s="230"/>
      <c r="G258" s="230"/>
      <c r="H258" s="231"/>
      <c r="I258" s="230"/>
      <c r="J258" s="236"/>
      <c r="K258" s="271"/>
      <c r="L258" s="224" t="s">
        <v>147</v>
      </c>
      <c r="M258" s="224" t="s">
        <v>41</v>
      </c>
    </row>
    <row r="259" spans="1:13" x14ac:dyDescent="0.25">
      <c r="A259" s="246"/>
      <c r="B259" s="352"/>
      <c r="C259" s="233"/>
      <c r="D259" s="233"/>
      <c r="E259" s="230"/>
      <c r="F259" s="230"/>
      <c r="G259" s="230"/>
      <c r="H259" s="231"/>
      <c r="I259" s="230"/>
      <c r="J259" s="236"/>
      <c r="K259" s="271"/>
      <c r="L259" s="224" t="s">
        <v>147</v>
      </c>
      <c r="M259" s="224" t="s">
        <v>41</v>
      </c>
    </row>
    <row r="260" spans="1:13" x14ac:dyDescent="0.25">
      <c r="A260" s="246"/>
      <c r="B260" s="352"/>
      <c r="C260" s="233"/>
      <c r="D260" s="233"/>
      <c r="E260" s="230"/>
      <c r="F260" s="230"/>
      <c r="G260" s="230"/>
      <c r="H260" s="231"/>
      <c r="I260" s="230"/>
      <c r="J260" s="236"/>
      <c r="K260" s="271"/>
      <c r="L260" s="224" t="s">
        <v>147</v>
      </c>
      <c r="M260" s="224" t="s">
        <v>41</v>
      </c>
    </row>
    <row r="261" spans="1:13" x14ac:dyDescent="0.25">
      <c r="A261" s="246"/>
      <c r="B261" s="352"/>
      <c r="C261" s="233"/>
      <c r="D261" s="233"/>
      <c r="E261" s="230"/>
      <c r="F261" s="230"/>
      <c r="G261" s="230"/>
      <c r="H261" s="231"/>
      <c r="I261" s="230"/>
      <c r="J261" s="236"/>
      <c r="K261" s="271"/>
      <c r="L261" s="224" t="s">
        <v>147</v>
      </c>
      <c r="M261" s="224" t="s">
        <v>41</v>
      </c>
    </row>
    <row r="262" spans="1:13" x14ac:dyDescent="0.25">
      <c r="A262" s="246"/>
      <c r="B262" s="352"/>
      <c r="C262" s="233"/>
      <c r="D262" s="233"/>
      <c r="E262" s="230"/>
      <c r="F262" s="230"/>
      <c r="G262" s="230"/>
      <c r="H262" s="231"/>
      <c r="I262" s="230"/>
      <c r="J262" s="236"/>
      <c r="K262" s="271"/>
      <c r="L262" s="224" t="s">
        <v>147</v>
      </c>
      <c r="M262" s="224" t="s">
        <v>41</v>
      </c>
    </row>
    <row r="263" spans="1:13" x14ac:dyDescent="0.25">
      <c r="A263" s="246"/>
      <c r="B263" s="352"/>
      <c r="C263" s="233"/>
      <c r="D263" s="233"/>
      <c r="E263" s="230"/>
      <c r="F263" s="230"/>
      <c r="G263" s="230"/>
      <c r="H263" s="231"/>
      <c r="I263" s="230"/>
      <c r="J263" s="236"/>
      <c r="K263" s="271"/>
      <c r="L263" s="224" t="s">
        <v>147</v>
      </c>
      <c r="M263" s="224" t="s">
        <v>41</v>
      </c>
    </row>
    <row r="264" spans="1:13" x14ac:dyDescent="0.25">
      <c r="A264" s="246"/>
      <c r="B264" s="352"/>
      <c r="C264" s="233"/>
      <c r="D264" s="233"/>
      <c r="E264" s="230"/>
      <c r="F264" s="230"/>
      <c r="G264" s="230"/>
      <c r="H264" s="231"/>
      <c r="I264" s="230"/>
      <c r="J264" s="236"/>
      <c r="K264" s="271"/>
      <c r="L264" s="224" t="s">
        <v>147</v>
      </c>
      <c r="M264" s="224" t="s">
        <v>41</v>
      </c>
    </row>
    <row r="265" spans="1:13" x14ac:dyDescent="0.25">
      <c r="A265" s="246"/>
      <c r="B265" s="352"/>
      <c r="C265" s="233"/>
      <c r="D265" s="233"/>
      <c r="E265" s="230"/>
      <c r="F265" s="230"/>
      <c r="G265" s="230"/>
      <c r="H265" s="231"/>
      <c r="I265" s="230"/>
      <c r="J265" s="236"/>
      <c r="K265" s="271"/>
      <c r="L265" s="224" t="s">
        <v>147</v>
      </c>
      <c r="M265" s="224" t="s">
        <v>41</v>
      </c>
    </row>
    <row r="266" spans="1:13" x14ac:dyDescent="0.25">
      <c r="A266" s="246"/>
      <c r="B266" s="352"/>
      <c r="C266" s="233"/>
      <c r="D266" s="233"/>
      <c r="E266" s="230"/>
      <c r="F266" s="230"/>
      <c r="G266" s="230"/>
      <c r="H266" s="231"/>
      <c r="I266" s="233"/>
      <c r="J266" s="236"/>
      <c r="K266" s="271"/>
      <c r="L266" s="224" t="s">
        <v>147</v>
      </c>
      <c r="M266" s="224" t="s">
        <v>41</v>
      </c>
    </row>
    <row r="267" spans="1:13" x14ac:dyDescent="0.25">
      <c r="A267" s="246"/>
      <c r="B267" s="352"/>
      <c r="C267" s="233"/>
      <c r="D267" s="233"/>
      <c r="E267" s="230"/>
      <c r="F267" s="230"/>
      <c r="G267" s="230"/>
      <c r="H267" s="231"/>
      <c r="I267" s="230"/>
      <c r="J267" s="236"/>
      <c r="K267" s="271"/>
      <c r="L267" s="224" t="s">
        <v>147</v>
      </c>
      <c r="M267" s="224" t="s">
        <v>41</v>
      </c>
    </row>
    <row r="268" spans="1:13" x14ac:dyDescent="0.25">
      <c r="A268" s="246"/>
      <c r="B268" s="352"/>
      <c r="C268" s="233"/>
      <c r="D268" s="233"/>
      <c r="E268" s="230"/>
      <c r="F268" s="230"/>
      <c r="G268" s="230"/>
      <c r="H268" s="231"/>
      <c r="I268" s="230"/>
      <c r="J268" s="236"/>
      <c r="K268" s="271"/>
      <c r="L268" s="224" t="s">
        <v>147</v>
      </c>
      <c r="M268" s="224" t="s">
        <v>41</v>
      </c>
    </row>
    <row r="269" spans="1:13" x14ac:dyDescent="0.25">
      <c r="A269" s="246"/>
      <c r="B269" s="352"/>
      <c r="C269" s="233"/>
      <c r="D269" s="233"/>
      <c r="E269" s="230"/>
      <c r="F269" s="230"/>
      <c r="G269" s="230"/>
      <c r="H269" s="231"/>
      <c r="I269" s="230"/>
      <c r="J269" s="236"/>
      <c r="K269" s="271"/>
      <c r="L269" s="224" t="s">
        <v>147</v>
      </c>
      <c r="M269" s="224" t="s">
        <v>41</v>
      </c>
    </row>
    <row r="270" spans="1:13" x14ac:dyDescent="0.25">
      <c r="A270" s="246"/>
      <c r="B270" s="352"/>
      <c r="C270" s="233"/>
      <c r="D270" s="233"/>
      <c r="E270" s="230"/>
      <c r="F270" s="230"/>
      <c r="G270" s="230"/>
      <c r="H270" s="231"/>
      <c r="I270" s="230"/>
      <c r="J270" s="236"/>
      <c r="K270" s="271"/>
      <c r="L270" s="224" t="s">
        <v>147</v>
      </c>
      <c r="M270" s="224" t="s">
        <v>41</v>
      </c>
    </row>
    <row r="271" spans="1:13" x14ac:dyDescent="0.25">
      <c r="A271" s="246"/>
      <c r="B271" s="352"/>
      <c r="C271" s="233"/>
      <c r="D271" s="233"/>
      <c r="E271" s="230"/>
      <c r="F271" s="230"/>
      <c r="G271" s="230"/>
      <c r="H271" s="231"/>
      <c r="I271" s="230"/>
      <c r="J271" s="236"/>
      <c r="K271" s="271"/>
      <c r="L271" s="224" t="s">
        <v>147</v>
      </c>
      <c r="M271" s="224" t="s">
        <v>41</v>
      </c>
    </row>
    <row r="272" spans="1:13" x14ac:dyDescent="0.25">
      <c r="A272" s="246"/>
      <c r="B272" s="352"/>
      <c r="C272" s="233"/>
      <c r="D272" s="233"/>
      <c r="E272" s="230"/>
      <c r="F272" s="230"/>
      <c r="G272" s="230"/>
      <c r="H272" s="231"/>
      <c r="I272" s="230"/>
      <c r="J272" s="236"/>
      <c r="K272" s="271"/>
      <c r="L272" s="224" t="s">
        <v>147</v>
      </c>
      <c r="M272" s="224" t="s">
        <v>41</v>
      </c>
    </row>
    <row r="273" spans="1:18" x14ac:dyDescent="0.25">
      <c r="A273" s="246"/>
      <c r="B273" s="352"/>
      <c r="C273" s="233"/>
      <c r="D273" s="233"/>
      <c r="E273" s="230"/>
      <c r="F273" s="230"/>
      <c r="G273" s="230"/>
      <c r="H273" s="231"/>
      <c r="I273" s="230"/>
      <c r="J273" s="236"/>
      <c r="K273" s="271"/>
      <c r="L273" s="224"/>
      <c r="M273" s="224"/>
    </row>
    <row r="274" spans="1:18" x14ac:dyDescent="0.25">
      <c r="A274" s="246"/>
      <c r="B274" s="352"/>
      <c r="C274" s="233"/>
      <c r="D274" s="233"/>
      <c r="E274" s="230"/>
      <c r="F274" s="230"/>
      <c r="G274" s="230"/>
      <c r="H274" s="231"/>
      <c r="I274" s="230"/>
      <c r="J274" s="236"/>
      <c r="K274" s="271"/>
      <c r="L274" s="224"/>
      <c r="M274" s="224"/>
    </row>
    <row r="275" spans="1:18" x14ac:dyDescent="0.25">
      <c r="A275" s="222"/>
      <c r="B275" s="353"/>
      <c r="C275" s="100"/>
      <c r="D275" s="100"/>
      <c r="E275" s="224"/>
      <c r="F275" s="224"/>
      <c r="G275" s="224"/>
      <c r="H275" s="225"/>
      <c r="I275" s="224"/>
      <c r="J275" s="234"/>
      <c r="K275" s="235"/>
      <c r="L275" s="224"/>
      <c r="M275" s="224"/>
      <c r="O275">
        <f>SUM(O12:O194)</f>
        <v>42250.2</v>
      </c>
    </row>
    <row r="276" spans="1:18" x14ac:dyDescent="0.25">
      <c r="A276" s="285"/>
      <c r="B276" s="350"/>
      <c r="C276" s="60"/>
      <c r="D276" s="60"/>
      <c r="E276" s="60"/>
      <c r="F276" s="60"/>
      <c r="G276" s="60"/>
      <c r="H276" s="60"/>
      <c r="I276" s="60"/>
      <c r="J276" s="61"/>
      <c r="K276" s="121"/>
      <c r="L276" s="60"/>
    </row>
    <row r="278" spans="1:18" x14ac:dyDescent="0.25">
      <c r="K278" s="123"/>
      <c r="L278" s="70"/>
    </row>
    <row r="279" spans="1:18" ht="16.5" customHeight="1" x14ac:dyDescent="0.25">
      <c r="C279" s="62" t="s">
        <v>20</v>
      </c>
      <c r="G279" s="62" t="s">
        <v>21</v>
      </c>
      <c r="K279" s="103" t="s">
        <v>109</v>
      </c>
      <c r="L279" s="127"/>
      <c r="R279" s="30"/>
    </row>
    <row r="280" spans="1:18" x14ac:dyDescent="0.25">
      <c r="K280" s="103" t="s">
        <v>110</v>
      </c>
      <c r="L280" s="127"/>
      <c r="M280" s="98"/>
    </row>
    <row r="281" spans="1:18" x14ac:dyDescent="0.25">
      <c r="K281" s="103" t="s">
        <v>138</v>
      </c>
      <c r="L281" s="128"/>
    </row>
    <row r="282" spans="1:18" x14ac:dyDescent="0.25">
      <c r="C282" s="124" t="s">
        <v>1577</v>
      </c>
      <c r="D282" s="124"/>
      <c r="G282" s="617" t="s">
        <v>157</v>
      </c>
      <c r="H282" s="617"/>
      <c r="I282" s="617"/>
      <c r="J282" s="617"/>
      <c r="K282" s="103" t="s">
        <v>1265</v>
      </c>
      <c r="L282" s="128"/>
    </row>
    <row r="283" spans="1:18" x14ac:dyDescent="0.25">
      <c r="C283" s="62" t="s">
        <v>967</v>
      </c>
      <c r="G283" s="618" t="s">
        <v>158</v>
      </c>
      <c r="H283" s="618"/>
      <c r="I283" s="618"/>
      <c r="J283" s="618"/>
      <c r="K283" s="103" t="s">
        <v>111</v>
      </c>
      <c r="L283" s="127"/>
    </row>
    <row r="284" spans="1:18" x14ac:dyDescent="0.25">
      <c r="K284" s="103" t="s">
        <v>112</v>
      </c>
      <c r="L284" s="128"/>
    </row>
    <row r="285" spans="1:18" s="62" customFormat="1" x14ac:dyDescent="0.25">
      <c r="A285" s="502"/>
      <c r="B285" s="502"/>
      <c r="K285" s="103" t="s">
        <v>114</v>
      </c>
      <c r="L285" s="288"/>
      <c r="N285"/>
      <c r="O285"/>
      <c r="P285"/>
    </row>
    <row r="286" spans="1:18" s="62" customFormat="1" x14ac:dyDescent="0.25">
      <c r="A286" s="502"/>
      <c r="B286" s="502"/>
      <c r="K286" s="103" t="s">
        <v>22</v>
      </c>
      <c r="L286" s="128"/>
      <c r="N286"/>
      <c r="O286"/>
      <c r="P286"/>
    </row>
    <row r="287" spans="1:18" s="62" customFormat="1" x14ac:dyDescent="0.25">
      <c r="A287" s="502"/>
      <c r="B287" s="502"/>
      <c r="C287" s="99"/>
      <c r="D287" s="99"/>
      <c r="G287" s="99"/>
      <c r="H287" s="99"/>
      <c r="I287" s="99"/>
      <c r="K287" s="125" t="s">
        <v>107</v>
      </c>
      <c r="L287" s="71"/>
      <c r="N287"/>
      <c r="O287"/>
      <c r="P287"/>
    </row>
    <row r="288" spans="1:18" s="62" customFormat="1" x14ac:dyDescent="0.25">
      <c r="A288" s="502"/>
      <c r="B288" s="502"/>
      <c r="K288" s="125" t="s">
        <v>108</v>
      </c>
      <c r="L288" s="70"/>
      <c r="N288"/>
      <c r="O288"/>
      <c r="P288"/>
    </row>
    <row r="289" spans="1:16" s="62" customFormat="1" x14ac:dyDescent="0.25">
      <c r="A289" s="502"/>
      <c r="B289" s="502"/>
      <c r="K289" s="103"/>
      <c r="L289" s="70"/>
      <c r="N289"/>
      <c r="O289"/>
      <c r="P289"/>
    </row>
    <row r="290" spans="1:16" s="62" customFormat="1" x14ac:dyDescent="0.25">
      <c r="A290" s="502"/>
      <c r="B290" s="502"/>
      <c r="K290" s="103"/>
      <c r="L290" s="71"/>
      <c r="N290"/>
      <c r="O290"/>
      <c r="P290"/>
    </row>
    <row r="291" spans="1:16" s="62" customFormat="1" x14ac:dyDescent="0.25">
      <c r="A291" s="502"/>
      <c r="B291" s="502"/>
      <c r="K291" s="103"/>
      <c r="L291" s="71"/>
      <c r="N291"/>
      <c r="O291"/>
      <c r="P291"/>
    </row>
    <row r="311" spans="14:14" x14ac:dyDescent="0.25">
      <c r="N311" s="30"/>
    </row>
    <row r="334" spans="14:14" x14ac:dyDescent="0.25">
      <c r="N334" s="30"/>
    </row>
    <row r="461" spans="14:14" x14ac:dyDescent="0.25">
      <c r="N461" s="30"/>
    </row>
  </sheetData>
  <mergeCells count="8">
    <mergeCell ref="G282:J282"/>
    <mergeCell ref="G283:J283"/>
    <mergeCell ref="A1:M1"/>
    <mergeCell ref="A2:M2"/>
    <mergeCell ref="A6:C6"/>
    <mergeCell ref="H7:J7"/>
    <mergeCell ref="L7:M7"/>
    <mergeCell ref="A8:D8"/>
  </mergeCells>
  <conditionalFormatting sqref="A81:A101">
    <cfRule type="containsBlanks" dxfId="28" priority="25">
      <formula>LEN(TRIM(A81))=0</formula>
    </cfRule>
  </conditionalFormatting>
  <conditionalFormatting sqref="A102:A131">
    <cfRule type="containsBlanks" dxfId="27" priority="24">
      <formula>LEN(TRIM(A102))=0</formula>
    </cfRule>
  </conditionalFormatting>
  <conditionalFormatting sqref="B81:D82 B98 B91 B90:C90 B88:B89 B92:C97 B83:C87 B99:C101">
    <cfRule type="containsBlanks" dxfId="26" priority="21">
      <formula>LEN(TRIM(B81))=0</formula>
    </cfRule>
  </conditionalFormatting>
  <conditionalFormatting sqref="C81:C87 C99:C101 C92:C97 C90">
    <cfRule type="duplicateValues" dxfId="25" priority="22"/>
  </conditionalFormatting>
  <conditionalFormatting sqref="D81:D82">
    <cfRule type="duplicateValues" dxfId="24" priority="23"/>
  </conditionalFormatting>
  <conditionalFormatting sqref="F81:G83 F85:G87 F90:G92 G88:G89 F94:G97 G93 F99:G101 G98">
    <cfRule type="containsBlanks" dxfId="23" priority="20">
      <formula>LEN(TRIM(F81))=0</formula>
    </cfRule>
  </conditionalFormatting>
  <conditionalFormatting sqref="I81:I88 I94:I97 I99:I101 I90:I92">
    <cfRule type="containsBlanks" dxfId="22" priority="19">
      <formula>LEN(TRIM(I81))=0</formula>
    </cfRule>
  </conditionalFormatting>
  <conditionalFormatting sqref="J81:J101">
    <cfRule type="containsBlanks" dxfId="21" priority="18">
      <formula>LEN(TRIM(J81))=0</formula>
    </cfRule>
  </conditionalFormatting>
  <conditionalFormatting sqref="K81:K90 K92:K100">
    <cfRule type="containsBlanks" dxfId="20" priority="17">
      <formula>LEN(TRIM(K81))=0</formula>
    </cfRule>
  </conditionalFormatting>
  <conditionalFormatting sqref="B126:C131 B124:D125 B122:C123 B121:D121 B117:C118 B116:D116 B102:C104 B106:C111 B105 B113:C113 B112 B115:C115 B114 B119:B120">
    <cfRule type="containsBlanks" dxfId="19" priority="14">
      <formula>LEN(TRIM(B102))=0</formula>
    </cfRule>
  </conditionalFormatting>
  <conditionalFormatting sqref="C102:C104 C106:C111 C113 C115:C118 C121:C131">
    <cfRule type="duplicateValues" dxfId="18" priority="15"/>
  </conditionalFormatting>
  <conditionalFormatting sqref="D124:D125 D121 D116">
    <cfRule type="duplicateValues" dxfId="17" priority="16"/>
  </conditionalFormatting>
  <conditionalFormatting sqref="C112">
    <cfRule type="containsBlanks" dxfId="16" priority="12">
      <formula>LEN(TRIM(C112))=0</formula>
    </cfRule>
  </conditionalFormatting>
  <conditionalFormatting sqref="C112">
    <cfRule type="duplicateValues" dxfId="15" priority="13"/>
  </conditionalFormatting>
  <conditionalFormatting sqref="C114">
    <cfRule type="containsBlanks" dxfId="14" priority="10">
      <formula>LEN(TRIM(C114))=0</formula>
    </cfRule>
  </conditionalFormatting>
  <conditionalFormatting sqref="C114">
    <cfRule type="duplicateValues" dxfId="13" priority="11"/>
  </conditionalFormatting>
  <conditionalFormatting sqref="C119">
    <cfRule type="containsBlanks" dxfId="12" priority="6">
      <formula>LEN(TRIM(C119))=0</formula>
    </cfRule>
  </conditionalFormatting>
  <conditionalFormatting sqref="C119">
    <cfRule type="duplicateValues" dxfId="11" priority="7"/>
  </conditionalFormatting>
  <conditionalFormatting sqref="C120">
    <cfRule type="containsBlanks" dxfId="10" priority="4">
      <formula>LEN(TRIM(C120))=0</formula>
    </cfRule>
  </conditionalFormatting>
  <conditionalFormatting sqref="C120">
    <cfRule type="duplicateValues" dxfId="9" priority="5"/>
  </conditionalFormatting>
  <conditionalFormatting sqref="F102:G122 F124:G128 F130:G131 G129">
    <cfRule type="containsBlanks" dxfId="8" priority="3">
      <formula>LEN(TRIM(F102))=0</formula>
    </cfRule>
  </conditionalFormatting>
  <conditionalFormatting sqref="I102:I112 I116:I119 I114 I121:I125 I127:I131">
    <cfRule type="containsBlanks" dxfId="7" priority="2">
      <formula>LEN(TRIM(I102))=0</formula>
    </cfRule>
  </conditionalFormatting>
  <conditionalFormatting sqref="J102:K130 J131">
    <cfRule type="containsBlanks" dxfId="6" priority="1">
      <formula>LEN(TRIM(J102))=0</formula>
    </cfRule>
  </conditionalFormatting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027C5-7781-4DEE-A2C8-1A93B868C0A3}">
  <sheetPr>
    <tabColor theme="5"/>
  </sheetPr>
  <dimension ref="A1:O42"/>
  <sheetViews>
    <sheetView view="pageBreakPreview" topLeftCell="A7" zoomScale="96" zoomScaleNormal="100" zoomScaleSheetLayoutView="96" workbookViewId="0">
      <selection activeCell="B14" sqref="B14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3372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/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/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482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482" t="s">
        <v>13</v>
      </c>
      <c r="L9" s="482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20.25" customHeight="1" x14ac:dyDescent="0.25">
      <c r="A12" s="294">
        <v>4</v>
      </c>
      <c r="B12" s="333" t="s">
        <v>248</v>
      </c>
      <c r="C12" s="334"/>
      <c r="D12" s="333"/>
      <c r="E12" s="355" t="s">
        <v>65</v>
      </c>
      <c r="F12" s="336" t="s">
        <v>3198</v>
      </c>
      <c r="G12" s="351" t="s">
        <v>3199</v>
      </c>
      <c r="H12" s="333" t="s">
        <v>40</v>
      </c>
      <c r="I12" s="337">
        <v>24000</v>
      </c>
      <c r="J12" s="220" t="s">
        <v>152</v>
      </c>
      <c r="K12" s="100"/>
      <c r="L12" s="181" t="s">
        <v>41</v>
      </c>
    </row>
    <row r="13" spans="1:15" ht="31.5" customHeight="1" x14ac:dyDescent="0.25">
      <c r="A13" s="294">
        <v>4</v>
      </c>
      <c r="B13" s="355" t="s">
        <v>3373</v>
      </c>
      <c r="C13" s="334"/>
      <c r="D13" s="333" t="s">
        <v>3294</v>
      </c>
      <c r="E13" s="355" t="s">
        <v>43</v>
      </c>
      <c r="F13" s="336" t="s">
        <v>3374</v>
      </c>
      <c r="G13" s="333" t="s">
        <v>3375</v>
      </c>
      <c r="H13" s="333" t="s">
        <v>40</v>
      </c>
      <c r="I13" s="337">
        <v>5000</v>
      </c>
      <c r="J13" s="486">
        <v>1000</v>
      </c>
      <c r="K13" s="100"/>
      <c r="L13" s="181" t="s">
        <v>41</v>
      </c>
    </row>
    <row r="14" spans="1:15" s="62" customFormat="1" ht="23.25" customHeight="1" x14ac:dyDescent="0.25">
      <c r="A14" s="294">
        <v>4</v>
      </c>
      <c r="B14" s="355" t="s">
        <v>411</v>
      </c>
      <c r="C14" s="334"/>
      <c r="D14" s="335"/>
      <c r="E14" s="333" t="s">
        <v>42</v>
      </c>
      <c r="F14" s="336" t="s">
        <v>3401</v>
      </c>
      <c r="G14" s="231" t="s">
        <v>3402</v>
      </c>
      <c r="H14" s="233" t="s">
        <v>40</v>
      </c>
      <c r="I14" s="457">
        <v>6000</v>
      </c>
      <c r="J14" s="220" t="s">
        <v>152</v>
      </c>
      <c r="K14" s="100"/>
      <c r="L14" s="181" t="s">
        <v>41</v>
      </c>
      <c r="M14" s="166"/>
    </row>
    <row r="15" spans="1:15" s="62" customFormat="1" ht="21.75" customHeight="1" x14ac:dyDescent="0.25">
      <c r="A15" s="295">
        <v>7</v>
      </c>
      <c r="B15" s="345" t="s">
        <v>3428</v>
      </c>
      <c r="C15" s="446"/>
      <c r="D15" s="447"/>
      <c r="E15" s="447" t="s">
        <v>50</v>
      </c>
      <c r="F15" s="448" t="s">
        <v>3429</v>
      </c>
      <c r="G15" s="447" t="s">
        <v>3430</v>
      </c>
      <c r="H15" s="342" t="s">
        <v>40</v>
      </c>
      <c r="I15" s="344">
        <v>6000</v>
      </c>
      <c r="J15" s="220" t="s">
        <v>152</v>
      </c>
      <c r="K15" s="100"/>
      <c r="L15" s="181" t="s">
        <v>41</v>
      </c>
      <c r="M15" s="166"/>
      <c r="O15" s="98"/>
    </row>
    <row r="16" spans="1:15" s="62" customFormat="1" ht="32.25" customHeight="1" x14ac:dyDescent="0.25">
      <c r="A16" s="295">
        <v>11</v>
      </c>
      <c r="B16" s="355" t="s">
        <v>1858</v>
      </c>
      <c r="C16" s="339"/>
      <c r="D16" s="447" t="s">
        <v>3431</v>
      </c>
      <c r="E16" s="447" t="s">
        <v>59</v>
      </c>
      <c r="F16" s="448" t="s">
        <v>3432</v>
      </c>
      <c r="G16" s="447" t="s">
        <v>3433</v>
      </c>
      <c r="H16" s="345" t="s">
        <v>3434</v>
      </c>
      <c r="I16" s="344">
        <v>274</v>
      </c>
      <c r="J16" s="220" t="s">
        <v>152</v>
      </c>
      <c r="K16" s="100"/>
      <c r="L16" s="181" t="s">
        <v>41</v>
      </c>
      <c r="O16" s="98"/>
    </row>
    <row r="17" spans="1:15" s="62" customFormat="1" ht="26.25" customHeight="1" x14ac:dyDescent="0.25">
      <c r="A17" s="295">
        <v>12</v>
      </c>
      <c r="B17" s="345" t="s">
        <v>3469</v>
      </c>
      <c r="C17" s="339"/>
      <c r="D17" s="340"/>
      <c r="E17" s="447" t="s">
        <v>75</v>
      </c>
      <c r="F17" s="448" t="s">
        <v>3470</v>
      </c>
      <c r="G17" s="447" t="s">
        <v>3471</v>
      </c>
      <c r="H17" s="345" t="s">
        <v>40</v>
      </c>
      <c r="I17" s="344">
        <v>12000</v>
      </c>
      <c r="J17" s="220" t="s">
        <v>152</v>
      </c>
      <c r="K17" s="100"/>
      <c r="L17" s="181" t="s">
        <v>41</v>
      </c>
      <c r="O17" s="98"/>
    </row>
    <row r="18" spans="1:15" s="62" customFormat="1" ht="23.25" customHeight="1" x14ac:dyDescent="0.25">
      <c r="A18" s="275">
        <v>12</v>
      </c>
      <c r="B18" s="345" t="s">
        <v>3469</v>
      </c>
      <c r="C18" s="339"/>
      <c r="D18" s="340"/>
      <c r="E18" s="447" t="s">
        <v>75</v>
      </c>
      <c r="F18" s="448" t="s">
        <v>3470</v>
      </c>
      <c r="G18" s="447" t="s">
        <v>3471</v>
      </c>
      <c r="H18" s="351" t="s">
        <v>1039</v>
      </c>
      <c r="I18" s="344">
        <v>200</v>
      </c>
      <c r="J18" s="220" t="s">
        <v>152</v>
      </c>
      <c r="K18" s="100"/>
      <c r="L18" s="181" t="s">
        <v>41</v>
      </c>
      <c r="O18" s="98"/>
    </row>
    <row r="19" spans="1:15" s="62" customFormat="1" ht="20.25" customHeight="1" x14ac:dyDescent="0.25">
      <c r="A19" s="275">
        <v>12</v>
      </c>
      <c r="B19" s="345" t="s">
        <v>3479</v>
      </c>
      <c r="C19" s="339"/>
      <c r="D19" s="340"/>
      <c r="E19" s="345" t="s">
        <v>45</v>
      </c>
      <c r="F19" s="448" t="s">
        <v>3480</v>
      </c>
      <c r="G19" s="447" t="s">
        <v>3481</v>
      </c>
      <c r="H19" s="345" t="s">
        <v>40</v>
      </c>
      <c r="I19" s="344">
        <v>47000</v>
      </c>
      <c r="J19" s="220" t="s">
        <v>152</v>
      </c>
      <c r="K19" s="100"/>
      <c r="L19" s="181" t="s">
        <v>41</v>
      </c>
      <c r="O19" s="98"/>
    </row>
    <row r="20" spans="1:15" s="62" customFormat="1" ht="24" customHeight="1" x14ac:dyDescent="0.25">
      <c r="A20" s="295">
        <v>19</v>
      </c>
      <c r="B20" s="338" t="s">
        <v>3579</v>
      </c>
      <c r="C20" s="339"/>
      <c r="D20" s="447"/>
      <c r="E20" s="447" t="s">
        <v>3580</v>
      </c>
      <c r="F20" s="448" t="s">
        <v>3581</v>
      </c>
      <c r="G20" s="447" t="s">
        <v>3582</v>
      </c>
      <c r="H20" s="345" t="s">
        <v>1493</v>
      </c>
      <c r="I20" s="457">
        <v>28000</v>
      </c>
      <c r="J20" s="220" t="s">
        <v>152</v>
      </c>
      <c r="K20" s="100"/>
      <c r="L20" s="181" t="s">
        <v>41</v>
      </c>
      <c r="O20" s="98"/>
    </row>
    <row r="21" spans="1:15" s="62" customFormat="1" ht="35.25" customHeight="1" x14ac:dyDescent="0.25">
      <c r="A21" s="295">
        <v>20</v>
      </c>
      <c r="B21" s="345" t="s">
        <v>248</v>
      </c>
      <c r="C21" s="446"/>
      <c r="D21" s="447"/>
      <c r="E21" s="447" t="s">
        <v>65</v>
      </c>
      <c r="F21" s="448" t="s">
        <v>3198</v>
      </c>
      <c r="G21" s="447" t="s">
        <v>3595</v>
      </c>
      <c r="H21" s="345" t="s">
        <v>40</v>
      </c>
      <c r="I21" s="457">
        <v>12000</v>
      </c>
      <c r="J21" s="220" t="s">
        <v>152</v>
      </c>
      <c r="K21" s="100"/>
      <c r="L21" s="181" t="s">
        <v>41</v>
      </c>
      <c r="O21" s="98"/>
    </row>
    <row r="22" spans="1:15" s="62" customFormat="1" ht="42" customHeight="1" x14ac:dyDescent="0.25">
      <c r="A22" s="295">
        <v>20</v>
      </c>
      <c r="B22" s="338" t="s">
        <v>3596</v>
      </c>
      <c r="C22" s="339"/>
      <c r="D22" s="340"/>
      <c r="E22" s="340" t="s">
        <v>64</v>
      </c>
      <c r="F22" s="448" t="s">
        <v>3597</v>
      </c>
      <c r="G22" s="447" t="s">
        <v>3598</v>
      </c>
      <c r="H22" s="345" t="s">
        <v>40</v>
      </c>
      <c r="I22" s="344">
        <v>12000</v>
      </c>
      <c r="J22" s="220" t="s">
        <v>152</v>
      </c>
      <c r="K22" s="100"/>
      <c r="L22" s="181" t="s">
        <v>41</v>
      </c>
      <c r="O22" s="98"/>
    </row>
    <row r="23" spans="1:15" s="62" customFormat="1" ht="33" customHeight="1" x14ac:dyDescent="0.25">
      <c r="A23" s="295">
        <v>21</v>
      </c>
      <c r="B23" s="338" t="s">
        <v>3601</v>
      </c>
      <c r="C23" s="339"/>
      <c r="D23" s="340"/>
      <c r="E23" s="340" t="s">
        <v>68</v>
      </c>
      <c r="F23" s="341" t="s">
        <v>3602</v>
      </c>
      <c r="G23" s="447" t="s">
        <v>3603</v>
      </c>
      <c r="H23" s="351" t="s">
        <v>1039</v>
      </c>
      <c r="I23" s="344">
        <v>200</v>
      </c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75">
        <v>22</v>
      </c>
      <c r="B24" s="338" t="s">
        <v>411</v>
      </c>
      <c r="C24" s="339"/>
      <c r="D24" s="340"/>
      <c r="E24" s="340" t="s">
        <v>42</v>
      </c>
      <c r="F24" s="341" t="s">
        <v>3604</v>
      </c>
      <c r="G24" s="340" t="s">
        <v>412</v>
      </c>
      <c r="H24" s="345" t="s">
        <v>40</v>
      </c>
      <c r="I24" s="344">
        <v>6000</v>
      </c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455">
        <v>26</v>
      </c>
      <c r="B25" s="456" t="s">
        <v>2634</v>
      </c>
      <c r="C25" s="233"/>
      <c r="D25" s="233"/>
      <c r="E25" s="233" t="s">
        <v>82</v>
      </c>
      <c r="F25" s="336" t="s">
        <v>2635</v>
      </c>
      <c r="G25" s="342" t="s">
        <v>2636</v>
      </c>
      <c r="H25" s="345" t="s">
        <v>40</v>
      </c>
      <c r="I25" s="344">
        <v>8000</v>
      </c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455"/>
      <c r="B26" s="456"/>
      <c r="C26" s="233"/>
      <c r="D26" s="233"/>
      <c r="E26" s="233"/>
      <c r="F26" s="336"/>
      <c r="G26" s="342"/>
      <c r="H26" s="345"/>
      <c r="I26" s="344"/>
      <c r="J26" s="220" t="s">
        <v>152</v>
      </c>
      <c r="K26" s="100"/>
      <c r="L26" s="181" t="s">
        <v>41</v>
      </c>
      <c r="O26" s="98"/>
    </row>
    <row r="27" spans="1:15" s="62" customFormat="1" ht="16.5" customHeight="1" x14ac:dyDescent="0.25">
      <c r="A27" s="455"/>
      <c r="B27" s="456"/>
      <c r="C27" s="233"/>
      <c r="D27" s="233"/>
      <c r="E27" s="233"/>
      <c r="F27" s="336"/>
      <c r="G27" s="342"/>
      <c r="H27" s="345"/>
      <c r="I27" s="344"/>
      <c r="J27" s="220" t="s">
        <v>152</v>
      </c>
      <c r="K27" s="100"/>
      <c r="L27" s="181" t="s">
        <v>41</v>
      </c>
      <c r="O27" s="98"/>
    </row>
    <row r="28" spans="1:15" s="62" customFormat="1" ht="16.5" customHeight="1" x14ac:dyDescent="0.25">
      <c r="A28" s="455"/>
      <c r="B28" s="456"/>
      <c r="C28" s="233"/>
      <c r="D28" s="233"/>
      <c r="E28" s="233"/>
      <c r="F28" s="336"/>
      <c r="G28" s="233"/>
      <c r="H28" s="345"/>
      <c r="I28" s="344"/>
      <c r="J28" s="220" t="s">
        <v>152</v>
      </c>
      <c r="K28" s="100"/>
      <c r="L28" s="181" t="s">
        <v>41</v>
      </c>
      <c r="O28" s="98"/>
    </row>
    <row r="29" spans="1:15" s="62" customFormat="1" x14ac:dyDescent="0.25">
      <c r="A29" s="240"/>
      <c r="B29" s="100"/>
      <c r="C29" s="216"/>
      <c r="D29" s="100"/>
      <c r="E29" s="100"/>
      <c r="F29" s="241"/>
      <c r="G29" s="100"/>
      <c r="H29" s="140"/>
      <c r="I29" s="221"/>
      <c r="J29" s="216"/>
      <c r="K29" s="100"/>
      <c r="L29" s="100"/>
      <c r="O29" s="98"/>
    </row>
    <row r="30" spans="1:15" x14ac:dyDescent="0.25">
      <c r="I30" s="28"/>
      <c r="J30" s="28"/>
    </row>
    <row r="31" spans="1:15" x14ac:dyDescent="0.25">
      <c r="F31" s="30"/>
      <c r="I31" s="63" t="s">
        <v>19</v>
      </c>
      <c r="J31" s="28"/>
      <c r="K31" s="326"/>
      <c r="L31" s="30"/>
    </row>
    <row r="32" spans="1:15" x14ac:dyDescent="0.25">
      <c r="I32" s="28" t="s">
        <v>109</v>
      </c>
      <c r="J32" s="28"/>
      <c r="K32" s="357"/>
      <c r="L32" s="276"/>
    </row>
    <row r="33" spans="2:12" x14ac:dyDescent="0.25">
      <c r="B33" t="s">
        <v>20</v>
      </c>
      <c r="E33" t="s">
        <v>21</v>
      </c>
      <c r="I33" s="28" t="s">
        <v>110</v>
      </c>
      <c r="J33" s="132"/>
      <c r="K33" s="481" t="s">
        <v>3473</v>
      </c>
      <c r="L33" s="427"/>
    </row>
    <row r="34" spans="2:12" x14ac:dyDescent="0.25">
      <c r="I34" s="28" t="s">
        <v>149</v>
      </c>
      <c r="J34" s="132"/>
      <c r="K34" t="s">
        <v>138</v>
      </c>
      <c r="L34" s="287">
        <f>SUM(I12:I15,I17)</f>
        <v>53000</v>
      </c>
    </row>
    <row r="35" spans="2:12" x14ac:dyDescent="0.25">
      <c r="I35" s="28" t="s">
        <v>601</v>
      </c>
      <c r="J35" s="132"/>
      <c r="K35" s="487" t="s">
        <v>3474</v>
      </c>
      <c r="L35" s="427">
        <f>SUM(I16,I18)</f>
        <v>474</v>
      </c>
    </row>
    <row r="36" spans="2:12" x14ac:dyDescent="0.25">
      <c r="I36" s="28" t="s">
        <v>111</v>
      </c>
      <c r="J36" s="132"/>
      <c r="K36" s="481" t="s">
        <v>3630</v>
      </c>
      <c r="L36" s="287"/>
    </row>
    <row r="37" spans="2:12" x14ac:dyDescent="0.25">
      <c r="B37" s="29"/>
      <c r="E37" s="251"/>
      <c r="F37" s="251"/>
      <c r="G37" s="251"/>
      <c r="H37" s="251"/>
      <c r="I37" s="28" t="s">
        <v>113</v>
      </c>
      <c r="J37" s="132"/>
      <c r="K37" t="s">
        <v>138</v>
      </c>
      <c r="L37" s="427">
        <v>47000</v>
      </c>
    </row>
    <row r="38" spans="2:12" x14ac:dyDescent="0.25">
      <c r="B38" s="267" t="s">
        <v>1577</v>
      </c>
      <c r="C38" s="267"/>
      <c r="D38" s="267"/>
      <c r="E38" s="268" t="s">
        <v>157</v>
      </c>
      <c r="F38" s="252"/>
      <c r="G38" s="252"/>
      <c r="H38" s="252"/>
      <c r="I38" s="28" t="s">
        <v>114</v>
      </c>
      <c r="J38" s="130"/>
      <c r="K38" s="481" t="s">
        <v>3631</v>
      </c>
      <c r="L38" s="69"/>
    </row>
    <row r="39" spans="2:12" x14ac:dyDescent="0.25">
      <c r="B39" t="s">
        <v>1576</v>
      </c>
      <c r="E39" t="s">
        <v>158</v>
      </c>
      <c r="I39" s="28" t="s">
        <v>22</v>
      </c>
      <c r="J39" s="131"/>
      <c r="K39" t="s">
        <v>138</v>
      </c>
      <c r="L39" s="69">
        <f>SUM(I20:I22,I24)</f>
        <v>58000</v>
      </c>
    </row>
    <row r="40" spans="2:12" x14ac:dyDescent="0.25">
      <c r="I40" s="3" t="s">
        <v>115</v>
      </c>
      <c r="J40" s="132"/>
      <c r="K40" s="487" t="s">
        <v>3474</v>
      </c>
      <c r="L40" s="30">
        <v>200</v>
      </c>
    </row>
    <row r="41" spans="2:12" x14ac:dyDescent="0.25">
      <c r="I41" s="3" t="s">
        <v>87</v>
      </c>
      <c r="J41" s="132"/>
      <c r="K41" s="481" t="s">
        <v>3676</v>
      </c>
      <c r="L41" s="30"/>
    </row>
    <row r="42" spans="2:12" x14ac:dyDescent="0.25">
      <c r="G42" s="30">
        <f>SUM(I12:I28)</f>
        <v>166674</v>
      </c>
      <c r="K42" t="s">
        <v>138</v>
      </c>
      <c r="L42" s="30">
        <v>8000</v>
      </c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DBE5C-0998-4E8D-A1E3-27FB9ADCC31D}">
  <sheetPr>
    <tabColor theme="5"/>
  </sheetPr>
  <dimension ref="A1:V461"/>
  <sheetViews>
    <sheetView view="pageBreakPreview" topLeftCell="A145" zoomScale="106" zoomScaleNormal="100" zoomScaleSheetLayoutView="106" workbookViewId="0">
      <selection activeCell="B54" sqref="B54"/>
    </sheetView>
  </sheetViews>
  <sheetFormatPr defaultRowHeight="15" x14ac:dyDescent="0.25"/>
  <cols>
    <col min="1" max="1" width="4.7109375" style="483" customWidth="1"/>
    <col min="2" max="2" width="15" style="483" customWidth="1"/>
    <col min="3" max="3" width="18" style="62" customWidth="1"/>
    <col min="4" max="4" width="5.28515625" style="62" customWidth="1"/>
    <col min="5" max="5" width="7.85546875" style="62" customWidth="1"/>
    <col min="6" max="6" width="17.7109375" style="62" customWidth="1"/>
    <col min="7" max="7" width="14.5703125" style="62" customWidth="1"/>
    <col min="8" max="8" width="14.28515625" style="62" customWidth="1"/>
    <col min="9" max="9" width="14" style="62" customWidth="1"/>
    <col min="10" max="10" width="16.42578125" style="62" customWidth="1"/>
    <col min="11" max="11" width="16.85546875" style="122" customWidth="1"/>
    <col min="12" max="12" width="9.5703125" style="62" customWidth="1"/>
    <col min="13" max="13" width="17.85546875" style="62" customWidth="1"/>
    <col min="17" max="17" width="4.5703125" customWidth="1"/>
    <col min="18" max="18" width="14.28515625" customWidth="1"/>
    <col min="19" max="19" width="12.42578125" customWidth="1"/>
  </cols>
  <sheetData>
    <row r="1" spans="1:22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</row>
    <row r="2" spans="1:22" ht="18" x14ac:dyDescent="0.25">
      <c r="A2" s="620" t="s">
        <v>3372</v>
      </c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</row>
    <row r="3" spans="1:22" x14ac:dyDescent="0.25">
      <c r="C3" s="102"/>
      <c r="D3" s="102"/>
      <c r="E3" s="78"/>
      <c r="F3" s="102"/>
      <c r="G3" s="102"/>
      <c r="I3" s="78"/>
      <c r="J3" s="83"/>
      <c r="K3" s="103"/>
      <c r="L3" s="104" t="s">
        <v>1959</v>
      </c>
      <c r="M3" s="105"/>
      <c r="R3" s="30"/>
      <c r="S3" s="30"/>
    </row>
    <row r="4" spans="1:22" x14ac:dyDescent="0.25">
      <c r="C4" s="102"/>
      <c r="D4" s="102"/>
      <c r="E4" s="78"/>
      <c r="F4" s="102"/>
      <c r="G4" s="102"/>
      <c r="I4" s="78"/>
      <c r="J4" s="83"/>
      <c r="K4" s="106"/>
      <c r="L4" s="95" t="s">
        <v>89</v>
      </c>
      <c r="M4" s="126">
        <v>120</v>
      </c>
    </row>
    <row r="5" spans="1:22" x14ac:dyDescent="0.25">
      <c r="C5" s="102"/>
      <c r="D5" s="102"/>
      <c r="E5" s="78"/>
      <c r="F5" s="102"/>
      <c r="G5" s="107"/>
      <c r="I5" s="78"/>
      <c r="J5" s="83"/>
      <c r="K5" s="106"/>
      <c r="L5" s="95" t="s">
        <v>91</v>
      </c>
      <c r="M5" s="126">
        <v>26</v>
      </c>
      <c r="R5" s="30"/>
      <c r="S5" s="30"/>
    </row>
    <row r="6" spans="1:22" x14ac:dyDescent="0.25">
      <c r="A6" s="622" t="s">
        <v>117</v>
      </c>
      <c r="B6" s="622"/>
      <c r="C6" s="622"/>
      <c r="D6" s="468"/>
      <c r="E6" s="79"/>
      <c r="F6" s="107"/>
      <c r="G6" s="108"/>
      <c r="H6" s="60"/>
      <c r="I6" s="79"/>
      <c r="J6" s="84"/>
      <c r="K6" s="103"/>
      <c r="L6" s="101" t="s">
        <v>1560</v>
      </c>
      <c r="M6" s="109"/>
      <c r="S6" s="30"/>
    </row>
    <row r="7" spans="1:22" x14ac:dyDescent="0.25">
      <c r="A7" s="110"/>
      <c r="B7" s="347"/>
      <c r="C7" s="469"/>
      <c r="D7" s="111"/>
      <c r="E7" s="80"/>
      <c r="F7" s="169"/>
      <c r="G7" s="169"/>
      <c r="H7" s="613" t="s">
        <v>1</v>
      </c>
      <c r="I7" s="623"/>
      <c r="J7" s="614"/>
      <c r="K7" s="112"/>
      <c r="L7" s="624" t="s">
        <v>2</v>
      </c>
      <c r="M7" s="625"/>
      <c r="R7" s="30"/>
      <c r="S7" s="30"/>
    </row>
    <row r="8" spans="1:22" x14ac:dyDescent="0.25">
      <c r="A8" s="626" t="s">
        <v>3</v>
      </c>
      <c r="B8" s="627"/>
      <c r="C8" s="627"/>
      <c r="D8" s="628"/>
      <c r="E8" s="18" t="s">
        <v>4</v>
      </c>
      <c r="F8" s="485" t="s">
        <v>5</v>
      </c>
      <c r="G8" s="484" t="s">
        <v>6</v>
      </c>
      <c r="H8" s="11" t="s">
        <v>7</v>
      </c>
      <c r="I8" s="81"/>
      <c r="J8" s="12" t="s">
        <v>8</v>
      </c>
      <c r="K8" s="74" t="s">
        <v>9</v>
      </c>
      <c r="L8" s="96"/>
      <c r="M8" s="113"/>
      <c r="R8" s="214"/>
      <c r="S8" s="30"/>
    </row>
    <row r="9" spans="1:22" x14ac:dyDescent="0.25">
      <c r="A9" s="114"/>
      <c r="B9" s="348"/>
      <c r="C9" s="107"/>
      <c r="D9" s="115"/>
      <c r="E9" s="81"/>
      <c r="F9" s="116"/>
      <c r="G9" s="115"/>
      <c r="H9" s="17" t="s">
        <v>10</v>
      </c>
      <c r="I9" s="18" t="s">
        <v>11</v>
      </c>
      <c r="J9" s="12" t="s">
        <v>12</v>
      </c>
      <c r="K9" s="117"/>
      <c r="L9" s="485" t="s">
        <v>13</v>
      </c>
      <c r="M9" s="485" t="s">
        <v>14</v>
      </c>
      <c r="R9" s="214"/>
    </row>
    <row r="10" spans="1:22" x14ac:dyDescent="0.25">
      <c r="A10" s="118"/>
      <c r="B10" s="349"/>
      <c r="C10" s="108"/>
      <c r="D10" s="119"/>
      <c r="E10" s="82"/>
      <c r="F10" s="170"/>
      <c r="G10" s="170"/>
      <c r="H10" s="22"/>
      <c r="I10" s="85"/>
      <c r="J10" s="86" t="s">
        <v>15</v>
      </c>
      <c r="K10" s="120"/>
      <c r="L10" s="22"/>
      <c r="M10" s="51" t="s">
        <v>16</v>
      </c>
      <c r="R10" s="214"/>
    </row>
    <row r="11" spans="1:22" x14ac:dyDescent="0.25">
      <c r="A11" s="142" t="s">
        <v>17</v>
      </c>
      <c r="B11" s="142"/>
      <c r="C11" s="59"/>
      <c r="D11" s="59"/>
      <c r="E11" s="59"/>
      <c r="F11" s="59"/>
      <c r="G11" s="59"/>
      <c r="H11" s="59"/>
      <c r="I11" s="59"/>
      <c r="J11" s="59"/>
      <c r="K11" s="75"/>
      <c r="L11" s="59"/>
      <c r="M11" s="59"/>
      <c r="R11" s="272" t="s">
        <v>3472</v>
      </c>
      <c r="T11" t="s">
        <v>160</v>
      </c>
      <c r="U11" t="s">
        <v>163</v>
      </c>
      <c r="V11" t="s">
        <v>309</v>
      </c>
    </row>
    <row r="12" spans="1:22" x14ac:dyDescent="0.25">
      <c r="A12" s="228">
        <v>5</v>
      </c>
      <c r="B12" s="351" t="s">
        <v>3376</v>
      </c>
      <c r="C12" s="230" t="s">
        <v>3377</v>
      </c>
      <c r="D12" s="230"/>
      <c r="E12" s="230" t="s">
        <v>160</v>
      </c>
      <c r="F12" s="230" t="s">
        <v>1810</v>
      </c>
      <c r="G12" s="230" t="s">
        <v>54</v>
      </c>
      <c r="H12" s="231" t="s">
        <v>3378</v>
      </c>
      <c r="I12" s="233" t="s">
        <v>40</v>
      </c>
      <c r="J12" s="232">
        <v>5000</v>
      </c>
      <c r="K12" s="229">
        <v>1000</v>
      </c>
      <c r="L12" s="224" t="s">
        <v>147</v>
      </c>
      <c r="M12" s="224" t="s">
        <v>41</v>
      </c>
      <c r="O12">
        <f>J12/5</f>
        <v>1000</v>
      </c>
      <c r="Q12" s="30"/>
      <c r="R12" s="320" t="s">
        <v>138</v>
      </c>
      <c r="S12" s="27">
        <f>SUM(J12,J14:J26,J28:J29,J31:J38,J40:J44,J49,J51:J52,J54:J56,J58:J59)</f>
        <v>108600</v>
      </c>
      <c r="T12" s="320">
        <v>28</v>
      </c>
      <c r="U12">
        <v>9</v>
      </c>
      <c r="V12" t="s">
        <v>3633</v>
      </c>
    </row>
    <row r="13" spans="1:22" x14ac:dyDescent="0.25">
      <c r="A13" s="228">
        <v>5</v>
      </c>
      <c r="B13" s="351" t="s">
        <v>3376</v>
      </c>
      <c r="C13" s="230" t="s">
        <v>3377</v>
      </c>
      <c r="D13" s="230"/>
      <c r="E13" s="230" t="s">
        <v>160</v>
      </c>
      <c r="F13" s="230" t="s">
        <v>1810</v>
      </c>
      <c r="G13" s="230" t="s">
        <v>54</v>
      </c>
      <c r="H13" s="231" t="s">
        <v>3378</v>
      </c>
      <c r="I13" s="450" t="s">
        <v>1911</v>
      </c>
      <c r="J13" s="232">
        <v>20</v>
      </c>
      <c r="K13" s="229">
        <v>200</v>
      </c>
      <c r="L13" s="224"/>
      <c r="M13" s="224"/>
      <c r="O13">
        <f>J13/5</f>
        <v>4</v>
      </c>
      <c r="Q13" s="30"/>
      <c r="R13" s="321" t="s">
        <v>1651</v>
      </c>
      <c r="S13" s="27">
        <f>SUM(J27,J39,J46,J50,J53,J57)</f>
        <v>4980</v>
      </c>
      <c r="T13" s="320">
        <v>5</v>
      </c>
      <c r="U13">
        <v>1</v>
      </c>
    </row>
    <row r="14" spans="1:22" x14ac:dyDescent="0.25">
      <c r="A14" s="228">
        <v>5</v>
      </c>
      <c r="B14" s="351" t="s">
        <v>1599</v>
      </c>
      <c r="C14" s="230" t="s">
        <v>2107</v>
      </c>
      <c r="D14" s="230"/>
      <c r="E14" s="230" t="s">
        <v>160</v>
      </c>
      <c r="F14" s="230" t="s">
        <v>1125</v>
      </c>
      <c r="G14" s="230" t="s">
        <v>54</v>
      </c>
      <c r="H14" s="231" t="s">
        <v>3379</v>
      </c>
      <c r="I14" s="233" t="s">
        <v>40</v>
      </c>
      <c r="J14" s="232">
        <v>200</v>
      </c>
      <c r="K14" s="229">
        <v>40</v>
      </c>
      <c r="L14" s="224" t="s">
        <v>147</v>
      </c>
      <c r="M14" s="224" t="s">
        <v>41</v>
      </c>
      <c r="O14">
        <f t="shared" ref="O14:O202" si="0">J14/5</f>
        <v>40</v>
      </c>
      <c r="Q14" s="30"/>
      <c r="R14" s="293" t="s">
        <v>1911</v>
      </c>
      <c r="S14" s="322">
        <f>SUM(J13,J30,J45,J47,J48)</f>
        <v>139</v>
      </c>
      <c r="T14" s="320">
        <v>4</v>
      </c>
      <c r="U14">
        <v>1</v>
      </c>
    </row>
    <row r="15" spans="1:22" x14ac:dyDescent="0.25">
      <c r="A15" s="228">
        <v>5</v>
      </c>
      <c r="B15" s="351" t="s">
        <v>3380</v>
      </c>
      <c r="C15" s="230" t="s">
        <v>1680</v>
      </c>
      <c r="D15" s="230" t="s">
        <v>3260</v>
      </c>
      <c r="E15" s="230" t="s">
        <v>160</v>
      </c>
      <c r="F15" s="230" t="s">
        <v>685</v>
      </c>
      <c r="G15" s="230" t="s">
        <v>46</v>
      </c>
      <c r="H15" s="231" t="s">
        <v>1681</v>
      </c>
      <c r="I15" s="230" t="s">
        <v>40</v>
      </c>
      <c r="J15" s="232">
        <v>500</v>
      </c>
      <c r="K15" s="229">
        <v>100</v>
      </c>
      <c r="L15" s="224" t="s">
        <v>147</v>
      </c>
      <c r="M15" s="224" t="s">
        <v>41</v>
      </c>
      <c r="O15">
        <f t="shared" si="0"/>
        <v>100</v>
      </c>
      <c r="Q15" s="30"/>
      <c r="R15" s="272" t="s">
        <v>3495</v>
      </c>
      <c r="S15" s="322"/>
      <c r="T15" s="60"/>
    </row>
    <row r="16" spans="1:22" x14ac:dyDescent="0.25">
      <c r="A16" s="228">
        <v>5</v>
      </c>
      <c r="B16" s="351" t="s">
        <v>3381</v>
      </c>
      <c r="C16" s="230" t="s">
        <v>3382</v>
      </c>
      <c r="D16" s="230"/>
      <c r="E16" s="283" t="s">
        <v>163</v>
      </c>
      <c r="F16" s="230" t="s">
        <v>169</v>
      </c>
      <c r="G16" s="230" t="s">
        <v>45</v>
      </c>
      <c r="H16" s="231" t="s">
        <v>3383</v>
      </c>
      <c r="I16" s="230" t="s">
        <v>40</v>
      </c>
      <c r="J16" s="232">
        <v>500</v>
      </c>
      <c r="K16" s="229">
        <v>100</v>
      </c>
      <c r="L16" s="224" t="s">
        <v>147</v>
      </c>
      <c r="M16" s="224" t="s">
        <v>41</v>
      </c>
      <c r="O16">
        <f t="shared" si="0"/>
        <v>100</v>
      </c>
      <c r="R16" s="293" t="s">
        <v>138</v>
      </c>
      <c r="S16" s="69">
        <f>SUM(J60:J72)</f>
        <v>38340</v>
      </c>
      <c r="T16" s="60">
        <v>11</v>
      </c>
      <c r="U16">
        <v>2</v>
      </c>
      <c r="V16" t="s">
        <v>3634</v>
      </c>
    </row>
    <row r="17" spans="1:22" x14ac:dyDescent="0.25">
      <c r="A17" s="228">
        <v>5</v>
      </c>
      <c r="B17" s="351" t="s">
        <v>1602</v>
      </c>
      <c r="C17" s="230" t="s">
        <v>1603</v>
      </c>
      <c r="D17" s="230"/>
      <c r="E17" s="283" t="s">
        <v>163</v>
      </c>
      <c r="F17" s="230" t="s">
        <v>211</v>
      </c>
      <c r="G17" s="230" t="s">
        <v>47</v>
      </c>
      <c r="H17" s="231" t="s">
        <v>3384</v>
      </c>
      <c r="I17" s="233" t="s">
        <v>40</v>
      </c>
      <c r="J17" s="232">
        <v>300</v>
      </c>
      <c r="K17" s="229">
        <v>60</v>
      </c>
      <c r="L17" s="224" t="s">
        <v>147</v>
      </c>
      <c r="M17" s="224" t="s">
        <v>41</v>
      </c>
      <c r="O17">
        <f t="shared" si="0"/>
        <v>60</v>
      </c>
      <c r="R17" s="272" t="s">
        <v>3629</v>
      </c>
      <c r="S17" s="322"/>
      <c r="T17" s="60"/>
    </row>
    <row r="18" spans="1:22" x14ac:dyDescent="0.25">
      <c r="A18" s="228">
        <v>5</v>
      </c>
      <c r="B18" s="351" t="s">
        <v>3385</v>
      </c>
      <c r="C18" s="230" t="s">
        <v>1304</v>
      </c>
      <c r="D18" s="230"/>
      <c r="E18" s="283" t="s">
        <v>163</v>
      </c>
      <c r="F18" s="230" t="s">
        <v>1005</v>
      </c>
      <c r="G18" s="230" t="s">
        <v>45</v>
      </c>
      <c r="H18" s="231" t="s">
        <v>3386</v>
      </c>
      <c r="I18" s="233" t="s">
        <v>40</v>
      </c>
      <c r="J18" s="232">
        <v>2000</v>
      </c>
      <c r="K18" s="229">
        <v>400</v>
      </c>
      <c r="L18" s="224" t="s">
        <v>147</v>
      </c>
      <c r="M18" s="224" t="s">
        <v>41</v>
      </c>
      <c r="O18">
        <f t="shared" si="0"/>
        <v>400</v>
      </c>
      <c r="Q18" s="69"/>
      <c r="R18" s="320" t="s">
        <v>138</v>
      </c>
      <c r="S18" s="322">
        <f>SUM(J74:J75,J77:J81,J83:J84,J86:J115,J117:J120,J122:J125,J127,J129:J134,J136,J138:J143)</f>
        <v>139800</v>
      </c>
      <c r="T18" s="60">
        <v>50</v>
      </c>
      <c r="U18">
        <v>10</v>
      </c>
      <c r="V18" t="s">
        <v>3635</v>
      </c>
    </row>
    <row r="19" spans="1:22" x14ac:dyDescent="0.25">
      <c r="A19" s="228">
        <v>5</v>
      </c>
      <c r="B19" s="351" t="s">
        <v>3387</v>
      </c>
      <c r="C19" s="230" t="s">
        <v>3388</v>
      </c>
      <c r="D19" s="230"/>
      <c r="E19" s="230" t="s">
        <v>160</v>
      </c>
      <c r="F19" s="230" t="s">
        <v>2991</v>
      </c>
      <c r="G19" s="230" t="s">
        <v>57</v>
      </c>
      <c r="H19" s="231" t="s">
        <v>3389</v>
      </c>
      <c r="I19" s="233" t="s">
        <v>40</v>
      </c>
      <c r="J19" s="232">
        <v>3000</v>
      </c>
      <c r="K19" s="229">
        <v>600</v>
      </c>
      <c r="L19" s="224" t="s">
        <v>147</v>
      </c>
      <c r="M19" s="224" t="s">
        <v>41</v>
      </c>
      <c r="O19">
        <f t="shared" si="0"/>
        <v>600</v>
      </c>
      <c r="R19" s="321" t="s">
        <v>1651</v>
      </c>
      <c r="S19" s="27">
        <f>SUM(J76,J121)</f>
        <v>500</v>
      </c>
      <c r="T19" s="60">
        <v>5</v>
      </c>
      <c r="U19">
        <v>0</v>
      </c>
    </row>
    <row r="20" spans="1:22" x14ac:dyDescent="0.25">
      <c r="A20" s="228">
        <v>5</v>
      </c>
      <c r="B20" s="351" t="s">
        <v>3390</v>
      </c>
      <c r="C20" s="230" t="s">
        <v>2887</v>
      </c>
      <c r="D20" s="230"/>
      <c r="E20" s="230" t="s">
        <v>160</v>
      </c>
      <c r="F20" s="230" t="s">
        <v>3391</v>
      </c>
      <c r="G20" s="230" t="s">
        <v>47</v>
      </c>
      <c r="H20" s="231" t="s">
        <v>3392</v>
      </c>
      <c r="I20" s="233" t="s">
        <v>40</v>
      </c>
      <c r="J20" s="232">
        <v>200</v>
      </c>
      <c r="K20" s="229">
        <v>40</v>
      </c>
      <c r="L20" s="224" t="s">
        <v>147</v>
      </c>
      <c r="M20" s="224" t="s">
        <v>41</v>
      </c>
      <c r="O20">
        <f t="shared" si="0"/>
        <v>40</v>
      </c>
      <c r="Q20" s="30"/>
      <c r="R20" s="293" t="s">
        <v>1911</v>
      </c>
      <c r="S20" s="322">
        <f>SUM(J73,J82,J85,J116,J126,J128,J135,J137)</f>
        <v>150</v>
      </c>
      <c r="T20" s="60">
        <v>4</v>
      </c>
      <c r="U20">
        <v>1</v>
      </c>
    </row>
    <row r="21" spans="1:22" s="62" customFormat="1" x14ac:dyDescent="0.25">
      <c r="A21" s="228">
        <v>5</v>
      </c>
      <c r="B21" s="351" t="s">
        <v>2938</v>
      </c>
      <c r="C21" s="230" t="s">
        <v>1884</v>
      </c>
      <c r="D21" s="230"/>
      <c r="E21" s="283" t="s">
        <v>163</v>
      </c>
      <c r="F21" s="230" t="s">
        <v>407</v>
      </c>
      <c r="G21" s="230" t="s">
        <v>42</v>
      </c>
      <c r="H21" s="231" t="s">
        <v>1885</v>
      </c>
      <c r="I21" s="230" t="s">
        <v>40</v>
      </c>
      <c r="J21" s="232">
        <v>3000</v>
      </c>
      <c r="K21" s="229">
        <v>600</v>
      </c>
      <c r="L21" s="224" t="s">
        <v>147</v>
      </c>
      <c r="M21" s="224" t="s">
        <v>41</v>
      </c>
      <c r="O21" s="62">
        <f t="shared" si="0"/>
        <v>600</v>
      </c>
      <c r="R21" s="272" t="s">
        <v>3675</v>
      </c>
      <c r="S21" s="98"/>
      <c r="T21" s="60"/>
    </row>
    <row r="22" spans="1:22" x14ac:dyDescent="0.25">
      <c r="A22" s="228">
        <v>5</v>
      </c>
      <c r="B22" s="351" t="s">
        <v>2110</v>
      </c>
      <c r="C22" s="230" t="s">
        <v>3393</v>
      </c>
      <c r="D22" s="230"/>
      <c r="E22" s="230" t="s">
        <v>160</v>
      </c>
      <c r="F22" s="230" t="s">
        <v>401</v>
      </c>
      <c r="G22" s="230" t="s">
        <v>45</v>
      </c>
      <c r="H22" s="231" t="s">
        <v>3394</v>
      </c>
      <c r="I22" s="233" t="s">
        <v>40</v>
      </c>
      <c r="J22" s="232">
        <v>2000</v>
      </c>
      <c r="K22" s="229">
        <v>400</v>
      </c>
      <c r="L22" s="224" t="s">
        <v>147</v>
      </c>
      <c r="M22" s="224" t="s">
        <v>41</v>
      </c>
      <c r="O22">
        <f t="shared" si="0"/>
        <v>400</v>
      </c>
      <c r="R22" s="320" t="s">
        <v>138</v>
      </c>
      <c r="S22" s="30">
        <f>SUM(J144:J146,J148:J159,J161:J165)</f>
        <v>45900</v>
      </c>
      <c r="T22" s="60">
        <v>18</v>
      </c>
      <c r="U22" s="62">
        <v>2</v>
      </c>
      <c r="V22" t="s">
        <v>603</v>
      </c>
    </row>
    <row r="23" spans="1:22" x14ac:dyDescent="0.25">
      <c r="A23" s="228">
        <v>5</v>
      </c>
      <c r="B23" s="351" t="s">
        <v>1871</v>
      </c>
      <c r="C23" s="230" t="s">
        <v>1872</v>
      </c>
      <c r="D23" s="230"/>
      <c r="E23" s="230" t="s">
        <v>160</v>
      </c>
      <c r="F23" s="230" t="s">
        <v>529</v>
      </c>
      <c r="G23" s="230" t="s">
        <v>57</v>
      </c>
      <c r="H23" s="231" t="s">
        <v>536</v>
      </c>
      <c r="I23" s="233" t="s">
        <v>40</v>
      </c>
      <c r="J23" s="232">
        <v>2000</v>
      </c>
      <c r="K23" s="229">
        <v>400</v>
      </c>
      <c r="L23" s="224" t="s">
        <v>147</v>
      </c>
      <c r="M23" s="224" t="s">
        <v>41</v>
      </c>
      <c r="O23">
        <f t="shared" si="0"/>
        <v>400</v>
      </c>
      <c r="R23" s="293" t="s">
        <v>1911</v>
      </c>
      <c r="S23" s="30">
        <f>SUM(J147,J160)</f>
        <v>40</v>
      </c>
      <c r="T23" s="60">
        <v>2</v>
      </c>
    </row>
    <row r="24" spans="1:22" x14ac:dyDescent="0.25">
      <c r="A24" s="228">
        <v>5</v>
      </c>
      <c r="B24" s="351" t="s">
        <v>3395</v>
      </c>
      <c r="C24" s="230" t="s">
        <v>3396</v>
      </c>
      <c r="D24" s="230"/>
      <c r="E24" s="230" t="s">
        <v>160</v>
      </c>
      <c r="F24" s="230" t="s">
        <v>529</v>
      </c>
      <c r="G24" s="230" t="s">
        <v>57</v>
      </c>
      <c r="H24" s="231" t="s">
        <v>3397</v>
      </c>
      <c r="I24" s="233" t="s">
        <v>40</v>
      </c>
      <c r="J24" s="232">
        <v>2000</v>
      </c>
      <c r="K24" s="229">
        <v>400</v>
      </c>
      <c r="L24" s="224" t="s">
        <v>147</v>
      </c>
      <c r="M24" s="224" t="s">
        <v>41</v>
      </c>
      <c r="O24">
        <f t="shared" si="0"/>
        <v>400</v>
      </c>
      <c r="R24" s="321"/>
      <c r="S24" s="69"/>
      <c r="T24" s="60"/>
    </row>
    <row r="25" spans="1:22" x14ac:dyDescent="0.25">
      <c r="A25" s="228">
        <v>5</v>
      </c>
      <c r="B25" s="351" t="s">
        <v>3398</v>
      </c>
      <c r="C25" s="230" t="s">
        <v>2695</v>
      </c>
      <c r="D25" s="230"/>
      <c r="E25" s="230" t="s">
        <v>160</v>
      </c>
      <c r="F25" s="230" t="s">
        <v>529</v>
      </c>
      <c r="G25" s="230" t="s">
        <v>47</v>
      </c>
      <c r="H25" s="231" t="s">
        <v>3399</v>
      </c>
      <c r="I25" s="230" t="s">
        <v>40</v>
      </c>
      <c r="J25" s="232">
        <v>500</v>
      </c>
      <c r="K25" s="229" t="s">
        <v>152</v>
      </c>
      <c r="L25" s="224" t="s">
        <v>147</v>
      </c>
      <c r="M25" s="224" t="s">
        <v>41</v>
      </c>
      <c r="O25">
        <f t="shared" si="0"/>
        <v>100</v>
      </c>
      <c r="R25" s="293"/>
      <c r="S25" s="69"/>
      <c r="T25" s="60"/>
    </row>
    <row r="26" spans="1:22" x14ac:dyDescent="0.25">
      <c r="A26" s="228">
        <v>5</v>
      </c>
      <c r="B26" s="351" t="s">
        <v>2206</v>
      </c>
      <c r="C26" s="230" t="s">
        <v>1575</v>
      </c>
      <c r="D26" s="230"/>
      <c r="E26" s="230" t="s">
        <v>160</v>
      </c>
      <c r="F26" s="230" t="s">
        <v>470</v>
      </c>
      <c r="G26" s="230" t="s">
        <v>55</v>
      </c>
      <c r="H26" s="231" t="s">
        <v>3400</v>
      </c>
      <c r="I26" s="233" t="s">
        <v>40</v>
      </c>
      <c r="J26" s="232">
        <v>1000</v>
      </c>
      <c r="K26" s="229" t="s">
        <v>152</v>
      </c>
      <c r="L26" s="224" t="s">
        <v>147</v>
      </c>
      <c r="M26" s="224" t="s">
        <v>41</v>
      </c>
      <c r="O26">
        <f t="shared" si="0"/>
        <v>200</v>
      </c>
      <c r="R26" s="293"/>
      <c r="S26" s="69"/>
      <c r="T26" s="60"/>
    </row>
    <row r="27" spans="1:22" x14ac:dyDescent="0.25">
      <c r="A27" s="228">
        <v>5</v>
      </c>
      <c r="B27" s="351" t="s">
        <v>3403</v>
      </c>
      <c r="C27" s="230" t="s">
        <v>3404</v>
      </c>
      <c r="D27" s="230"/>
      <c r="E27" s="230" t="s">
        <v>160</v>
      </c>
      <c r="F27" s="230" t="s">
        <v>180</v>
      </c>
      <c r="G27" s="230" t="s">
        <v>57</v>
      </c>
      <c r="H27" s="231" t="s">
        <v>3405</v>
      </c>
      <c r="I27" s="354" t="s">
        <v>1420</v>
      </c>
      <c r="J27" s="232">
        <v>3000</v>
      </c>
      <c r="K27" s="229">
        <v>1500</v>
      </c>
      <c r="L27" s="224" t="s">
        <v>147</v>
      </c>
      <c r="M27" s="224" t="s">
        <v>41</v>
      </c>
      <c r="O27">
        <f t="shared" si="0"/>
        <v>600</v>
      </c>
      <c r="R27" s="30"/>
      <c r="S27" s="30"/>
      <c r="T27" s="60"/>
    </row>
    <row r="28" spans="1:22" x14ac:dyDescent="0.25">
      <c r="A28" s="228">
        <v>5</v>
      </c>
      <c r="B28" s="351" t="s">
        <v>3406</v>
      </c>
      <c r="C28" s="230" t="s">
        <v>1323</v>
      </c>
      <c r="D28" s="230"/>
      <c r="E28" s="230" t="s">
        <v>160</v>
      </c>
      <c r="F28" s="230" t="s">
        <v>299</v>
      </c>
      <c r="G28" s="230" t="s">
        <v>42</v>
      </c>
      <c r="H28" s="231" t="s">
        <v>3407</v>
      </c>
      <c r="I28" s="230" t="s">
        <v>40</v>
      </c>
      <c r="J28" s="232">
        <v>2000</v>
      </c>
      <c r="K28" s="229">
        <v>400</v>
      </c>
      <c r="L28" s="224" t="s">
        <v>147</v>
      </c>
      <c r="M28" s="224" t="s">
        <v>41</v>
      </c>
      <c r="O28">
        <f t="shared" si="0"/>
        <v>400</v>
      </c>
      <c r="S28" s="69"/>
    </row>
    <row r="29" spans="1:22" x14ac:dyDescent="0.25">
      <c r="A29" s="228">
        <v>5</v>
      </c>
      <c r="B29" s="351" t="s">
        <v>3408</v>
      </c>
      <c r="C29" s="230" t="s">
        <v>1776</v>
      </c>
      <c r="D29" s="230"/>
      <c r="E29" s="230" t="s">
        <v>160</v>
      </c>
      <c r="F29" s="230" t="s">
        <v>3409</v>
      </c>
      <c r="G29" s="230" t="s">
        <v>79</v>
      </c>
      <c r="H29" s="231"/>
      <c r="I29" s="233" t="s">
        <v>40</v>
      </c>
      <c r="J29" s="232">
        <v>1500</v>
      </c>
      <c r="K29" s="229">
        <v>300</v>
      </c>
      <c r="L29" s="224" t="s">
        <v>147</v>
      </c>
      <c r="M29" s="224" t="s">
        <v>41</v>
      </c>
      <c r="O29">
        <f t="shared" si="0"/>
        <v>300</v>
      </c>
      <c r="R29" s="30"/>
      <c r="S29" s="30"/>
    </row>
    <row r="30" spans="1:22" x14ac:dyDescent="0.25">
      <c r="A30" s="228">
        <v>5</v>
      </c>
      <c r="B30" s="351" t="s">
        <v>3408</v>
      </c>
      <c r="C30" s="230" t="s">
        <v>1776</v>
      </c>
      <c r="D30" s="230"/>
      <c r="E30" s="230" t="s">
        <v>160</v>
      </c>
      <c r="F30" s="230" t="s">
        <v>3409</v>
      </c>
      <c r="G30" s="230" t="s">
        <v>79</v>
      </c>
      <c r="H30" s="231"/>
      <c r="I30" s="450" t="s">
        <v>1911</v>
      </c>
      <c r="J30" s="232">
        <v>30</v>
      </c>
      <c r="K30" s="229">
        <v>300</v>
      </c>
      <c r="L30" s="224" t="s">
        <v>147</v>
      </c>
      <c r="M30" s="224" t="s">
        <v>41</v>
      </c>
      <c r="O30">
        <f t="shared" si="0"/>
        <v>6</v>
      </c>
      <c r="R30" s="30"/>
    </row>
    <row r="31" spans="1:22" x14ac:dyDescent="0.25">
      <c r="A31" s="228">
        <v>5</v>
      </c>
      <c r="B31" s="351" t="s">
        <v>2902</v>
      </c>
      <c r="C31" s="230" t="s">
        <v>1930</v>
      </c>
      <c r="D31" s="230"/>
      <c r="E31" s="230" t="s">
        <v>160</v>
      </c>
      <c r="F31" s="230" t="s">
        <v>529</v>
      </c>
      <c r="G31" s="230" t="s">
        <v>47</v>
      </c>
      <c r="H31" s="231"/>
      <c r="I31" s="233" t="s">
        <v>40</v>
      </c>
      <c r="J31" s="232">
        <v>500</v>
      </c>
      <c r="K31" s="229">
        <v>100</v>
      </c>
      <c r="L31" s="224" t="s">
        <v>147</v>
      </c>
      <c r="M31" s="224" t="s">
        <v>41</v>
      </c>
      <c r="O31">
        <f t="shared" si="0"/>
        <v>100</v>
      </c>
      <c r="R31" s="30"/>
    </row>
    <row r="32" spans="1:22" x14ac:dyDescent="0.25">
      <c r="A32" s="228">
        <v>5</v>
      </c>
      <c r="B32" s="351" t="s">
        <v>3410</v>
      </c>
      <c r="C32" s="230" t="s">
        <v>2805</v>
      </c>
      <c r="D32" s="230"/>
      <c r="E32" s="230" t="s">
        <v>160</v>
      </c>
      <c r="F32" s="230" t="s">
        <v>1163</v>
      </c>
      <c r="G32" s="230" t="s">
        <v>46</v>
      </c>
      <c r="H32" s="231" t="s">
        <v>3411</v>
      </c>
      <c r="I32" s="230" t="s">
        <v>40</v>
      </c>
      <c r="J32" s="232">
        <v>2500</v>
      </c>
      <c r="K32" s="229">
        <v>500</v>
      </c>
      <c r="L32" s="224" t="s">
        <v>147</v>
      </c>
      <c r="M32" s="224" t="s">
        <v>41</v>
      </c>
      <c r="O32">
        <f t="shared" si="0"/>
        <v>500</v>
      </c>
    </row>
    <row r="33" spans="1:21" x14ac:dyDescent="0.25">
      <c r="A33" s="228">
        <v>5</v>
      </c>
      <c r="B33" s="351" t="s">
        <v>2166</v>
      </c>
      <c r="C33" s="230" t="s">
        <v>2167</v>
      </c>
      <c r="D33" s="230" t="s">
        <v>3412</v>
      </c>
      <c r="E33" s="230" t="s">
        <v>160</v>
      </c>
      <c r="F33" s="230" t="s">
        <v>344</v>
      </c>
      <c r="G33" s="230" t="s">
        <v>47</v>
      </c>
      <c r="H33" s="231"/>
      <c r="I33" s="233" t="s">
        <v>40</v>
      </c>
      <c r="J33" s="232">
        <v>1000</v>
      </c>
      <c r="K33" s="229">
        <v>200</v>
      </c>
      <c r="L33" s="224" t="s">
        <v>147</v>
      </c>
      <c r="M33" s="224" t="s">
        <v>41</v>
      </c>
      <c r="O33">
        <f t="shared" si="0"/>
        <v>200</v>
      </c>
    </row>
    <row r="34" spans="1:21" x14ac:dyDescent="0.25">
      <c r="A34" s="228">
        <v>5</v>
      </c>
      <c r="B34" s="351" t="s">
        <v>3413</v>
      </c>
      <c r="C34" s="230" t="s">
        <v>2332</v>
      </c>
      <c r="D34" s="230"/>
      <c r="E34" s="230" t="s">
        <v>160</v>
      </c>
      <c r="F34" s="230" t="s">
        <v>226</v>
      </c>
      <c r="G34" s="230" t="s">
        <v>43</v>
      </c>
      <c r="H34" s="231"/>
      <c r="I34" s="233" t="s">
        <v>40</v>
      </c>
      <c r="J34" s="232">
        <v>300</v>
      </c>
      <c r="K34" s="229">
        <v>60</v>
      </c>
      <c r="L34" s="224" t="s">
        <v>147</v>
      </c>
      <c r="M34" s="224" t="s">
        <v>41</v>
      </c>
      <c r="O34">
        <f t="shared" si="0"/>
        <v>60</v>
      </c>
      <c r="R34" s="30"/>
      <c r="S34" s="30"/>
      <c r="T34" s="30"/>
      <c r="U34" s="30"/>
    </row>
    <row r="35" spans="1:21" x14ac:dyDescent="0.25">
      <c r="A35" s="228">
        <v>5</v>
      </c>
      <c r="B35" s="351" t="s">
        <v>3414</v>
      </c>
      <c r="C35" s="230" t="s">
        <v>1388</v>
      </c>
      <c r="D35" s="230"/>
      <c r="E35" s="230" t="s">
        <v>160</v>
      </c>
      <c r="F35" s="230" t="s">
        <v>3415</v>
      </c>
      <c r="G35" s="230" t="s">
        <v>50</v>
      </c>
      <c r="H35" s="231" t="s">
        <v>3416</v>
      </c>
      <c r="I35" s="233" t="s">
        <v>40</v>
      </c>
      <c r="J35" s="232">
        <v>6000</v>
      </c>
      <c r="K35" s="229">
        <v>1200</v>
      </c>
      <c r="L35" s="224" t="s">
        <v>147</v>
      </c>
      <c r="M35" s="224" t="s">
        <v>41</v>
      </c>
      <c r="O35">
        <f t="shared" si="0"/>
        <v>1200</v>
      </c>
      <c r="R35" s="30"/>
    </row>
    <row r="36" spans="1:21" x14ac:dyDescent="0.25">
      <c r="A36" s="228">
        <v>7</v>
      </c>
      <c r="B36" s="351" t="s">
        <v>1465</v>
      </c>
      <c r="C36" s="230" t="s">
        <v>3022</v>
      </c>
      <c r="D36" s="230"/>
      <c r="E36" s="230" t="s">
        <v>160</v>
      </c>
      <c r="F36" s="230" t="s">
        <v>180</v>
      </c>
      <c r="G36" s="230" t="s">
        <v>54</v>
      </c>
      <c r="H36" s="231" t="s">
        <v>3417</v>
      </c>
      <c r="I36" s="233" t="s">
        <v>40</v>
      </c>
      <c r="J36" s="232">
        <v>11500</v>
      </c>
      <c r="K36" s="229">
        <v>2300</v>
      </c>
      <c r="L36" s="224" t="s">
        <v>147</v>
      </c>
      <c r="M36" s="224" t="s">
        <v>41</v>
      </c>
      <c r="O36">
        <f t="shared" si="0"/>
        <v>2300</v>
      </c>
    </row>
    <row r="37" spans="1:21" x14ac:dyDescent="0.25">
      <c r="A37" s="228">
        <v>7</v>
      </c>
      <c r="B37" s="351" t="s">
        <v>3418</v>
      </c>
      <c r="C37" s="230" t="s">
        <v>1849</v>
      </c>
      <c r="D37" s="230"/>
      <c r="E37" s="230" t="s">
        <v>160</v>
      </c>
      <c r="F37" s="230" t="s">
        <v>264</v>
      </c>
      <c r="G37" s="230" t="s">
        <v>43</v>
      </c>
      <c r="H37" s="231"/>
      <c r="I37" s="233" t="s">
        <v>40</v>
      </c>
      <c r="J37" s="232">
        <v>2000</v>
      </c>
      <c r="K37" s="229">
        <v>400</v>
      </c>
      <c r="L37" s="224" t="s">
        <v>147</v>
      </c>
      <c r="M37" s="224" t="s">
        <v>41</v>
      </c>
      <c r="O37">
        <f t="shared" si="0"/>
        <v>400</v>
      </c>
    </row>
    <row r="38" spans="1:21" x14ac:dyDescent="0.25">
      <c r="A38" s="228">
        <v>7</v>
      </c>
      <c r="B38" s="351" t="s">
        <v>1605</v>
      </c>
      <c r="C38" s="230" t="s">
        <v>1089</v>
      </c>
      <c r="D38" s="230"/>
      <c r="E38" s="230" t="s">
        <v>160</v>
      </c>
      <c r="F38" s="230" t="s">
        <v>3419</v>
      </c>
      <c r="G38" s="230" t="s">
        <v>47</v>
      </c>
      <c r="H38" s="231" t="s">
        <v>2551</v>
      </c>
      <c r="I38" s="230" t="s">
        <v>40</v>
      </c>
      <c r="J38" s="232">
        <v>300</v>
      </c>
      <c r="K38" s="229">
        <v>60</v>
      </c>
      <c r="L38" s="224" t="s">
        <v>147</v>
      </c>
      <c r="M38" s="224" t="s">
        <v>41</v>
      </c>
      <c r="O38">
        <f t="shared" si="0"/>
        <v>60</v>
      </c>
    </row>
    <row r="39" spans="1:21" x14ac:dyDescent="0.25">
      <c r="A39" s="228">
        <v>7</v>
      </c>
      <c r="B39" s="351" t="s">
        <v>3414</v>
      </c>
      <c r="C39" s="230" t="s">
        <v>3420</v>
      </c>
      <c r="D39" s="230"/>
      <c r="E39" s="230" t="s">
        <v>160</v>
      </c>
      <c r="F39" s="230" t="s">
        <v>180</v>
      </c>
      <c r="G39" s="230" t="s">
        <v>50</v>
      </c>
      <c r="H39" s="231" t="s">
        <v>3421</v>
      </c>
      <c r="I39" s="354" t="s">
        <v>1420</v>
      </c>
      <c r="J39" s="236">
        <v>200</v>
      </c>
      <c r="K39" s="271">
        <v>100</v>
      </c>
      <c r="L39" s="224" t="s">
        <v>147</v>
      </c>
      <c r="M39" s="224" t="s">
        <v>41</v>
      </c>
      <c r="O39">
        <f t="shared" si="0"/>
        <v>40</v>
      </c>
    </row>
    <row r="40" spans="1:21" x14ac:dyDescent="0.25">
      <c r="A40" s="228">
        <v>7</v>
      </c>
      <c r="B40" s="351" t="s">
        <v>2540</v>
      </c>
      <c r="C40" s="230" t="s">
        <v>3422</v>
      </c>
      <c r="D40" s="230"/>
      <c r="E40" s="283" t="s">
        <v>163</v>
      </c>
      <c r="F40" s="230" t="s">
        <v>1154</v>
      </c>
      <c r="G40" s="230" t="s">
        <v>47</v>
      </c>
      <c r="H40" s="231" t="s">
        <v>3423</v>
      </c>
      <c r="I40" s="230" t="s">
        <v>40</v>
      </c>
      <c r="J40" s="236">
        <v>8000</v>
      </c>
      <c r="K40" s="271">
        <v>1600</v>
      </c>
      <c r="L40" s="224" t="s">
        <v>147</v>
      </c>
      <c r="M40" s="224" t="s">
        <v>41</v>
      </c>
      <c r="O40">
        <f t="shared" si="0"/>
        <v>1600</v>
      </c>
    </row>
    <row r="41" spans="1:21" x14ac:dyDescent="0.25">
      <c r="A41" s="228">
        <v>7</v>
      </c>
      <c r="B41" s="351" t="s">
        <v>3424</v>
      </c>
      <c r="C41" s="230" t="s">
        <v>2178</v>
      </c>
      <c r="D41" s="230"/>
      <c r="E41" s="230" t="s">
        <v>160</v>
      </c>
      <c r="F41" s="230" t="s">
        <v>483</v>
      </c>
      <c r="G41" s="230" t="s">
        <v>56</v>
      </c>
      <c r="H41" s="231" t="s">
        <v>1160</v>
      </c>
      <c r="I41" s="230" t="s">
        <v>40</v>
      </c>
      <c r="J41" s="236">
        <v>2100</v>
      </c>
      <c r="K41" s="271">
        <v>420</v>
      </c>
      <c r="L41" s="224" t="s">
        <v>147</v>
      </c>
      <c r="M41" s="224" t="s">
        <v>41</v>
      </c>
      <c r="O41">
        <f t="shared" si="0"/>
        <v>420</v>
      </c>
    </row>
    <row r="42" spans="1:21" x14ac:dyDescent="0.25">
      <c r="A42" s="228">
        <v>7</v>
      </c>
      <c r="B42" s="351" t="s">
        <v>2252</v>
      </c>
      <c r="C42" s="230" t="s">
        <v>3425</v>
      </c>
      <c r="D42" s="230"/>
      <c r="E42" s="230" t="s">
        <v>160</v>
      </c>
      <c r="F42" s="230" t="s">
        <v>201</v>
      </c>
      <c r="G42" s="230" t="s">
        <v>45</v>
      </c>
      <c r="H42" s="231" t="s">
        <v>3426</v>
      </c>
      <c r="I42" s="230" t="s">
        <v>40</v>
      </c>
      <c r="J42" s="236">
        <v>1000</v>
      </c>
      <c r="K42" s="271">
        <v>200</v>
      </c>
      <c r="L42" s="224" t="s">
        <v>147</v>
      </c>
      <c r="M42" s="224" t="s">
        <v>41</v>
      </c>
      <c r="O42">
        <f t="shared" si="0"/>
        <v>200</v>
      </c>
    </row>
    <row r="43" spans="1:21" s="62" customFormat="1" x14ac:dyDescent="0.25">
      <c r="A43" s="228">
        <v>7</v>
      </c>
      <c r="B43" s="351" t="s">
        <v>3204</v>
      </c>
      <c r="C43" s="230" t="s">
        <v>3427</v>
      </c>
      <c r="D43" s="230"/>
      <c r="E43" s="230" t="s">
        <v>160</v>
      </c>
      <c r="F43" s="230" t="s">
        <v>2991</v>
      </c>
      <c r="G43" s="230" t="s">
        <v>44</v>
      </c>
      <c r="H43" s="231" t="s">
        <v>3206</v>
      </c>
      <c r="I43" s="230" t="s">
        <v>40</v>
      </c>
      <c r="J43" s="236">
        <v>3000</v>
      </c>
      <c r="K43" s="271">
        <v>600</v>
      </c>
      <c r="L43" s="224" t="s">
        <v>147</v>
      </c>
      <c r="M43" s="224" t="s">
        <v>41</v>
      </c>
      <c r="O43" s="62">
        <f t="shared" si="0"/>
        <v>600</v>
      </c>
    </row>
    <row r="44" spans="1:21" s="62" customFormat="1" x14ac:dyDescent="0.25">
      <c r="A44" s="228">
        <v>11</v>
      </c>
      <c r="B44" s="351" t="s">
        <v>3435</v>
      </c>
      <c r="C44" s="230" t="s">
        <v>3436</v>
      </c>
      <c r="D44" s="230"/>
      <c r="E44" s="230" t="s">
        <v>160</v>
      </c>
      <c r="F44" s="230" t="s">
        <v>656</v>
      </c>
      <c r="G44" s="230" t="s">
        <v>48</v>
      </c>
      <c r="H44" s="231" t="s">
        <v>3437</v>
      </c>
      <c r="I44" s="230" t="s">
        <v>40</v>
      </c>
      <c r="J44" s="236">
        <v>2000</v>
      </c>
      <c r="K44" s="271">
        <v>400</v>
      </c>
      <c r="L44" s="224" t="s">
        <v>147</v>
      </c>
      <c r="M44" s="224" t="s">
        <v>41</v>
      </c>
      <c r="O44" s="62">
        <f t="shared" si="0"/>
        <v>400</v>
      </c>
      <c r="S44" s="325"/>
    </row>
    <row r="45" spans="1:21" s="62" customFormat="1" x14ac:dyDescent="0.25">
      <c r="A45" s="228">
        <v>11</v>
      </c>
      <c r="B45" s="351" t="s">
        <v>3438</v>
      </c>
      <c r="C45" s="230" t="s">
        <v>2235</v>
      </c>
      <c r="D45" s="230"/>
      <c r="E45" s="283" t="s">
        <v>163</v>
      </c>
      <c r="F45" s="230"/>
      <c r="G45" s="230" t="s">
        <v>44</v>
      </c>
      <c r="H45" s="231" t="s">
        <v>3439</v>
      </c>
      <c r="I45" s="450" t="s">
        <v>1911</v>
      </c>
      <c r="J45" s="236">
        <v>20</v>
      </c>
      <c r="K45" s="271">
        <v>100</v>
      </c>
      <c r="L45" s="224" t="s">
        <v>147</v>
      </c>
      <c r="M45" s="224" t="s">
        <v>41</v>
      </c>
      <c r="O45" s="62">
        <f t="shared" si="0"/>
        <v>4</v>
      </c>
    </row>
    <row r="46" spans="1:21" s="62" customFormat="1" x14ac:dyDescent="0.25">
      <c r="A46" s="228">
        <v>11</v>
      </c>
      <c r="B46" s="351" t="s">
        <v>3440</v>
      </c>
      <c r="C46" s="230" t="s">
        <v>3441</v>
      </c>
      <c r="D46" s="230"/>
      <c r="E46" s="230" t="s">
        <v>160</v>
      </c>
      <c r="F46" s="230" t="s">
        <v>60</v>
      </c>
      <c r="G46" s="230" t="s">
        <v>55</v>
      </c>
      <c r="H46" s="231" t="s">
        <v>3442</v>
      </c>
      <c r="I46" s="354" t="s">
        <v>1420</v>
      </c>
      <c r="J46" s="236">
        <v>1000</v>
      </c>
      <c r="K46" s="271">
        <v>500</v>
      </c>
      <c r="L46" s="224" t="s">
        <v>147</v>
      </c>
      <c r="M46" s="224" t="s">
        <v>41</v>
      </c>
      <c r="O46" s="62">
        <f t="shared" si="0"/>
        <v>200</v>
      </c>
    </row>
    <row r="47" spans="1:21" s="62" customFormat="1" x14ac:dyDescent="0.25">
      <c r="A47" s="228">
        <v>11</v>
      </c>
      <c r="B47" s="351" t="s">
        <v>3443</v>
      </c>
      <c r="C47" s="230" t="s">
        <v>2268</v>
      </c>
      <c r="D47" s="230"/>
      <c r="E47" s="230" t="s">
        <v>160</v>
      </c>
      <c r="F47" s="230" t="s">
        <v>196</v>
      </c>
      <c r="G47" s="230" t="s">
        <v>56</v>
      </c>
      <c r="H47" s="231" t="s">
        <v>473</v>
      </c>
      <c r="I47" s="450" t="s">
        <v>1911</v>
      </c>
      <c r="J47" s="236">
        <v>50</v>
      </c>
      <c r="K47" s="271">
        <v>250</v>
      </c>
      <c r="L47" s="224" t="s">
        <v>147</v>
      </c>
      <c r="M47" s="224" t="s">
        <v>41</v>
      </c>
      <c r="O47" s="62">
        <f t="shared" si="0"/>
        <v>10</v>
      </c>
    </row>
    <row r="48" spans="1:21" s="62" customFormat="1" x14ac:dyDescent="0.25">
      <c r="A48" s="228">
        <v>11</v>
      </c>
      <c r="B48" s="351" t="s">
        <v>3444</v>
      </c>
      <c r="C48" s="230" t="s">
        <v>3445</v>
      </c>
      <c r="D48" s="230"/>
      <c r="E48" s="230" t="s">
        <v>160</v>
      </c>
      <c r="F48" s="230" t="s">
        <v>358</v>
      </c>
      <c r="G48" s="230" t="s">
        <v>43</v>
      </c>
      <c r="H48" s="231" t="s">
        <v>3446</v>
      </c>
      <c r="I48" s="450" t="s">
        <v>1911</v>
      </c>
      <c r="J48" s="236">
        <v>19</v>
      </c>
      <c r="K48" s="271">
        <v>95</v>
      </c>
      <c r="L48" s="224" t="s">
        <v>147</v>
      </c>
      <c r="M48" s="224" t="s">
        <v>41</v>
      </c>
      <c r="O48" s="62">
        <f t="shared" si="0"/>
        <v>3.8</v>
      </c>
    </row>
    <row r="49" spans="1:19" s="62" customFormat="1" x14ac:dyDescent="0.25">
      <c r="A49" s="228">
        <v>11</v>
      </c>
      <c r="B49" s="351" t="s">
        <v>2710</v>
      </c>
      <c r="C49" s="230" t="s">
        <v>2709</v>
      </c>
      <c r="D49" s="230"/>
      <c r="E49" s="230" t="s">
        <v>160</v>
      </c>
      <c r="F49" s="230" t="s">
        <v>519</v>
      </c>
      <c r="G49" s="230" t="s">
        <v>56</v>
      </c>
      <c r="H49" s="231" t="s">
        <v>3447</v>
      </c>
      <c r="I49" s="230" t="s">
        <v>40</v>
      </c>
      <c r="J49" s="236">
        <v>700</v>
      </c>
      <c r="K49" s="271">
        <v>140</v>
      </c>
      <c r="L49" s="224" t="s">
        <v>147</v>
      </c>
      <c r="M49" s="224" t="s">
        <v>41</v>
      </c>
      <c r="O49" s="62">
        <f t="shared" si="0"/>
        <v>140</v>
      </c>
    </row>
    <row r="50" spans="1:19" s="62" customFormat="1" x14ac:dyDescent="0.25">
      <c r="A50" s="228">
        <v>11</v>
      </c>
      <c r="B50" s="351" t="s">
        <v>3448</v>
      </c>
      <c r="C50" s="230" t="s">
        <v>1606</v>
      </c>
      <c r="D50" s="230"/>
      <c r="E50" s="230" t="s">
        <v>160</v>
      </c>
      <c r="F50" s="230" t="s">
        <v>1073</v>
      </c>
      <c r="G50" s="230" t="s">
        <v>47</v>
      </c>
      <c r="H50" s="231" t="s">
        <v>3449</v>
      </c>
      <c r="I50" s="354" t="s">
        <v>1420</v>
      </c>
      <c r="J50" s="236">
        <v>250</v>
      </c>
      <c r="K50" s="271">
        <v>125</v>
      </c>
      <c r="L50" s="224" t="s">
        <v>147</v>
      </c>
      <c r="M50" s="224" t="s">
        <v>41</v>
      </c>
      <c r="O50" s="62">
        <f t="shared" si="0"/>
        <v>50</v>
      </c>
    </row>
    <row r="51" spans="1:19" s="62" customFormat="1" x14ac:dyDescent="0.25">
      <c r="A51" s="228">
        <v>11</v>
      </c>
      <c r="B51" s="351" t="s">
        <v>1762</v>
      </c>
      <c r="C51" s="230" t="s">
        <v>3450</v>
      </c>
      <c r="D51" s="230"/>
      <c r="E51" s="230" t="s">
        <v>160</v>
      </c>
      <c r="F51" s="230" t="s">
        <v>167</v>
      </c>
      <c r="G51" s="230" t="s">
        <v>43</v>
      </c>
      <c r="H51" s="231"/>
      <c r="I51" s="233" t="s">
        <v>40</v>
      </c>
      <c r="J51" s="236">
        <v>15000</v>
      </c>
      <c r="K51" s="271">
        <v>3000</v>
      </c>
      <c r="L51" s="224" t="s">
        <v>147</v>
      </c>
      <c r="M51" s="224" t="s">
        <v>41</v>
      </c>
      <c r="O51" s="62">
        <f t="shared" si="0"/>
        <v>3000</v>
      </c>
      <c r="S51" s="98"/>
    </row>
    <row r="52" spans="1:19" s="62" customFormat="1" x14ac:dyDescent="0.25">
      <c r="A52" s="228">
        <v>11</v>
      </c>
      <c r="B52" s="351" t="s">
        <v>3451</v>
      </c>
      <c r="C52" s="230" t="s">
        <v>3452</v>
      </c>
      <c r="D52" s="230"/>
      <c r="E52" s="230" t="s">
        <v>160</v>
      </c>
      <c r="F52" s="230" t="s">
        <v>621</v>
      </c>
      <c r="G52" s="230" t="s">
        <v>69</v>
      </c>
      <c r="H52" s="231" t="s">
        <v>919</v>
      </c>
      <c r="I52" s="230" t="s">
        <v>40</v>
      </c>
      <c r="J52" s="236">
        <v>10000</v>
      </c>
      <c r="K52" s="271">
        <v>2000</v>
      </c>
      <c r="L52" s="224" t="s">
        <v>147</v>
      </c>
      <c r="M52" s="224" t="s">
        <v>41</v>
      </c>
      <c r="O52" s="62">
        <f t="shared" si="0"/>
        <v>2000</v>
      </c>
    </row>
    <row r="53" spans="1:19" s="62" customFormat="1" x14ac:dyDescent="0.25">
      <c r="A53" s="228">
        <v>11</v>
      </c>
      <c r="B53" s="351" t="s">
        <v>3453</v>
      </c>
      <c r="C53" s="230" t="s">
        <v>3454</v>
      </c>
      <c r="D53" s="230"/>
      <c r="E53" s="283" t="s">
        <v>163</v>
      </c>
      <c r="F53" s="230" t="s">
        <v>3455</v>
      </c>
      <c r="G53" s="230" t="s">
        <v>68</v>
      </c>
      <c r="H53" s="231" t="s">
        <v>3456</v>
      </c>
      <c r="I53" s="354" t="s">
        <v>1420</v>
      </c>
      <c r="J53" s="236">
        <v>330</v>
      </c>
      <c r="K53" s="271" t="s">
        <v>152</v>
      </c>
      <c r="L53" s="224" t="s">
        <v>147</v>
      </c>
      <c r="M53" s="224" t="s">
        <v>41</v>
      </c>
      <c r="O53" s="62">
        <f t="shared" si="0"/>
        <v>66</v>
      </c>
    </row>
    <row r="54" spans="1:19" s="62" customFormat="1" x14ac:dyDescent="0.25">
      <c r="A54" s="228">
        <v>11</v>
      </c>
      <c r="B54" s="351" t="s">
        <v>3457</v>
      </c>
      <c r="C54" s="230" t="s">
        <v>3458</v>
      </c>
      <c r="D54" s="230"/>
      <c r="E54" s="283" t="s">
        <v>163</v>
      </c>
      <c r="F54" s="230" t="s">
        <v>189</v>
      </c>
      <c r="G54" s="230" t="s">
        <v>42</v>
      </c>
      <c r="H54" s="231" t="s">
        <v>3459</v>
      </c>
      <c r="I54" s="233" t="s">
        <v>40</v>
      </c>
      <c r="J54" s="236">
        <v>1000</v>
      </c>
      <c r="K54" s="271" t="s">
        <v>152</v>
      </c>
      <c r="L54" s="224" t="s">
        <v>147</v>
      </c>
      <c r="M54" s="224" t="s">
        <v>41</v>
      </c>
      <c r="O54" s="62">
        <f t="shared" si="0"/>
        <v>200</v>
      </c>
    </row>
    <row r="55" spans="1:19" s="62" customFormat="1" x14ac:dyDescent="0.25">
      <c r="A55" s="228">
        <v>11</v>
      </c>
      <c r="B55" s="351" t="s">
        <v>1468</v>
      </c>
      <c r="C55" s="230" t="s">
        <v>3460</v>
      </c>
      <c r="D55" s="230"/>
      <c r="E55" s="283" t="s">
        <v>163</v>
      </c>
      <c r="F55" s="230"/>
      <c r="G55" s="230" t="s">
        <v>42</v>
      </c>
      <c r="H55" s="231"/>
      <c r="I55" s="230" t="s">
        <v>40</v>
      </c>
      <c r="J55" s="236">
        <v>1000</v>
      </c>
      <c r="K55" s="271" t="s">
        <v>152</v>
      </c>
      <c r="L55" s="224" t="s">
        <v>147</v>
      </c>
      <c r="M55" s="224" t="s">
        <v>41</v>
      </c>
      <c r="O55" s="62">
        <f t="shared" si="0"/>
        <v>200</v>
      </c>
    </row>
    <row r="56" spans="1:19" s="62" customFormat="1" x14ac:dyDescent="0.25">
      <c r="A56" s="228">
        <v>11</v>
      </c>
      <c r="B56" s="351" t="s">
        <v>1282</v>
      </c>
      <c r="C56" s="230" t="s">
        <v>1281</v>
      </c>
      <c r="D56" s="230" t="s">
        <v>3192</v>
      </c>
      <c r="E56" s="283" t="s">
        <v>163</v>
      </c>
      <c r="F56" s="230"/>
      <c r="G56" s="230" t="s">
        <v>47</v>
      </c>
      <c r="H56" s="231" t="s">
        <v>1272</v>
      </c>
      <c r="I56" s="233" t="s">
        <v>40</v>
      </c>
      <c r="J56" s="236">
        <v>2000</v>
      </c>
      <c r="K56" s="271">
        <v>400</v>
      </c>
      <c r="L56" s="224" t="s">
        <v>147</v>
      </c>
      <c r="M56" s="224" t="s">
        <v>41</v>
      </c>
      <c r="O56" s="62">
        <f t="shared" si="0"/>
        <v>400</v>
      </c>
    </row>
    <row r="57" spans="1:19" s="62" customFormat="1" x14ac:dyDescent="0.25">
      <c r="A57" s="228">
        <v>11</v>
      </c>
      <c r="B57" s="351" t="s">
        <v>3461</v>
      </c>
      <c r="C57" s="230" t="s">
        <v>1514</v>
      </c>
      <c r="D57" s="230"/>
      <c r="E57" s="230" t="s">
        <v>160</v>
      </c>
      <c r="F57" s="230" t="s">
        <v>3462</v>
      </c>
      <c r="G57" s="230" t="s">
        <v>65</v>
      </c>
      <c r="H57" s="231" t="s">
        <v>3463</v>
      </c>
      <c r="I57" s="354" t="s">
        <v>1420</v>
      </c>
      <c r="J57" s="236">
        <v>200</v>
      </c>
      <c r="K57" s="271">
        <v>100</v>
      </c>
      <c r="L57" s="224" t="s">
        <v>147</v>
      </c>
      <c r="M57" s="224" t="s">
        <v>41</v>
      </c>
      <c r="O57" s="62">
        <f t="shared" si="0"/>
        <v>40</v>
      </c>
    </row>
    <row r="58" spans="1:19" s="62" customFormat="1" x14ac:dyDescent="0.25">
      <c r="A58" s="228">
        <v>11</v>
      </c>
      <c r="B58" s="351" t="s">
        <v>3464</v>
      </c>
      <c r="C58" s="230" t="s">
        <v>1292</v>
      </c>
      <c r="D58" s="230"/>
      <c r="E58" s="230" t="s">
        <v>160</v>
      </c>
      <c r="F58" s="230" t="s">
        <v>3465</v>
      </c>
      <c r="G58" s="230" t="s">
        <v>79</v>
      </c>
      <c r="H58" s="231" t="s">
        <v>3466</v>
      </c>
      <c r="I58" s="233" t="s">
        <v>40</v>
      </c>
      <c r="J58" s="236">
        <v>1000</v>
      </c>
      <c r="K58" s="271">
        <v>200</v>
      </c>
      <c r="L58" s="224" t="s">
        <v>147</v>
      </c>
      <c r="M58" s="224" t="s">
        <v>41</v>
      </c>
      <c r="O58" s="62">
        <f t="shared" si="0"/>
        <v>200</v>
      </c>
    </row>
    <row r="59" spans="1:19" s="62" customFormat="1" x14ac:dyDescent="0.25">
      <c r="A59" s="323">
        <v>12</v>
      </c>
      <c r="B59" s="351" t="s">
        <v>3467</v>
      </c>
      <c r="C59" s="230" t="s">
        <v>2133</v>
      </c>
      <c r="D59" s="230"/>
      <c r="E59" s="283" t="s">
        <v>163</v>
      </c>
      <c r="F59" s="230" t="s">
        <v>860</v>
      </c>
      <c r="G59" s="230" t="s">
        <v>75</v>
      </c>
      <c r="H59" s="231" t="s">
        <v>3468</v>
      </c>
      <c r="I59" s="233" t="s">
        <v>40</v>
      </c>
      <c r="J59" s="236">
        <v>12000</v>
      </c>
      <c r="K59" s="271">
        <v>2400</v>
      </c>
      <c r="L59" s="224" t="s">
        <v>147</v>
      </c>
      <c r="M59" s="224" t="s">
        <v>41</v>
      </c>
      <c r="O59" s="62">
        <f t="shared" si="0"/>
        <v>2400</v>
      </c>
    </row>
    <row r="60" spans="1:19" s="62" customFormat="1" x14ac:dyDescent="0.25">
      <c r="A60" s="228">
        <v>12</v>
      </c>
      <c r="B60" s="351" t="s">
        <v>3476</v>
      </c>
      <c r="C60" s="230" t="s">
        <v>3477</v>
      </c>
      <c r="D60" s="230" t="s">
        <v>3169</v>
      </c>
      <c r="E60" s="283" t="s">
        <v>163</v>
      </c>
      <c r="F60" s="230"/>
      <c r="G60" s="230" t="s">
        <v>84</v>
      </c>
      <c r="H60" s="231" t="s">
        <v>3478</v>
      </c>
      <c r="I60" s="233" t="s">
        <v>40</v>
      </c>
      <c r="J60" s="236">
        <v>3500</v>
      </c>
      <c r="K60" s="271" t="s">
        <v>152</v>
      </c>
      <c r="L60" s="224" t="s">
        <v>147</v>
      </c>
      <c r="M60" s="224" t="s">
        <v>41</v>
      </c>
      <c r="O60" s="62">
        <f t="shared" si="0"/>
        <v>700</v>
      </c>
      <c r="R60" s="325"/>
    </row>
    <row r="61" spans="1:19" s="62" customFormat="1" x14ac:dyDescent="0.25">
      <c r="A61" s="228">
        <v>13</v>
      </c>
      <c r="B61" s="351" t="s">
        <v>2881</v>
      </c>
      <c r="C61" s="230" t="s">
        <v>1388</v>
      </c>
      <c r="D61" s="230"/>
      <c r="E61" s="230" t="s">
        <v>160</v>
      </c>
      <c r="F61" s="230" t="s">
        <v>264</v>
      </c>
      <c r="G61" s="230" t="s">
        <v>43</v>
      </c>
      <c r="H61" s="231"/>
      <c r="I61" s="233" t="s">
        <v>40</v>
      </c>
      <c r="J61" s="236">
        <v>1200</v>
      </c>
      <c r="K61" s="271">
        <v>240</v>
      </c>
      <c r="L61" s="224" t="s">
        <v>147</v>
      </c>
      <c r="M61" s="224" t="s">
        <v>41</v>
      </c>
      <c r="O61" s="62">
        <f t="shared" si="0"/>
        <v>240</v>
      </c>
      <c r="R61" s="325"/>
    </row>
    <row r="62" spans="1:19" s="62" customFormat="1" x14ac:dyDescent="0.25">
      <c r="A62" s="228">
        <v>13</v>
      </c>
      <c r="B62" s="351" t="s">
        <v>2853</v>
      </c>
      <c r="C62" s="230" t="s">
        <v>2854</v>
      </c>
      <c r="D62" s="230"/>
      <c r="E62" s="230" t="s">
        <v>160</v>
      </c>
      <c r="F62" s="230" t="s">
        <v>194</v>
      </c>
      <c r="G62" s="230" t="s">
        <v>43</v>
      </c>
      <c r="H62" s="231" t="s">
        <v>394</v>
      </c>
      <c r="I62" s="230" t="s">
        <v>40</v>
      </c>
      <c r="J62" s="236">
        <v>5000</v>
      </c>
      <c r="K62" s="271">
        <v>1000</v>
      </c>
      <c r="L62" s="224" t="s">
        <v>147</v>
      </c>
      <c r="M62" s="224" t="s">
        <v>41</v>
      </c>
      <c r="O62" s="62">
        <f t="shared" si="0"/>
        <v>1000</v>
      </c>
      <c r="R62" s="325"/>
    </row>
    <row r="63" spans="1:19" x14ac:dyDescent="0.25">
      <c r="A63" s="228">
        <v>13</v>
      </c>
      <c r="B63" s="351" t="s">
        <v>3482</v>
      </c>
      <c r="C63" s="230" t="s">
        <v>3483</v>
      </c>
      <c r="D63" s="230"/>
      <c r="E63" s="230" t="s">
        <v>160</v>
      </c>
      <c r="F63" s="230" t="s">
        <v>929</v>
      </c>
      <c r="G63" s="230" t="s">
        <v>50</v>
      </c>
      <c r="H63" s="231" t="s">
        <v>3484</v>
      </c>
      <c r="I63" s="230" t="s">
        <v>40</v>
      </c>
      <c r="J63" s="236">
        <v>10000</v>
      </c>
      <c r="K63" s="271">
        <v>2000</v>
      </c>
      <c r="L63" s="224" t="s">
        <v>147</v>
      </c>
      <c r="M63" s="224" t="s">
        <v>41</v>
      </c>
      <c r="O63">
        <f t="shared" si="0"/>
        <v>2000</v>
      </c>
    </row>
    <row r="64" spans="1:19" x14ac:dyDescent="0.25">
      <c r="A64" s="228">
        <v>13</v>
      </c>
      <c r="B64" s="351" t="s">
        <v>1564</v>
      </c>
      <c r="C64" s="230" t="s">
        <v>2141</v>
      </c>
      <c r="D64" s="230"/>
      <c r="E64" s="230" t="s">
        <v>160</v>
      </c>
      <c r="F64" s="230" t="s">
        <v>167</v>
      </c>
      <c r="G64" s="230" t="s">
        <v>43</v>
      </c>
      <c r="H64" s="231"/>
      <c r="I64" s="233" t="s">
        <v>40</v>
      </c>
      <c r="J64" s="236">
        <v>3000</v>
      </c>
      <c r="K64" s="271">
        <v>600</v>
      </c>
      <c r="L64" s="224" t="s">
        <v>147</v>
      </c>
      <c r="M64" s="224" t="s">
        <v>41</v>
      </c>
      <c r="O64">
        <f t="shared" si="0"/>
        <v>600</v>
      </c>
    </row>
    <row r="65" spans="1:15" x14ac:dyDescent="0.25">
      <c r="A65" s="246">
        <v>13</v>
      </c>
      <c r="B65" s="352" t="s">
        <v>1821</v>
      </c>
      <c r="C65" s="233" t="s">
        <v>3485</v>
      </c>
      <c r="D65" s="233"/>
      <c r="E65" s="283" t="s">
        <v>163</v>
      </c>
      <c r="F65" s="230" t="s">
        <v>523</v>
      </c>
      <c r="G65" s="230" t="s">
        <v>42</v>
      </c>
      <c r="H65" s="231" t="s">
        <v>3341</v>
      </c>
      <c r="I65" s="233" t="s">
        <v>40</v>
      </c>
      <c r="J65" s="236">
        <v>3000</v>
      </c>
      <c r="K65" s="271">
        <v>600</v>
      </c>
      <c r="L65" s="224" t="s">
        <v>147</v>
      </c>
      <c r="M65" s="224" t="s">
        <v>41</v>
      </c>
      <c r="O65">
        <f t="shared" si="0"/>
        <v>600</v>
      </c>
    </row>
    <row r="66" spans="1:15" x14ac:dyDescent="0.25">
      <c r="A66" s="246">
        <v>13</v>
      </c>
      <c r="B66" s="352" t="s">
        <v>2663</v>
      </c>
      <c r="C66" s="233" t="s">
        <v>3081</v>
      </c>
      <c r="D66" s="233"/>
      <c r="E66" s="230" t="s">
        <v>160</v>
      </c>
      <c r="F66" s="230" t="s">
        <v>180</v>
      </c>
      <c r="G66" s="230" t="s">
        <v>60</v>
      </c>
      <c r="H66" s="231" t="s">
        <v>3082</v>
      </c>
      <c r="I66" s="233" t="s">
        <v>40</v>
      </c>
      <c r="J66" s="236">
        <v>1000</v>
      </c>
      <c r="K66" s="271">
        <v>200</v>
      </c>
      <c r="L66" s="230" t="s">
        <v>147</v>
      </c>
      <c r="M66" s="230" t="s">
        <v>41</v>
      </c>
      <c r="O66">
        <f t="shared" si="0"/>
        <v>200</v>
      </c>
    </row>
    <row r="67" spans="1:15" x14ac:dyDescent="0.25">
      <c r="A67" s="246">
        <v>13</v>
      </c>
      <c r="B67" s="352" t="s">
        <v>3486</v>
      </c>
      <c r="C67" s="233" t="s">
        <v>1422</v>
      </c>
      <c r="D67" s="233"/>
      <c r="E67" s="230" t="s">
        <v>160</v>
      </c>
      <c r="F67" s="230" t="s">
        <v>867</v>
      </c>
      <c r="G67" s="230" t="s">
        <v>69</v>
      </c>
      <c r="H67" s="231" t="s">
        <v>3487</v>
      </c>
      <c r="I67" s="233" t="s">
        <v>40</v>
      </c>
      <c r="J67" s="236">
        <v>240</v>
      </c>
      <c r="K67" s="271" t="s">
        <v>152</v>
      </c>
      <c r="L67" s="224" t="s">
        <v>147</v>
      </c>
      <c r="M67" s="224" t="s">
        <v>41</v>
      </c>
      <c r="O67">
        <f t="shared" si="0"/>
        <v>48</v>
      </c>
    </row>
    <row r="68" spans="1:15" x14ac:dyDescent="0.25">
      <c r="A68" s="246">
        <v>13</v>
      </c>
      <c r="B68" s="352" t="s">
        <v>2610</v>
      </c>
      <c r="C68" s="233" t="s">
        <v>3488</v>
      </c>
      <c r="D68" s="233"/>
      <c r="E68" s="230" t="s">
        <v>160</v>
      </c>
      <c r="F68" s="230" t="s">
        <v>666</v>
      </c>
      <c r="G68" s="230" t="s">
        <v>69</v>
      </c>
      <c r="H68" s="231" t="s">
        <v>3489</v>
      </c>
      <c r="I68" s="230" t="s">
        <v>40</v>
      </c>
      <c r="J68" s="236">
        <v>3000</v>
      </c>
      <c r="K68" s="271" t="s">
        <v>152</v>
      </c>
      <c r="L68" s="224" t="s">
        <v>147</v>
      </c>
      <c r="M68" s="224" t="s">
        <v>41</v>
      </c>
      <c r="O68">
        <f t="shared" si="0"/>
        <v>600</v>
      </c>
    </row>
    <row r="69" spans="1:15" x14ac:dyDescent="0.25">
      <c r="A69" s="246">
        <v>13</v>
      </c>
      <c r="B69" s="352" t="s">
        <v>3486</v>
      </c>
      <c r="C69" s="233" t="s">
        <v>1711</v>
      </c>
      <c r="D69" s="233"/>
      <c r="E69" s="230" t="s">
        <v>160</v>
      </c>
      <c r="F69" s="230" t="s">
        <v>867</v>
      </c>
      <c r="G69" s="230" t="s">
        <v>69</v>
      </c>
      <c r="H69" s="231"/>
      <c r="I69" s="233" t="s">
        <v>40</v>
      </c>
      <c r="J69" s="236">
        <v>3000</v>
      </c>
      <c r="K69" s="271" t="s">
        <v>152</v>
      </c>
      <c r="L69" s="224" t="s">
        <v>147</v>
      </c>
      <c r="M69" s="224" t="s">
        <v>41</v>
      </c>
      <c r="O69">
        <f t="shared" si="0"/>
        <v>600</v>
      </c>
    </row>
    <row r="70" spans="1:15" x14ac:dyDescent="0.25">
      <c r="A70" s="246">
        <v>13</v>
      </c>
      <c r="B70" s="352" t="s">
        <v>2941</v>
      </c>
      <c r="C70" s="233" t="s">
        <v>1359</v>
      </c>
      <c r="D70" s="233" t="s">
        <v>3165</v>
      </c>
      <c r="E70" s="230" t="s">
        <v>160</v>
      </c>
      <c r="F70" s="230" t="s">
        <v>407</v>
      </c>
      <c r="G70" s="230" t="s">
        <v>42</v>
      </c>
      <c r="H70" s="231" t="s">
        <v>2942</v>
      </c>
      <c r="I70" s="233" t="s">
        <v>40</v>
      </c>
      <c r="J70" s="236">
        <v>3000</v>
      </c>
      <c r="K70" s="271" t="s">
        <v>152</v>
      </c>
      <c r="L70" s="224" t="s">
        <v>147</v>
      </c>
      <c r="M70" s="224" t="s">
        <v>41</v>
      </c>
      <c r="O70">
        <f t="shared" si="0"/>
        <v>600</v>
      </c>
    </row>
    <row r="71" spans="1:15" x14ac:dyDescent="0.25">
      <c r="A71" s="246">
        <v>13</v>
      </c>
      <c r="B71" s="352" t="s">
        <v>2371</v>
      </c>
      <c r="C71" s="233" t="s">
        <v>3490</v>
      </c>
      <c r="D71" s="233"/>
      <c r="E71" s="230" t="s">
        <v>160</v>
      </c>
      <c r="F71" s="230" t="s">
        <v>196</v>
      </c>
      <c r="G71" s="230" t="s">
        <v>56</v>
      </c>
      <c r="H71" s="231" t="s">
        <v>3491</v>
      </c>
      <c r="I71" s="233" t="s">
        <v>40</v>
      </c>
      <c r="J71" s="236">
        <v>2000</v>
      </c>
      <c r="K71" s="271">
        <v>400</v>
      </c>
      <c r="L71" s="224" t="s">
        <v>147</v>
      </c>
      <c r="M71" s="224" t="s">
        <v>41</v>
      </c>
      <c r="O71">
        <f t="shared" si="0"/>
        <v>400</v>
      </c>
    </row>
    <row r="72" spans="1:15" x14ac:dyDescent="0.25">
      <c r="A72" s="273">
        <v>13</v>
      </c>
      <c r="B72" s="352" t="s">
        <v>3492</v>
      </c>
      <c r="C72" s="233" t="s">
        <v>3493</v>
      </c>
      <c r="D72" s="233"/>
      <c r="E72" s="230" t="s">
        <v>160</v>
      </c>
      <c r="F72" s="230"/>
      <c r="G72" s="230" t="s">
        <v>80</v>
      </c>
      <c r="H72" s="231" t="s">
        <v>3494</v>
      </c>
      <c r="I72" s="230" t="s">
        <v>40</v>
      </c>
      <c r="J72" s="236">
        <v>400</v>
      </c>
      <c r="K72" s="271">
        <v>80</v>
      </c>
      <c r="L72" s="224" t="s">
        <v>147</v>
      </c>
      <c r="M72" s="224" t="s">
        <v>41</v>
      </c>
      <c r="O72">
        <f t="shared" si="0"/>
        <v>80</v>
      </c>
    </row>
    <row r="73" spans="1:15" x14ac:dyDescent="0.25">
      <c r="A73" s="246">
        <v>18</v>
      </c>
      <c r="B73" s="352" t="s">
        <v>3497</v>
      </c>
      <c r="C73" s="233" t="s">
        <v>3498</v>
      </c>
      <c r="D73" s="233"/>
      <c r="E73" s="283" t="s">
        <v>163</v>
      </c>
      <c r="F73" s="230" t="s">
        <v>3499</v>
      </c>
      <c r="G73" s="230" t="s">
        <v>83</v>
      </c>
      <c r="H73" s="231" t="s">
        <v>3500</v>
      </c>
      <c r="I73" s="450" t="s">
        <v>1911</v>
      </c>
      <c r="J73" s="236">
        <v>10</v>
      </c>
      <c r="K73" s="271">
        <v>100</v>
      </c>
      <c r="L73" s="224" t="s">
        <v>147</v>
      </c>
      <c r="M73" s="224" t="s">
        <v>41</v>
      </c>
      <c r="O73">
        <f t="shared" si="0"/>
        <v>2</v>
      </c>
    </row>
    <row r="74" spans="1:15" x14ac:dyDescent="0.25">
      <c r="A74" s="246">
        <v>18</v>
      </c>
      <c r="B74" s="352" t="s">
        <v>3501</v>
      </c>
      <c r="C74" s="233" t="s">
        <v>2349</v>
      </c>
      <c r="D74" s="233"/>
      <c r="E74" s="230" t="s">
        <v>160</v>
      </c>
      <c r="F74" s="230" t="s">
        <v>1180</v>
      </c>
      <c r="G74" s="230" t="s">
        <v>42</v>
      </c>
      <c r="H74" s="231" t="s">
        <v>3502</v>
      </c>
      <c r="I74" s="230" t="s">
        <v>40</v>
      </c>
      <c r="J74" s="236">
        <v>600</v>
      </c>
      <c r="K74" s="271">
        <v>120</v>
      </c>
      <c r="L74" s="224" t="s">
        <v>147</v>
      </c>
      <c r="M74" s="224" t="s">
        <v>41</v>
      </c>
      <c r="O74">
        <f t="shared" si="0"/>
        <v>120</v>
      </c>
    </row>
    <row r="75" spans="1:15" x14ac:dyDescent="0.25">
      <c r="A75" s="246">
        <v>18</v>
      </c>
      <c r="B75" s="352" t="s">
        <v>3503</v>
      </c>
      <c r="C75" s="233" t="s">
        <v>3504</v>
      </c>
      <c r="D75" s="233"/>
      <c r="E75" s="230" t="s">
        <v>160</v>
      </c>
      <c r="F75" s="230" t="s">
        <v>1531</v>
      </c>
      <c r="G75" s="230" t="s">
        <v>49</v>
      </c>
      <c r="H75" s="231" t="s">
        <v>3505</v>
      </c>
      <c r="I75" s="233" t="s">
        <v>40</v>
      </c>
      <c r="J75" s="236">
        <v>1700</v>
      </c>
      <c r="K75" s="271">
        <v>340</v>
      </c>
      <c r="L75" s="224" t="s">
        <v>147</v>
      </c>
      <c r="M75" s="224" t="s">
        <v>41</v>
      </c>
      <c r="O75">
        <f t="shared" si="0"/>
        <v>340</v>
      </c>
    </row>
    <row r="76" spans="1:15" x14ac:dyDescent="0.25">
      <c r="A76" s="246">
        <v>18</v>
      </c>
      <c r="B76" s="352" t="s">
        <v>3503</v>
      </c>
      <c r="C76" s="233" t="s">
        <v>3504</v>
      </c>
      <c r="D76" s="233"/>
      <c r="E76" s="230" t="s">
        <v>160</v>
      </c>
      <c r="F76" s="230" t="s">
        <v>1531</v>
      </c>
      <c r="G76" s="230" t="s">
        <v>49</v>
      </c>
      <c r="H76" s="231" t="s">
        <v>3505</v>
      </c>
      <c r="I76" s="354" t="s">
        <v>1420</v>
      </c>
      <c r="J76" s="236">
        <v>300</v>
      </c>
      <c r="K76" s="271">
        <v>150</v>
      </c>
      <c r="L76" s="224" t="s">
        <v>147</v>
      </c>
      <c r="M76" s="224" t="s">
        <v>41</v>
      </c>
      <c r="O76">
        <f t="shared" si="0"/>
        <v>60</v>
      </c>
    </row>
    <row r="77" spans="1:15" x14ac:dyDescent="0.25">
      <c r="A77" s="246">
        <v>18</v>
      </c>
      <c r="B77" s="352" t="s">
        <v>1402</v>
      </c>
      <c r="C77" s="233" t="s">
        <v>1403</v>
      </c>
      <c r="D77" s="233"/>
      <c r="E77" s="283" t="s">
        <v>163</v>
      </c>
      <c r="F77" s="230" t="s">
        <v>189</v>
      </c>
      <c r="G77" s="230" t="s">
        <v>54</v>
      </c>
      <c r="H77" s="231" t="s">
        <v>1404</v>
      </c>
      <c r="I77" s="230" t="s">
        <v>40</v>
      </c>
      <c r="J77" s="236">
        <v>500</v>
      </c>
      <c r="K77" s="271">
        <v>100</v>
      </c>
      <c r="L77" s="224" t="s">
        <v>147</v>
      </c>
      <c r="M77" s="224" t="s">
        <v>41</v>
      </c>
      <c r="O77">
        <f t="shared" si="0"/>
        <v>100</v>
      </c>
    </row>
    <row r="78" spans="1:15" x14ac:dyDescent="0.25">
      <c r="A78" s="246">
        <v>18</v>
      </c>
      <c r="B78" s="352" t="s">
        <v>3506</v>
      </c>
      <c r="C78" s="233" t="s">
        <v>3507</v>
      </c>
      <c r="D78" s="233"/>
      <c r="E78" s="230" t="s">
        <v>160</v>
      </c>
      <c r="F78" s="230" t="s">
        <v>519</v>
      </c>
      <c r="G78" s="230" t="s">
        <v>56</v>
      </c>
      <c r="H78" s="231"/>
      <c r="I78" s="233" t="s">
        <v>40</v>
      </c>
      <c r="J78" s="236">
        <v>500</v>
      </c>
      <c r="K78" s="271">
        <v>100</v>
      </c>
      <c r="L78" s="224" t="s">
        <v>147</v>
      </c>
      <c r="M78" s="224" t="s">
        <v>41</v>
      </c>
      <c r="O78">
        <f t="shared" si="0"/>
        <v>100</v>
      </c>
    </row>
    <row r="79" spans="1:15" x14ac:dyDescent="0.25">
      <c r="A79" s="246">
        <v>18</v>
      </c>
      <c r="B79" s="352" t="s">
        <v>2198</v>
      </c>
      <c r="C79" s="233" t="s">
        <v>3508</v>
      </c>
      <c r="D79" s="233" t="s">
        <v>3192</v>
      </c>
      <c r="E79" s="230" t="s">
        <v>160</v>
      </c>
      <c r="F79" s="230" t="s">
        <v>226</v>
      </c>
      <c r="G79" s="230" t="s">
        <v>43</v>
      </c>
      <c r="H79" s="231" t="s">
        <v>3509</v>
      </c>
      <c r="I79" s="233" t="s">
        <v>40</v>
      </c>
      <c r="J79" s="236">
        <v>3500</v>
      </c>
      <c r="K79" s="271">
        <v>700</v>
      </c>
      <c r="L79" s="224" t="s">
        <v>147</v>
      </c>
      <c r="M79" s="224" t="s">
        <v>41</v>
      </c>
      <c r="O79">
        <f t="shared" si="0"/>
        <v>700</v>
      </c>
    </row>
    <row r="80" spans="1:15" x14ac:dyDescent="0.25">
      <c r="A80" s="246">
        <v>18</v>
      </c>
      <c r="B80" s="352" t="s">
        <v>3077</v>
      </c>
      <c r="C80" s="233" t="s">
        <v>3510</v>
      </c>
      <c r="D80" s="233" t="s">
        <v>3511</v>
      </c>
      <c r="E80" s="230" t="s">
        <v>160</v>
      </c>
      <c r="F80" s="230" t="s">
        <v>164</v>
      </c>
      <c r="G80" s="230" t="s">
        <v>44</v>
      </c>
      <c r="H80" s="231"/>
      <c r="I80" s="230" t="s">
        <v>40</v>
      </c>
      <c r="J80" s="236">
        <v>500</v>
      </c>
      <c r="K80" s="271">
        <v>100</v>
      </c>
      <c r="L80" s="224" t="s">
        <v>147</v>
      </c>
      <c r="M80" s="224" t="s">
        <v>41</v>
      </c>
      <c r="O80">
        <f t="shared" si="0"/>
        <v>100</v>
      </c>
    </row>
    <row r="81" spans="1:15" x14ac:dyDescent="0.25">
      <c r="A81" s="246">
        <v>18</v>
      </c>
      <c r="B81" s="352" t="s">
        <v>3512</v>
      </c>
      <c r="C81" s="233" t="s">
        <v>3513</v>
      </c>
      <c r="D81" s="233"/>
      <c r="E81" s="230" t="s">
        <v>160</v>
      </c>
      <c r="F81" s="230" t="s">
        <v>578</v>
      </c>
      <c r="G81" s="230" t="s">
        <v>42</v>
      </c>
      <c r="H81" s="231" t="s">
        <v>3514</v>
      </c>
      <c r="I81" s="233" t="s">
        <v>40</v>
      </c>
      <c r="J81" s="236">
        <v>2500</v>
      </c>
      <c r="K81" s="271">
        <v>500</v>
      </c>
      <c r="L81" s="224" t="s">
        <v>147</v>
      </c>
      <c r="M81" s="224" t="s">
        <v>41</v>
      </c>
      <c r="O81">
        <f t="shared" si="0"/>
        <v>500</v>
      </c>
    </row>
    <row r="82" spans="1:15" x14ac:dyDescent="0.25">
      <c r="A82" s="246">
        <v>18</v>
      </c>
      <c r="B82" s="352" t="s">
        <v>3512</v>
      </c>
      <c r="C82" s="233" t="s">
        <v>3513</v>
      </c>
      <c r="D82" s="233"/>
      <c r="E82" s="230" t="s">
        <v>160</v>
      </c>
      <c r="F82" s="230" t="s">
        <v>578</v>
      </c>
      <c r="G82" s="230" t="s">
        <v>42</v>
      </c>
      <c r="H82" s="231" t="s">
        <v>3514</v>
      </c>
      <c r="I82" s="450" t="s">
        <v>1911</v>
      </c>
      <c r="J82" s="236">
        <v>20</v>
      </c>
      <c r="K82" s="271">
        <v>200</v>
      </c>
      <c r="L82" s="224" t="s">
        <v>147</v>
      </c>
      <c r="M82" s="224" t="s">
        <v>41</v>
      </c>
      <c r="O82">
        <f t="shared" si="0"/>
        <v>4</v>
      </c>
    </row>
    <row r="83" spans="1:15" x14ac:dyDescent="0.25">
      <c r="A83" s="246">
        <v>18</v>
      </c>
      <c r="B83" s="352" t="s">
        <v>3515</v>
      </c>
      <c r="C83" s="233" t="s">
        <v>1664</v>
      </c>
      <c r="D83" s="233" t="s">
        <v>3260</v>
      </c>
      <c r="E83" s="230" t="s">
        <v>160</v>
      </c>
      <c r="F83" s="230" t="s">
        <v>60</v>
      </c>
      <c r="G83" s="230" t="s">
        <v>84</v>
      </c>
      <c r="H83" s="231" t="s">
        <v>1665</v>
      </c>
      <c r="I83" s="233" t="s">
        <v>40</v>
      </c>
      <c r="J83" s="236">
        <v>2500</v>
      </c>
      <c r="K83" s="271">
        <v>500</v>
      </c>
      <c r="L83" s="224" t="s">
        <v>147</v>
      </c>
      <c r="M83" s="224" t="s">
        <v>41</v>
      </c>
      <c r="O83">
        <f t="shared" si="0"/>
        <v>500</v>
      </c>
    </row>
    <row r="84" spans="1:15" x14ac:dyDescent="0.25">
      <c r="A84" s="246">
        <v>18</v>
      </c>
      <c r="B84" s="352" t="s">
        <v>3516</v>
      </c>
      <c r="C84" s="233" t="s">
        <v>3517</v>
      </c>
      <c r="D84" s="233"/>
      <c r="E84" s="230" t="s">
        <v>160</v>
      </c>
      <c r="F84" s="230" t="s">
        <v>3518</v>
      </c>
      <c r="G84" s="230" t="s">
        <v>43</v>
      </c>
      <c r="H84" s="231" t="s">
        <v>3519</v>
      </c>
      <c r="I84" s="230" t="s">
        <v>40</v>
      </c>
      <c r="J84" s="236">
        <v>500</v>
      </c>
      <c r="K84" s="271">
        <v>100</v>
      </c>
      <c r="L84" s="224" t="s">
        <v>147</v>
      </c>
      <c r="M84" s="224" t="s">
        <v>41</v>
      </c>
      <c r="O84">
        <f t="shared" si="0"/>
        <v>100</v>
      </c>
    </row>
    <row r="85" spans="1:15" x14ac:dyDescent="0.25">
      <c r="A85" s="246">
        <v>18</v>
      </c>
      <c r="B85" s="352" t="s">
        <v>2881</v>
      </c>
      <c r="C85" s="233" t="s">
        <v>2882</v>
      </c>
      <c r="D85" s="233"/>
      <c r="E85" s="230" t="s">
        <v>160</v>
      </c>
      <c r="F85" s="230" t="s">
        <v>618</v>
      </c>
      <c r="G85" s="230" t="s">
        <v>43</v>
      </c>
      <c r="H85" s="231"/>
      <c r="I85" s="450" t="s">
        <v>1911</v>
      </c>
      <c r="J85" s="236">
        <v>10</v>
      </c>
      <c r="K85" s="271">
        <v>100</v>
      </c>
      <c r="L85" s="224" t="s">
        <v>147</v>
      </c>
      <c r="M85" s="224" t="s">
        <v>41</v>
      </c>
      <c r="O85">
        <f t="shared" si="0"/>
        <v>2</v>
      </c>
    </row>
    <row r="86" spans="1:15" x14ac:dyDescent="0.25">
      <c r="A86" s="246">
        <v>18</v>
      </c>
      <c r="B86" s="352" t="s">
        <v>2198</v>
      </c>
      <c r="C86" s="233" t="s">
        <v>3520</v>
      </c>
      <c r="D86" s="233"/>
      <c r="E86" s="230" t="s">
        <v>160</v>
      </c>
      <c r="F86" s="230" t="s">
        <v>226</v>
      </c>
      <c r="G86" s="230" t="s">
        <v>43</v>
      </c>
      <c r="H86" s="231" t="s">
        <v>3521</v>
      </c>
      <c r="I86" s="233" t="s">
        <v>40</v>
      </c>
      <c r="J86" s="236">
        <v>2500</v>
      </c>
      <c r="K86" s="271">
        <v>500</v>
      </c>
      <c r="L86" s="224" t="s">
        <v>147</v>
      </c>
      <c r="M86" s="224" t="s">
        <v>41</v>
      </c>
      <c r="O86">
        <f t="shared" si="0"/>
        <v>500</v>
      </c>
    </row>
    <row r="87" spans="1:15" x14ac:dyDescent="0.25">
      <c r="A87" s="246">
        <v>18</v>
      </c>
      <c r="B87" s="352" t="s">
        <v>3522</v>
      </c>
      <c r="C87" s="233" t="s">
        <v>3523</v>
      </c>
      <c r="D87" s="233"/>
      <c r="E87" s="230" t="s">
        <v>160</v>
      </c>
      <c r="F87" s="230"/>
      <c r="G87" s="230" t="s">
        <v>55</v>
      </c>
      <c r="H87" s="231" t="s">
        <v>3524</v>
      </c>
      <c r="I87" s="230" t="s">
        <v>40</v>
      </c>
      <c r="J87" s="236">
        <v>10000</v>
      </c>
      <c r="K87" s="271">
        <v>2000</v>
      </c>
      <c r="L87" s="224" t="s">
        <v>147</v>
      </c>
      <c r="M87" s="224" t="s">
        <v>41</v>
      </c>
      <c r="O87">
        <f t="shared" si="0"/>
        <v>2000</v>
      </c>
    </row>
    <row r="88" spans="1:15" x14ac:dyDescent="0.25">
      <c r="A88" s="246">
        <v>18</v>
      </c>
      <c r="B88" s="352" t="s">
        <v>3525</v>
      </c>
      <c r="C88" s="233" t="s">
        <v>1776</v>
      </c>
      <c r="D88" s="233"/>
      <c r="E88" s="230" t="s">
        <v>160</v>
      </c>
      <c r="F88" s="230" t="s">
        <v>259</v>
      </c>
      <c r="G88" s="230" t="s">
        <v>49</v>
      </c>
      <c r="H88" s="231" t="s">
        <v>2174</v>
      </c>
      <c r="I88" s="233" t="s">
        <v>40</v>
      </c>
      <c r="J88" s="236">
        <v>1000</v>
      </c>
      <c r="K88" s="271">
        <v>200</v>
      </c>
      <c r="L88" s="224" t="s">
        <v>147</v>
      </c>
      <c r="M88" s="224" t="s">
        <v>41</v>
      </c>
      <c r="O88">
        <f t="shared" si="0"/>
        <v>200</v>
      </c>
    </row>
    <row r="89" spans="1:15" x14ac:dyDescent="0.25">
      <c r="A89" s="246">
        <v>18</v>
      </c>
      <c r="B89" s="352" t="s">
        <v>3526</v>
      </c>
      <c r="C89" s="233" t="s">
        <v>2098</v>
      </c>
      <c r="D89" s="233"/>
      <c r="E89" s="230" t="s">
        <v>160</v>
      </c>
      <c r="F89" s="230" t="s">
        <v>259</v>
      </c>
      <c r="G89" s="230" t="s">
        <v>49</v>
      </c>
      <c r="H89" s="231"/>
      <c r="I89" s="233" t="s">
        <v>40</v>
      </c>
      <c r="J89" s="236">
        <v>1500</v>
      </c>
      <c r="K89" s="271">
        <v>300</v>
      </c>
      <c r="L89" s="224" t="s">
        <v>147</v>
      </c>
      <c r="M89" s="224" t="s">
        <v>41</v>
      </c>
      <c r="O89">
        <f t="shared" si="0"/>
        <v>300</v>
      </c>
    </row>
    <row r="90" spans="1:15" x14ac:dyDescent="0.25">
      <c r="A90" s="246">
        <v>18</v>
      </c>
      <c r="B90" s="352" t="s">
        <v>2413</v>
      </c>
      <c r="C90" s="233" t="s">
        <v>1736</v>
      </c>
      <c r="D90" s="233"/>
      <c r="E90" s="230" t="s">
        <v>160</v>
      </c>
      <c r="F90" s="230" t="s">
        <v>189</v>
      </c>
      <c r="G90" s="230" t="s">
        <v>54</v>
      </c>
      <c r="H90" s="231" t="s">
        <v>3527</v>
      </c>
      <c r="I90" s="230" t="s">
        <v>40</v>
      </c>
      <c r="J90" s="236">
        <v>1000</v>
      </c>
      <c r="K90" s="271">
        <v>200</v>
      </c>
      <c r="L90" s="224" t="s">
        <v>147</v>
      </c>
      <c r="M90" s="224" t="s">
        <v>41</v>
      </c>
      <c r="O90">
        <f t="shared" si="0"/>
        <v>200</v>
      </c>
    </row>
    <row r="91" spans="1:15" x14ac:dyDescent="0.25">
      <c r="A91" s="246">
        <v>18</v>
      </c>
      <c r="B91" s="352" t="s">
        <v>3528</v>
      </c>
      <c r="C91" s="233" t="s">
        <v>1534</v>
      </c>
      <c r="D91" s="233"/>
      <c r="E91" s="230" t="s">
        <v>160</v>
      </c>
      <c r="F91" s="230" t="s">
        <v>331</v>
      </c>
      <c r="G91" s="230" t="s">
        <v>54</v>
      </c>
      <c r="H91" s="231"/>
      <c r="I91" s="233" t="s">
        <v>40</v>
      </c>
      <c r="J91" s="236">
        <v>1000</v>
      </c>
      <c r="K91" s="271">
        <v>200</v>
      </c>
      <c r="L91" s="224" t="s">
        <v>147</v>
      </c>
      <c r="M91" s="224" t="s">
        <v>41</v>
      </c>
      <c r="O91">
        <f t="shared" si="0"/>
        <v>200</v>
      </c>
    </row>
    <row r="92" spans="1:15" x14ac:dyDescent="0.25">
      <c r="A92" s="246">
        <v>18</v>
      </c>
      <c r="B92" s="352" t="s">
        <v>2333</v>
      </c>
      <c r="C92" s="233" t="s">
        <v>3529</v>
      </c>
      <c r="D92" s="233"/>
      <c r="E92" s="230" t="s">
        <v>160</v>
      </c>
      <c r="F92" s="230" t="s">
        <v>203</v>
      </c>
      <c r="G92" s="230" t="s">
        <v>53</v>
      </c>
      <c r="H92" s="231" t="s">
        <v>3530</v>
      </c>
      <c r="I92" s="233" t="s">
        <v>40</v>
      </c>
      <c r="J92" s="236">
        <v>1000</v>
      </c>
      <c r="K92" s="271">
        <v>200</v>
      </c>
      <c r="L92" s="224" t="s">
        <v>147</v>
      </c>
      <c r="M92" s="224" t="s">
        <v>41</v>
      </c>
      <c r="O92">
        <f t="shared" si="0"/>
        <v>200</v>
      </c>
    </row>
    <row r="93" spans="1:15" x14ac:dyDescent="0.25">
      <c r="A93" s="246">
        <v>18</v>
      </c>
      <c r="B93" s="352" t="s">
        <v>2196</v>
      </c>
      <c r="C93" s="233" t="s">
        <v>3531</v>
      </c>
      <c r="D93" s="233"/>
      <c r="E93" s="283" t="s">
        <v>163</v>
      </c>
      <c r="F93" s="230" t="s">
        <v>1770</v>
      </c>
      <c r="G93" s="230" t="s">
        <v>42</v>
      </c>
      <c r="H93" s="231" t="s">
        <v>3532</v>
      </c>
      <c r="I93" s="233" t="s">
        <v>40</v>
      </c>
      <c r="J93" s="236">
        <v>1000</v>
      </c>
      <c r="K93" s="271">
        <v>200</v>
      </c>
      <c r="L93" s="224" t="s">
        <v>147</v>
      </c>
      <c r="M93" s="224" t="s">
        <v>41</v>
      </c>
      <c r="O93">
        <f t="shared" si="0"/>
        <v>200</v>
      </c>
    </row>
    <row r="94" spans="1:15" x14ac:dyDescent="0.25">
      <c r="A94" s="246">
        <v>18</v>
      </c>
      <c r="B94" s="352" t="s">
        <v>3533</v>
      </c>
      <c r="C94" s="233" t="s">
        <v>3534</v>
      </c>
      <c r="D94" s="233"/>
      <c r="E94" s="283" t="s">
        <v>163</v>
      </c>
      <c r="F94" s="230" t="s">
        <v>523</v>
      </c>
      <c r="G94" s="230" t="s">
        <v>42</v>
      </c>
      <c r="H94" s="231" t="s">
        <v>3535</v>
      </c>
      <c r="I94" s="230" t="s">
        <v>40</v>
      </c>
      <c r="J94" s="236">
        <v>500</v>
      </c>
      <c r="K94" s="271" t="s">
        <v>152</v>
      </c>
      <c r="L94" s="224" t="s">
        <v>147</v>
      </c>
      <c r="M94" s="224" t="s">
        <v>41</v>
      </c>
      <c r="O94">
        <f t="shared" si="0"/>
        <v>100</v>
      </c>
    </row>
    <row r="95" spans="1:15" x14ac:dyDescent="0.25">
      <c r="A95" s="246">
        <v>18</v>
      </c>
      <c r="B95" s="352" t="s">
        <v>3533</v>
      </c>
      <c r="C95" s="233" t="s">
        <v>3534</v>
      </c>
      <c r="D95" s="233"/>
      <c r="E95" s="283" t="s">
        <v>163</v>
      </c>
      <c r="F95" s="230" t="s">
        <v>523</v>
      </c>
      <c r="G95" s="230" t="s">
        <v>42</v>
      </c>
      <c r="H95" s="231" t="s">
        <v>3535</v>
      </c>
      <c r="I95" s="233" t="s">
        <v>40</v>
      </c>
      <c r="J95" s="236">
        <v>1000</v>
      </c>
      <c r="K95" s="271">
        <v>200</v>
      </c>
      <c r="L95" s="224" t="s">
        <v>147</v>
      </c>
      <c r="M95" s="224" t="s">
        <v>41</v>
      </c>
      <c r="O95">
        <f t="shared" si="0"/>
        <v>200</v>
      </c>
    </row>
    <row r="96" spans="1:15" x14ac:dyDescent="0.25">
      <c r="A96" s="246">
        <v>18</v>
      </c>
      <c r="B96" s="352" t="s">
        <v>3536</v>
      </c>
      <c r="C96" s="233" t="s">
        <v>3537</v>
      </c>
      <c r="D96" s="233"/>
      <c r="E96" s="283" t="s">
        <v>163</v>
      </c>
      <c r="F96" s="230" t="s">
        <v>2160</v>
      </c>
      <c r="G96" s="230" t="s">
        <v>54</v>
      </c>
      <c r="H96" s="231" t="s">
        <v>3538</v>
      </c>
      <c r="I96" s="233" t="s">
        <v>40</v>
      </c>
      <c r="J96" s="236">
        <v>1000</v>
      </c>
      <c r="K96" s="271">
        <v>200</v>
      </c>
      <c r="L96" s="224" t="s">
        <v>147</v>
      </c>
      <c r="M96" s="224" t="s">
        <v>41</v>
      </c>
      <c r="O96">
        <f t="shared" si="0"/>
        <v>200</v>
      </c>
    </row>
    <row r="97" spans="1:18" x14ac:dyDescent="0.25">
      <c r="A97" s="246">
        <v>18</v>
      </c>
      <c r="B97" s="352" t="s">
        <v>3539</v>
      </c>
      <c r="C97" s="233" t="s">
        <v>3540</v>
      </c>
      <c r="D97" s="233"/>
      <c r="E97" s="230" t="s">
        <v>160</v>
      </c>
      <c r="F97" s="230" t="s">
        <v>180</v>
      </c>
      <c r="G97" s="230" t="s">
        <v>57</v>
      </c>
      <c r="H97" s="231" t="s">
        <v>187</v>
      </c>
      <c r="I97" s="233" t="s">
        <v>40</v>
      </c>
      <c r="J97" s="236">
        <v>1000</v>
      </c>
      <c r="K97" s="271">
        <v>200</v>
      </c>
      <c r="L97" s="224" t="s">
        <v>147</v>
      </c>
      <c r="M97" s="224" t="s">
        <v>41</v>
      </c>
      <c r="O97">
        <f t="shared" si="0"/>
        <v>200</v>
      </c>
      <c r="R97" s="69"/>
    </row>
    <row r="98" spans="1:18" x14ac:dyDescent="0.25">
      <c r="A98" s="246">
        <v>18</v>
      </c>
      <c r="B98" s="352" t="s">
        <v>1847</v>
      </c>
      <c r="C98" s="233" t="s">
        <v>1452</v>
      </c>
      <c r="D98" s="233"/>
      <c r="E98" s="230" t="s">
        <v>160</v>
      </c>
      <c r="F98" s="230" t="s">
        <v>1327</v>
      </c>
      <c r="G98" s="230" t="s">
        <v>46</v>
      </c>
      <c r="H98" s="231" t="s">
        <v>3541</v>
      </c>
      <c r="I98" s="233" t="s">
        <v>40</v>
      </c>
      <c r="J98" s="236">
        <v>400</v>
      </c>
      <c r="K98" s="271">
        <v>80</v>
      </c>
      <c r="L98" s="224" t="s">
        <v>147</v>
      </c>
      <c r="M98" s="224" t="s">
        <v>41</v>
      </c>
      <c r="O98">
        <f t="shared" si="0"/>
        <v>80</v>
      </c>
    </row>
    <row r="99" spans="1:18" x14ac:dyDescent="0.25">
      <c r="A99" s="246">
        <v>18</v>
      </c>
      <c r="B99" s="352" t="s">
        <v>2206</v>
      </c>
      <c r="C99" s="233" t="s">
        <v>3542</v>
      </c>
      <c r="D99" s="233"/>
      <c r="E99" s="230" t="s">
        <v>160</v>
      </c>
      <c r="F99" s="230" t="s">
        <v>1869</v>
      </c>
      <c r="G99" s="230" t="s">
        <v>42</v>
      </c>
      <c r="H99" s="231" t="s">
        <v>2846</v>
      </c>
      <c r="I99" s="233" t="s">
        <v>40</v>
      </c>
      <c r="J99" s="236">
        <v>7000</v>
      </c>
      <c r="K99" s="271">
        <v>1400</v>
      </c>
      <c r="L99" s="224" t="s">
        <v>147</v>
      </c>
      <c r="M99" s="224" t="s">
        <v>41</v>
      </c>
      <c r="O99">
        <f t="shared" si="0"/>
        <v>1400</v>
      </c>
    </row>
    <row r="100" spans="1:18" x14ac:dyDescent="0.25">
      <c r="A100" s="246">
        <v>18</v>
      </c>
      <c r="B100" s="352" t="s">
        <v>1390</v>
      </c>
      <c r="C100" s="233" t="s">
        <v>2040</v>
      </c>
      <c r="D100" s="233"/>
      <c r="E100" s="230" t="s">
        <v>160</v>
      </c>
      <c r="F100" s="230" t="s">
        <v>1792</v>
      </c>
      <c r="G100" s="230" t="s">
        <v>42</v>
      </c>
      <c r="H100" s="231" t="s">
        <v>3543</v>
      </c>
      <c r="I100" s="233" t="s">
        <v>40</v>
      </c>
      <c r="J100" s="236">
        <v>2000</v>
      </c>
      <c r="K100" s="271">
        <v>400</v>
      </c>
      <c r="L100" s="224" t="s">
        <v>147</v>
      </c>
      <c r="M100" s="224" t="s">
        <v>41</v>
      </c>
      <c r="O100">
        <f t="shared" si="0"/>
        <v>400</v>
      </c>
    </row>
    <row r="101" spans="1:18" x14ac:dyDescent="0.25">
      <c r="A101" s="246">
        <v>18</v>
      </c>
      <c r="B101" s="352" t="s">
        <v>1390</v>
      </c>
      <c r="C101" s="233" t="s">
        <v>2040</v>
      </c>
      <c r="D101" s="233"/>
      <c r="E101" s="230" t="s">
        <v>160</v>
      </c>
      <c r="F101" s="230" t="s">
        <v>1792</v>
      </c>
      <c r="G101" s="230" t="s">
        <v>42</v>
      </c>
      <c r="H101" s="231" t="s">
        <v>3543</v>
      </c>
      <c r="I101" s="233" t="s">
        <v>40</v>
      </c>
      <c r="J101" s="236">
        <v>500</v>
      </c>
      <c r="K101" s="271">
        <v>400</v>
      </c>
      <c r="L101" s="224" t="s">
        <v>147</v>
      </c>
      <c r="M101" s="224" t="s">
        <v>41</v>
      </c>
      <c r="O101">
        <f t="shared" si="0"/>
        <v>100</v>
      </c>
    </row>
    <row r="102" spans="1:18" x14ac:dyDescent="0.25">
      <c r="A102" s="246">
        <v>18</v>
      </c>
      <c r="B102" s="352" t="s">
        <v>1979</v>
      </c>
      <c r="C102" s="233" t="s">
        <v>1980</v>
      </c>
      <c r="D102" s="233"/>
      <c r="E102" s="230" t="s">
        <v>160</v>
      </c>
      <c r="F102" s="230" t="s">
        <v>1981</v>
      </c>
      <c r="G102" s="230" t="s">
        <v>67</v>
      </c>
      <c r="H102" s="231"/>
      <c r="I102" s="233" t="s">
        <v>40</v>
      </c>
      <c r="J102" s="236">
        <v>5000</v>
      </c>
      <c r="K102" s="271">
        <v>1000</v>
      </c>
      <c r="L102" s="224" t="s">
        <v>147</v>
      </c>
      <c r="M102" s="224" t="s">
        <v>41</v>
      </c>
      <c r="O102">
        <f t="shared" si="0"/>
        <v>1000</v>
      </c>
    </row>
    <row r="103" spans="1:18" x14ac:dyDescent="0.25">
      <c r="A103" s="246">
        <v>18</v>
      </c>
      <c r="B103" s="352" t="s">
        <v>2714</v>
      </c>
      <c r="C103" s="233" t="s">
        <v>2715</v>
      </c>
      <c r="D103" s="233"/>
      <c r="E103" s="230" t="s">
        <v>160</v>
      </c>
      <c r="F103" s="230" t="s">
        <v>2716</v>
      </c>
      <c r="G103" s="230" t="s">
        <v>59</v>
      </c>
      <c r="H103" s="231" t="s">
        <v>2717</v>
      </c>
      <c r="I103" s="230" t="s">
        <v>40</v>
      </c>
      <c r="J103" s="236">
        <v>6500</v>
      </c>
      <c r="K103" s="271">
        <v>1300</v>
      </c>
      <c r="L103" s="224" t="s">
        <v>147</v>
      </c>
      <c r="M103" s="224" t="s">
        <v>41</v>
      </c>
      <c r="O103">
        <f t="shared" si="0"/>
        <v>1300</v>
      </c>
    </row>
    <row r="104" spans="1:18" x14ac:dyDescent="0.25">
      <c r="A104" s="246">
        <v>18</v>
      </c>
      <c r="B104" s="352" t="s">
        <v>3544</v>
      </c>
      <c r="C104" s="233" t="s">
        <v>3545</v>
      </c>
      <c r="D104" s="233"/>
      <c r="E104" s="230" t="s">
        <v>160</v>
      </c>
      <c r="F104" s="230" t="s">
        <v>169</v>
      </c>
      <c r="G104" s="230" t="s">
        <v>45</v>
      </c>
      <c r="H104" s="231" t="s">
        <v>3546</v>
      </c>
      <c r="I104" s="233" t="s">
        <v>40</v>
      </c>
      <c r="J104" s="236">
        <v>3000</v>
      </c>
      <c r="K104" s="271">
        <v>900</v>
      </c>
      <c r="L104" s="224" t="s">
        <v>147</v>
      </c>
      <c r="M104" s="224" t="s">
        <v>41</v>
      </c>
      <c r="O104">
        <f t="shared" si="0"/>
        <v>600</v>
      </c>
    </row>
    <row r="105" spans="1:18" x14ac:dyDescent="0.25">
      <c r="A105" s="246">
        <v>18</v>
      </c>
      <c r="B105" s="352" t="s">
        <v>1784</v>
      </c>
      <c r="C105" s="233" t="s">
        <v>1660</v>
      </c>
      <c r="D105" s="233"/>
      <c r="E105" s="230" t="s">
        <v>160</v>
      </c>
      <c r="F105" s="230"/>
      <c r="G105" s="230" t="s">
        <v>49</v>
      </c>
      <c r="H105" s="231" t="s">
        <v>3547</v>
      </c>
      <c r="I105" s="230" t="s">
        <v>40</v>
      </c>
      <c r="J105" s="236">
        <v>500</v>
      </c>
      <c r="K105" s="271">
        <v>100</v>
      </c>
      <c r="L105" s="224" t="s">
        <v>147</v>
      </c>
      <c r="M105" s="224" t="s">
        <v>41</v>
      </c>
      <c r="O105">
        <f t="shared" si="0"/>
        <v>100</v>
      </c>
    </row>
    <row r="106" spans="1:18" x14ac:dyDescent="0.25">
      <c r="A106" s="246">
        <v>18</v>
      </c>
      <c r="B106" s="352" t="s">
        <v>3539</v>
      </c>
      <c r="C106" s="233" t="s">
        <v>1379</v>
      </c>
      <c r="D106" s="233"/>
      <c r="E106" s="230" t="s">
        <v>160</v>
      </c>
      <c r="F106" s="230" t="s">
        <v>167</v>
      </c>
      <c r="G106" s="230" t="s">
        <v>43</v>
      </c>
      <c r="H106" s="231" t="s">
        <v>3548</v>
      </c>
      <c r="I106" s="230" t="s">
        <v>40</v>
      </c>
      <c r="J106" s="236">
        <v>1000</v>
      </c>
      <c r="K106" s="271">
        <v>200</v>
      </c>
      <c r="L106" s="224" t="s">
        <v>147</v>
      </c>
      <c r="M106" s="224" t="s">
        <v>41</v>
      </c>
      <c r="O106">
        <f t="shared" si="0"/>
        <v>200</v>
      </c>
    </row>
    <row r="107" spans="1:18" x14ac:dyDescent="0.25">
      <c r="A107" s="246">
        <v>18</v>
      </c>
      <c r="B107" s="352" t="s">
        <v>3549</v>
      </c>
      <c r="C107" s="233" t="s">
        <v>3550</v>
      </c>
      <c r="D107" s="233"/>
      <c r="E107" s="230" t="s">
        <v>160</v>
      </c>
      <c r="F107" s="230" t="s">
        <v>1180</v>
      </c>
      <c r="G107" s="230" t="s">
        <v>42</v>
      </c>
      <c r="H107" s="231" t="s">
        <v>3551</v>
      </c>
      <c r="I107" s="233" t="s">
        <v>40</v>
      </c>
      <c r="J107" s="236">
        <v>500</v>
      </c>
      <c r="K107" s="271">
        <v>150</v>
      </c>
      <c r="L107" s="224" t="s">
        <v>147</v>
      </c>
      <c r="M107" s="224" t="s">
        <v>41</v>
      </c>
      <c r="O107">
        <f t="shared" si="0"/>
        <v>100</v>
      </c>
    </row>
    <row r="108" spans="1:18" x14ac:dyDescent="0.25">
      <c r="A108" s="246">
        <v>18</v>
      </c>
      <c r="B108" s="352" t="s">
        <v>3153</v>
      </c>
      <c r="C108" s="233" t="s">
        <v>3490</v>
      </c>
      <c r="D108" s="233"/>
      <c r="E108" s="230" t="s">
        <v>160</v>
      </c>
      <c r="F108" s="230" t="s">
        <v>180</v>
      </c>
      <c r="G108" s="230" t="s">
        <v>42</v>
      </c>
      <c r="H108" s="231" t="s">
        <v>3552</v>
      </c>
      <c r="I108" s="230" t="s">
        <v>40</v>
      </c>
      <c r="J108" s="236">
        <v>1000</v>
      </c>
      <c r="K108" s="271">
        <v>200</v>
      </c>
      <c r="L108" s="224" t="s">
        <v>147</v>
      </c>
      <c r="M108" s="224" t="s">
        <v>41</v>
      </c>
      <c r="O108">
        <f t="shared" si="0"/>
        <v>200</v>
      </c>
    </row>
    <row r="109" spans="1:18" x14ac:dyDescent="0.25">
      <c r="A109" s="246">
        <v>18</v>
      </c>
      <c r="B109" s="352" t="s">
        <v>3553</v>
      </c>
      <c r="C109" s="233" t="s">
        <v>3554</v>
      </c>
      <c r="D109" s="233"/>
      <c r="E109" s="230" t="s">
        <v>160</v>
      </c>
      <c r="F109" s="230" t="s">
        <v>3465</v>
      </c>
      <c r="G109" s="230" t="s">
        <v>79</v>
      </c>
      <c r="H109" s="231" t="s">
        <v>3555</v>
      </c>
      <c r="I109" s="230" t="s">
        <v>40</v>
      </c>
      <c r="J109" s="236">
        <v>800</v>
      </c>
      <c r="K109" s="271">
        <v>160</v>
      </c>
      <c r="L109" s="224" t="s">
        <v>147</v>
      </c>
      <c r="M109" s="224" t="s">
        <v>41</v>
      </c>
      <c r="O109">
        <f t="shared" si="0"/>
        <v>160</v>
      </c>
      <c r="R109" s="69"/>
    </row>
    <row r="110" spans="1:18" x14ac:dyDescent="0.25">
      <c r="A110" s="246">
        <v>18</v>
      </c>
      <c r="B110" s="352" t="s">
        <v>2580</v>
      </c>
      <c r="C110" s="233" t="s">
        <v>3556</v>
      </c>
      <c r="D110" s="233"/>
      <c r="E110" s="230" t="s">
        <v>160</v>
      </c>
      <c r="F110" s="230" t="s">
        <v>2333</v>
      </c>
      <c r="G110" s="230" t="s">
        <v>46</v>
      </c>
      <c r="H110" s="231" t="s">
        <v>3557</v>
      </c>
      <c r="I110" s="230" t="s">
        <v>40</v>
      </c>
      <c r="J110" s="236">
        <v>1000</v>
      </c>
      <c r="K110" s="271">
        <v>200</v>
      </c>
      <c r="L110" s="224" t="s">
        <v>147</v>
      </c>
      <c r="M110" s="224" t="s">
        <v>41</v>
      </c>
      <c r="O110">
        <f t="shared" si="0"/>
        <v>200</v>
      </c>
    </row>
    <row r="111" spans="1:18" x14ac:dyDescent="0.25">
      <c r="A111" s="246">
        <v>18</v>
      </c>
      <c r="B111" s="352" t="s">
        <v>1432</v>
      </c>
      <c r="C111" s="233" t="s">
        <v>3558</v>
      </c>
      <c r="D111" s="233"/>
      <c r="E111" s="230" t="s">
        <v>160</v>
      </c>
      <c r="F111" s="230" t="s">
        <v>523</v>
      </c>
      <c r="G111" s="230" t="s">
        <v>42</v>
      </c>
      <c r="H111" s="231" t="s">
        <v>3559</v>
      </c>
      <c r="I111" s="230" t="s">
        <v>40</v>
      </c>
      <c r="J111" s="236">
        <v>1000</v>
      </c>
      <c r="K111" s="271">
        <v>200</v>
      </c>
      <c r="L111" s="224" t="s">
        <v>147</v>
      </c>
      <c r="M111" s="224" t="s">
        <v>41</v>
      </c>
      <c r="O111">
        <f t="shared" si="0"/>
        <v>200</v>
      </c>
    </row>
    <row r="112" spans="1:18" x14ac:dyDescent="0.25">
      <c r="A112" s="246">
        <v>18</v>
      </c>
      <c r="B112" s="352" t="s">
        <v>1303</v>
      </c>
      <c r="C112" s="233" t="s">
        <v>3560</v>
      </c>
      <c r="D112" s="233"/>
      <c r="E112" s="283" t="s">
        <v>163</v>
      </c>
      <c r="F112" s="230" t="s">
        <v>194</v>
      </c>
      <c r="G112" s="230" t="s">
        <v>43</v>
      </c>
      <c r="H112" s="231" t="s">
        <v>3561</v>
      </c>
      <c r="I112" s="230" t="s">
        <v>40</v>
      </c>
      <c r="J112" s="236">
        <v>2000</v>
      </c>
      <c r="K112" s="271">
        <v>400</v>
      </c>
      <c r="L112" s="224" t="s">
        <v>147</v>
      </c>
      <c r="M112" s="224" t="s">
        <v>41</v>
      </c>
      <c r="O112">
        <f t="shared" si="0"/>
        <v>400</v>
      </c>
    </row>
    <row r="113" spans="1:19" x14ac:dyDescent="0.25">
      <c r="A113" s="246">
        <v>18</v>
      </c>
      <c r="B113" s="352" t="s">
        <v>2404</v>
      </c>
      <c r="C113" s="233" t="s">
        <v>2083</v>
      </c>
      <c r="D113" s="233"/>
      <c r="E113" s="230" t="s">
        <v>160</v>
      </c>
      <c r="F113" s="230" t="s">
        <v>189</v>
      </c>
      <c r="G113" s="230" t="s">
        <v>42</v>
      </c>
      <c r="H113" s="231" t="s">
        <v>3562</v>
      </c>
      <c r="I113" s="230" t="s">
        <v>40</v>
      </c>
      <c r="J113" s="236">
        <v>10000</v>
      </c>
      <c r="K113" s="271">
        <v>2000</v>
      </c>
      <c r="L113" s="224" t="s">
        <v>147</v>
      </c>
      <c r="M113" s="224" t="s">
        <v>41</v>
      </c>
      <c r="O113">
        <f t="shared" si="0"/>
        <v>2000</v>
      </c>
    </row>
    <row r="114" spans="1:19" x14ac:dyDescent="0.25">
      <c r="A114" s="246">
        <v>18</v>
      </c>
      <c r="B114" s="352" t="s">
        <v>3563</v>
      </c>
      <c r="C114" s="233" t="s">
        <v>2613</v>
      </c>
      <c r="D114" s="233"/>
      <c r="E114" s="230" t="s">
        <v>160</v>
      </c>
      <c r="F114" s="230" t="s">
        <v>420</v>
      </c>
      <c r="G114" s="230" t="s">
        <v>69</v>
      </c>
      <c r="H114" s="231" t="s">
        <v>3564</v>
      </c>
      <c r="I114" s="230" t="s">
        <v>40</v>
      </c>
      <c r="J114" s="236">
        <v>1000</v>
      </c>
      <c r="K114" s="271">
        <v>200</v>
      </c>
      <c r="L114" s="224" t="s">
        <v>147</v>
      </c>
      <c r="M114" s="224" t="s">
        <v>41</v>
      </c>
      <c r="O114">
        <f t="shared" si="0"/>
        <v>200</v>
      </c>
    </row>
    <row r="115" spans="1:19" x14ac:dyDescent="0.25">
      <c r="A115" s="246">
        <v>18</v>
      </c>
      <c r="B115" s="352" t="s">
        <v>3565</v>
      </c>
      <c r="C115" s="233" t="s">
        <v>3566</v>
      </c>
      <c r="D115" s="233"/>
      <c r="E115" s="230" t="s">
        <v>160</v>
      </c>
      <c r="F115" s="230" t="s">
        <v>2160</v>
      </c>
      <c r="G115" s="230" t="s">
        <v>54</v>
      </c>
      <c r="H115" s="231" t="s">
        <v>3567</v>
      </c>
      <c r="I115" s="230" t="s">
        <v>40</v>
      </c>
      <c r="J115" s="236">
        <v>1000</v>
      </c>
      <c r="K115" s="271">
        <v>200</v>
      </c>
      <c r="L115" s="224" t="s">
        <v>147</v>
      </c>
      <c r="M115" s="224" t="s">
        <v>41</v>
      </c>
      <c r="O115">
        <f t="shared" si="0"/>
        <v>200</v>
      </c>
    </row>
    <row r="116" spans="1:19" x14ac:dyDescent="0.25">
      <c r="A116" s="246">
        <v>18</v>
      </c>
      <c r="B116" s="352" t="s">
        <v>3568</v>
      </c>
      <c r="C116" s="233" t="s">
        <v>1778</v>
      </c>
      <c r="D116" s="233"/>
      <c r="E116" s="230" t="s">
        <v>160</v>
      </c>
      <c r="F116" s="230" t="s">
        <v>180</v>
      </c>
      <c r="G116" s="230" t="s">
        <v>60</v>
      </c>
      <c r="H116" s="231" t="s">
        <v>3569</v>
      </c>
      <c r="I116" s="450" t="s">
        <v>1911</v>
      </c>
      <c r="J116" s="236">
        <v>10</v>
      </c>
      <c r="K116" s="271">
        <v>100</v>
      </c>
      <c r="L116" s="224" t="s">
        <v>147</v>
      </c>
      <c r="M116" s="224" t="s">
        <v>41</v>
      </c>
      <c r="O116">
        <f t="shared" si="0"/>
        <v>2</v>
      </c>
    </row>
    <row r="117" spans="1:19" x14ac:dyDescent="0.25">
      <c r="A117" s="246">
        <v>18</v>
      </c>
      <c r="B117" s="352" t="s">
        <v>3570</v>
      </c>
      <c r="C117" s="233" t="s">
        <v>2268</v>
      </c>
      <c r="D117" s="233"/>
      <c r="E117" s="230" t="s">
        <v>160</v>
      </c>
      <c r="F117" s="230" t="s">
        <v>196</v>
      </c>
      <c r="G117" s="230" t="s">
        <v>42</v>
      </c>
      <c r="H117" s="231" t="s">
        <v>473</v>
      </c>
      <c r="I117" s="233" t="s">
        <v>40</v>
      </c>
      <c r="J117" s="236">
        <v>2500</v>
      </c>
      <c r="K117" s="271">
        <v>500</v>
      </c>
      <c r="L117" s="224" t="s">
        <v>147</v>
      </c>
      <c r="M117" s="224" t="s">
        <v>41</v>
      </c>
      <c r="O117">
        <f t="shared" si="0"/>
        <v>500</v>
      </c>
    </row>
    <row r="118" spans="1:19" x14ac:dyDescent="0.25">
      <c r="A118" s="246">
        <v>18</v>
      </c>
      <c r="B118" s="352" t="s">
        <v>3571</v>
      </c>
      <c r="C118" s="233" t="s">
        <v>2329</v>
      </c>
      <c r="D118" s="233"/>
      <c r="E118" s="230" t="s">
        <v>160</v>
      </c>
      <c r="F118" s="230" t="s">
        <v>331</v>
      </c>
      <c r="G118" s="230" t="s">
        <v>54</v>
      </c>
      <c r="H118" s="231" t="s">
        <v>3572</v>
      </c>
      <c r="I118" s="230" t="s">
        <v>40</v>
      </c>
      <c r="J118" s="464">
        <v>4000</v>
      </c>
      <c r="K118" s="236">
        <v>800</v>
      </c>
      <c r="L118" s="224" t="s">
        <v>147</v>
      </c>
      <c r="M118" s="224" t="s">
        <v>41</v>
      </c>
      <c r="O118">
        <f t="shared" si="0"/>
        <v>800</v>
      </c>
    </row>
    <row r="119" spans="1:19" x14ac:dyDescent="0.25">
      <c r="A119" s="246">
        <v>18</v>
      </c>
      <c r="B119" s="352" t="s">
        <v>3573</v>
      </c>
      <c r="C119" s="233" t="s">
        <v>3574</v>
      </c>
      <c r="D119" s="233"/>
      <c r="E119" s="230" t="s">
        <v>160</v>
      </c>
      <c r="F119" s="230" t="s">
        <v>519</v>
      </c>
      <c r="G119" s="230" t="s">
        <v>56</v>
      </c>
      <c r="H119" s="231" t="s">
        <v>3575</v>
      </c>
      <c r="I119" s="230" t="s">
        <v>40</v>
      </c>
      <c r="J119" s="236">
        <v>500</v>
      </c>
      <c r="K119" s="271">
        <v>100</v>
      </c>
      <c r="L119" s="224" t="s">
        <v>147</v>
      </c>
      <c r="M119" s="224" t="s">
        <v>41</v>
      </c>
      <c r="O119">
        <f t="shared" si="0"/>
        <v>100</v>
      </c>
    </row>
    <row r="120" spans="1:19" x14ac:dyDescent="0.25">
      <c r="A120" s="246">
        <v>18</v>
      </c>
      <c r="B120" s="352" t="s">
        <v>2817</v>
      </c>
      <c r="C120" s="233" t="s">
        <v>3576</v>
      </c>
      <c r="D120" s="233"/>
      <c r="E120" s="283" t="s">
        <v>163</v>
      </c>
      <c r="F120" s="230" t="s">
        <v>3577</v>
      </c>
      <c r="G120" s="230" t="s">
        <v>47</v>
      </c>
      <c r="H120" s="231" t="s">
        <v>3578</v>
      </c>
      <c r="I120" s="233" t="s">
        <v>40</v>
      </c>
      <c r="J120" s="236">
        <v>500</v>
      </c>
      <c r="K120" s="271">
        <v>100</v>
      </c>
      <c r="L120" s="224" t="s">
        <v>147</v>
      </c>
      <c r="M120" s="224" t="s">
        <v>41</v>
      </c>
      <c r="O120">
        <f t="shared" si="0"/>
        <v>100</v>
      </c>
    </row>
    <row r="121" spans="1:19" x14ac:dyDescent="0.25">
      <c r="A121" s="246">
        <v>20</v>
      </c>
      <c r="B121" s="352" t="s">
        <v>1520</v>
      </c>
      <c r="C121" s="233" t="s">
        <v>1836</v>
      </c>
      <c r="D121" s="233"/>
      <c r="E121" s="230" t="s">
        <v>160</v>
      </c>
      <c r="F121" s="230" t="s">
        <v>226</v>
      </c>
      <c r="G121" s="230" t="s">
        <v>43</v>
      </c>
      <c r="H121" s="231" t="s">
        <v>3583</v>
      </c>
      <c r="I121" s="354" t="s">
        <v>1420</v>
      </c>
      <c r="J121" s="236">
        <v>200</v>
      </c>
      <c r="K121" s="271">
        <v>100</v>
      </c>
      <c r="L121" s="224" t="s">
        <v>147</v>
      </c>
      <c r="M121" s="224" t="s">
        <v>41</v>
      </c>
      <c r="O121">
        <f t="shared" si="0"/>
        <v>40</v>
      </c>
    </row>
    <row r="122" spans="1:19" x14ac:dyDescent="0.25">
      <c r="A122" s="246">
        <v>20</v>
      </c>
      <c r="B122" s="352" t="s">
        <v>1990</v>
      </c>
      <c r="C122" s="233" t="s">
        <v>1892</v>
      </c>
      <c r="D122" s="233"/>
      <c r="E122" s="230" t="s">
        <v>160</v>
      </c>
      <c r="F122" s="230" t="s">
        <v>167</v>
      </c>
      <c r="G122" s="230" t="s">
        <v>43</v>
      </c>
      <c r="H122" s="231" t="s">
        <v>3584</v>
      </c>
      <c r="I122" s="230" t="s">
        <v>40</v>
      </c>
      <c r="J122" s="236">
        <v>20000</v>
      </c>
      <c r="K122" s="271">
        <v>4000</v>
      </c>
      <c r="L122" s="224" t="s">
        <v>147</v>
      </c>
      <c r="M122" s="224" t="s">
        <v>41</v>
      </c>
      <c r="O122">
        <f t="shared" si="0"/>
        <v>4000</v>
      </c>
    </row>
    <row r="123" spans="1:19" x14ac:dyDescent="0.25">
      <c r="A123" s="246">
        <v>20</v>
      </c>
      <c r="B123" s="352" t="s">
        <v>3268</v>
      </c>
      <c r="C123" s="233" t="s">
        <v>2009</v>
      </c>
      <c r="D123" s="233"/>
      <c r="E123" s="230" t="s">
        <v>160</v>
      </c>
      <c r="F123" s="230" t="s">
        <v>3035</v>
      </c>
      <c r="G123" s="230" t="s">
        <v>54</v>
      </c>
      <c r="H123" s="231" t="s">
        <v>2010</v>
      </c>
      <c r="I123" s="230" t="s">
        <v>40</v>
      </c>
      <c r="J123" s="236">
        <v>1000</v>
      </c>
      <c r="K123" s="271">
        <v>200</v>
      </c>
      <c r="L123" s="224" t="s">
        <v>147</v>
      </c>
      <c r="M123" s="224" t="s">
        <v>41</v>
      </c>
      <c r="O123">
        <f t="shared" si="0"/>
        <v>200</v>
      </c>
    </row>
    <row r="124" spans="1:19" x14ac:dyDescent="0.25">
      <c r="A124" s="246">
        <v>20</v>
      </c>
      <c r="B124" s="352" t="s">
        <v>3585</v>
      </c>
      <c r="C124" s="233" t="s">
        <v>3586</v>
      </c>
      <c r="D124" s="233"/>
      <c r="E124" s="230" t="s">
        <v>160</v>
      </c>
      <c r="F124" s="230" t="s">
        <v>211</v>
      </c>
      <c r="G124" s="230" t="s">
        <v>47</v>
      </c>
      <c r="H124" s="231"/>
      <c r="I124" s="230" t="s">
        <v>40</v>
      </c>
      <c r="J124" s="236">
        <v>1000</v>
      </c>
      <c r="K124" s="271">
        <v>200</v>
      </c>
      <c r="L124" s="224" t="s">
        <v>147</v>
      </c>
      <c r="M124" s="224" t="s">
        <v>41</v>
      </c>
      <c r="O124">
        <f t="shared" si="0"/>
        <v>200</v>
      </c>
    </row>
    <row r="125" spans="1:19" x14ac:dyDescent="0.25">
      <c r="A125" s="246">
        <v>20</v>
      </c>
      <c r="B125" s="352" t="s">
        <v>2527</v>
      </c>
      <c r="C125" s="233" t="s">
        <v>3093</v>
      </c>
      <c r="D125" s="233"/>
      <c r="E125" s="230" t="s">
        <v>160</v>
      </c>
      <c r="F125" s="230"/>
      <c r="G125" s="230" t="s">
        <v>42</v>
      </c>
      <c r="H125" s="231" t="s">
        <v>3094</v>
      </c>
      <c r="I125" s="230" t="s">
        <v>40</v>
      </c>
      <c r="J125" s="236">
        <v>3000</v>
      </c>
      <c r="K125" s="271">
        <v>600</v>
      </c>
      <c r="L125" s="224" t="s">
        <v>147</v>
      </c>
      <c r="M125" s="224" t="s">
        <v>41</v>
      </c>
      <c r="O125">
        <f t="shared" si="0"/>
        <v>600</v>
      </c>
    </row>
    <row r="126" spans="1:19" x14ac:dyDescent="0.25">
      <c r="A126" s="246">
        <v>20</v>
      </c>
      <c r="B126" s="352" t="s">
        <v>3587</v>
      </c>
      <c r="C126" s="233" t="s">
        <v>3588</v>
      </c>
      <c r="D126" s="233"/>
      <c r="E126" s="230" t="s">
        <v>160</v>
      </c>
      <c r="F126" s="230" t="s">
        <v>1823</v>
      </c>
      <c r="G126" s="230" t="s">
        <v>54</v>
      </c>
      <c r="H126" s="231" t="s">
        <v>3589</v>
      </c>
      <c r="I126" s="450" t="s">
        <v>1911</v>
      </c>
      <c r="J126" s="236">
        <v>50</v>
      </c>
      <c r="K126" s="271">
        <v>500</v>
      </c>
      <c r="L126" s="224" t="s">
        <v>147</v>
      </c>
      <c r="M126" s="224" t="s">
        <v>41</v>
      </c>
      <c r="O126">
        <f t="shared" si="0"/>
        <v>10</v>
      </c>
      <c r="R126" s="69"/>
      <c r="S126" s="69"/>
    </row>
    <row r="127" spans="1:19" x14ac:dyDescent="0.25">
      <c r="A127" s="246">
        <v>20</v>
      </c>
      <c r="B127" s="352" t="s">
        <v>2540</v>
      </c>
      <c r="C127" s="233" t="s">
        <v>3590</v>
      </c>
      <c r="D127" s="233"/>
      <c r="E127" s="283" t="s">
        <v>163</v>
      </c>
      <c r="F127" s="230" t="s">
        <v>180</v>
      </c>
      <c r="G127" s="230" t="s">
        <v>64</v>
      </c>
      <c r="H127" s="231" t="s">
        <v>3591</v>
      </c>
      <c r="I127" s="233" t="s">
        <v>40</v>
      </c>
      <c r="J127" s="236">
        <v>700</v>
      </c>
      <c r="K127" s="271">
        <v>140</v>
      </c>
      <c r="L127" s="224" t="s">
        <v>147</v>
      </c>
      <c r="M127" s="224" t="s">
        <v>41</v>
      </c>
      <c r="O127">
        <f t="shared" si="0"/>
        <v>140</v>
      </c>
    </row>
    <row r="128" spans="1:19" x14ac:dyDescent="0.25">
      <c r="A128" s="246">
        <v>20</v>
      </c>
      <c r="B128" s="352" t="s">
        <v>3592</v>
      </c>
      <c r="C128" s="233" t="s">
        <v>3593</v>
      </c>
      <c r="D128" s="233"/>
      <c r="E128" s="230" t="s">
        <v>160</v>
      </c>
      <c r="F128" s="230" t="s">
        <v>180</v>
      </c>
      <c r="G128" s="230" t="s">
        <v>65</v>
      </c>
      <c r="H128" s="231" t="s">
        <v>3594</v>
      </c>
      <c r="I128" s="450" t="s">
        <v>1911</v>
      </c>
      <c r="J128" s="236">
        <v>20</v>
      </c>
      <c r="K128" s="271">
        <v>200</v>
      </c>
      <c r="L128" s="224" t="s">
        <v>147</v>
      </c>
      <c r="M128" s="224" t="s">
        <v>41</v>
      </c>
      <c r="O128">
        <f t="shared" si="0"/>
        <v>4</v>
      </c>
      <c r="S128" s="69"/>
    </row>
    <row r="129" spans="1:15" x14ac:dyDescent="0.25">
      <c r="A129" s="246">
        <v>20</v>
      </c>
      <c r="B129" s="352" t="s">
        <v>1303</v>
      </c>
      <c r="C129" s="233" t="s">
        <v>1646</v>
      </c>
      <c r="D129" s="233"/>
      <c r="E129" s="230" t="s">
        <v>160</v>
      </c>
      <c r="F129" s="230" t="s">
        <v>194</v>
      </c>
      <c r="G129" s="230" t="s">
        <v>43</v>
      </c>
      <c r="H129" s="231" t="s">
        <v>3015</v>
      </c>
      <c r="I129" s="230" t="s">
        <v>40</v>
      </c>
      <c r="J129" s="236">
        <v>3000</v>
      </c>
      <c r="K129" s="271">
        <v>600</v>
      </c>
      <c r="L129" s="224" t="s">
        <v>147</v>
      </c>
      <c r="M129" s="224" t="s">
        <v>41</v>
      </c>
      <c r="O129">
        <f t="shared" si="0"/>
        <v>600</v>
      </c>
    </row>
    <row r="130" spans="1:15" x14ac:dyDescent="0.25">
      <c r="A130" s="246">
        <v>20</v>
      </c>
      <c r="B130" s="352" t="s">
        <v>3599</v>
      </c>
      <c r="C130" s="233" t="s">
        <v>1525</v>
      </c>
      <c r="D130" s="233"/>
      <c r="E130" s="230" t="s">
        <v>160</v>
      </c>
      <c r="F130" s="230" t="s">
        <v>180</v>
      </c>
      <c r="G130" s="230" t="s">
        <v>54</v>
      </c>
      <c r="H130" s="231" t="s">
        <v>3600</v>
      </c>
      <c r="I130" s="233" t="s">
        <v>40</v>
      </c>
      <c r="J130" s="236">
        <v>4000</v>
      </c>
      <c r="K130" s="271">
        <v>800</v>
      </c>
      <c r="L130" s="224" t="s">
        <v>147</v>
      </c>
      <c r="M130" s="224" t="s">
        <v>41</v>
      </c>
      <c r="O130">
        <f t="shared" si="0"/>
        <v>800</v>
      </c>
    </row>
    <row r="131" spans="1:15" x14ac:dyDescent="0.25">
      <c r="A131" s="246">
        <v>21</v>
      </c>
      <c r="B131" s="352" t="s">
        <v>3605</v>
      </c>
      <c r="C131" s="233" t="s">
        <v>3606</v>
      </c>
      <c r="D131" s="233"/>
      <c r="E131" s="230" t="s">
        <v>160</v>
      </c>
      <c r="F131" s="230" t="s">
        <v>3607</v>
      </c>
      <c r="G131" s="230" t="s">
        <v>64</v>
      </c>
      <c r="H131" s="231" t="s">
        <v>3608</v>
      </c>
      <c r="I131" s="233" t="s">
        <v>40</v>
      </c>
      <c r="J131" s="236">
        <v>1000</v>
      </c>
      <c r="K131" s="271" t="s">
        <v>152</v>
      </c>
      <c r="L131" s="224" t="s">
        <v>147</v>
      </c>
      <c r="M131" s="224" t="s">
        <v>41</v>
      </c>
      <c r="O131">
        <f t="shared" si="0"/>
        <v>200</v>
      </c>
    </row>
    <row r="132" spans="1:15" x14ac:dyDescent="0.25">
      <c r="A132" s="246">
        <v>22</v>
      </c>
      <c r="B132" s="352" t="s">
        <v>1771</v>
      </c>
      <c r="C132" s="233" t="s">
        <v>1772</v>
      </c>
      <c r="D132" s="233"/>
      <c r="E132" s="283" t="s">
        <v>163</v>
      </c>
      <c r="F132" s="230" t="s">
        <v>407</v>
      </c>
      <c r="G132" s="230" t="s">
        <v>42</v>
      </c>
      <c r="H132" s="231" t="s">
        <v>3609</v>
      </c>
      <c r="I132" s="230" t="s">
        <v>40</v>
      </c>
      <c r="J132" s="236">
        <v>1000</v>
      </c>
      <c r="K132" s="271" t="s">
        <v>152</v>
      </c>
      <c r="L132" s="224" t="s">
        <v>147</v>
      </c>
      <c r="M132" s="224" t="s">
        <v>41</v>
      </c>
      <c r="O132">
        <f t="shared" si="0"/>
        <v>200</v>
      </c>
    </row>
    <row r="133" spans="1:15" x14ac:dyDescent="0.25">
      <c r="A133" s="246">
        <v>25</v>
      </c>
      <c r="B133" s="352" t="s">
        <v>3610</v>
      </c>
      <c r="C133" s="233" t="s">
        <v>3611</v>
      </c>
      <c r="D133" s="233"/>
      <c r="E133" s="230" t="s">
        <v>160</v>
      </c>
      <c r="F133" s="230" t="s">
        <v>814</v>
      </c>
      <c r="G133" s="230" t="s">
        <v>47</v>
      </c>
      <c r="H133" s="231" t="s">
        <v>3612</v>
      </c>
      <c r="I133" s="230" t="s">
        <v>40</v>
      </c>
      <c r="J133" s="236">
        <v>300</v>
      </c>
      <c r="K133" s="271">
        <v>60</v>
      </c>
      <c r="L133" s="224" t="s">
        <v>147</v>
      </c>
      <c r="M133" s="224" t="s">
        <v>41</v>
      </c>
      <c r="O133">
        <f t="shared" si="0"/>
        <v>60</v>
      </c>
    </row>
    <row r="134" spans="1:15" x14ac:dyDescent="0.25">
      <c r="A134" s="246">
        <v>25</v>
      </c>
      <c r="B134" s="352" t="s">
        <v>3613</v>
      </c>
      <c r="C134" s="233" t="s">
        <v>1887</v>
      </c>
      <c r="D134" s="233" t="s">
        <v>3260</v>
      </c>
      <c r="E134" s="283" t="s">
        <v>163</v>
      </c>
      <c r="F134" s="230" t="s">
        <v>164</v>
      </c>
      <c r="G134" s="230" t="s">
        <v>44</v>
      </c>
      <c r="H134" s="231" t="s">
        <v>295</v>
      </c>
      <c r="I134" s="230" t="s">
        <v>40</v>
      </c>
      <c r="J134" s="236">
        <v>3500</v>
      </c>
      <c r="K134" s="271">
        <v>1050</v>
      </c>
      <c r="L134" s="224" t="s">
        <v>147</v>
      </c>
      <c r="M134" s="224" t="s">
        <v>41</v>
      </c>
      <c r="O134">
        <f t="shared" si="0"/>
        <v>700</v>
      </c>
    </row>
    <row r="135" spans="1:15" x14ac:dyDescent="0.25">
      <c r="A135" s="246">
        <v>25</v>
      </c>
      <c r="B135" s="352" t="s">
        <v>3613</v>
      </c>
      <c r="C135" s="233" t="s">
        <v>1887</v>
      </c>
      <c r="D135" s="233" t="s">
        <v>3260</v>
      </c>
      <c r="E135" s="283" t="s">
        <v>163</v>
      </c>
      <c r="F135" s="230" t="s">
        <v>164</v>
      </c>
      <c r="G135" s="230" t="s">
        <v>44</v>
      </c>
      <c r="H135" s="231" t="s">
        <v>295</v>
      </c>
      <c r="I135" s="450" t="s">
        <v>1911</v>
      </c>
      <c r="J135" s="236">
        <v>10</v>
      </c>
      <c r="K135" s="271">
        <v>100</v>
      </c>
      <c r="L135" s="224" t="s">
        <v>147</v>
      </c>
      <c r="M135" s="224" t="s">
        <v>41</v>
      </c>
      <c r="O135">
        <f t="shared" si="0"/>
        <v>2</v>
      </c>
    </row>
    <row r="136" spans="1:15" x14ac:dyDescent="0.25">
      <c r="A136" s="246">
        <v>25</v>
      </c>
      <c r="B136" s="352" t="s">
        <v>3614</v>
      </c>
      <c r="C136" s="233" t="s">
        <v>3615</v>
      </c>
      <c r="D136" s="233"/>
      <c r="E136" s="230" t="s">
        <v>160</v>
      </c>
      <c r="F136" s="230" t="s">
        <v>1626</v>
      </c>
      <c r="G136" s="230" t="s">
        <v>65</v>
      </c>
      <c r="H136" s="231" t="s">
        <v>3616</v>
      </c>
      <c r="I136" s="233" t="s">
        <v>40</v>
      </c>
      <c r="J136" s="236">
        <v>1000</v>
      </c>
      <c r="K136" s="271">
        <v>200</v>
      </c>
      <c r="L136" s="224" t="s">
        <v>147</v>
      </c>
      <c r="M136" s="224" t="s">
        <v>41</v>
      </c>
      <c r="O136">
        <f t="shared" si="0"/>
        <v>200</v>
      </c>
    </row>
    <row r="137" spans="1:15" x14ac:dyDescent="0.25">
      <c r="A137" s="246">
        <v>25</v>
      </c>
      <c r="B137" s="352" t="s">
        <v>3617</v>
      </c>
      <c r="C137" s="233" t="s">
        <v>2152</v>
      </c>
      <c r="D137" s="233"/>
      <c r="E137" s="230" t="s">
        <v>160</v>
      </c>
      <c r="F137" s="230" t="s">
        <v>1180</v>
      </c>
      <c r="G137" s="230" t="s">
        <v>42</v>
      </c>
      <c r="H137" s="231" t="s">
        <v>3618</v>
      </c>
      <c r="I137" s="450" t="s">
        <v>1911</v>
      </c>
      <c r="J137" s="236">
        <v>20</v>
      </c>
      <c r="K137" s="271">
        <v>200</v>
      </c>
      <c r="L137" s="224" t="s">
        <v>147</v>
      </c>
      <c r="M137" s="224" t="s">
        <v>41</v>
      </c>
      <c r="O137">
        <f t="shared" si="0"/>
        <v>4</v>
      </c>
    </row>
    <row r="138" spans="1:15" x14ac:dyDescent="0.25">
      <c r="A138" s="246">
        <v>25</v>
      </c>
      <c r="B138" s="352" t="s">
        <v>3285</v>
      </c>
      <c r="C138" s="233" t="s">
        <v>3286</v>
      </c>
      <c r="D138" s="230"/>
      <c r="E138" s="230" t="s">
        <v>160</v>
      </c>
      <c r="F138" s="230" t="s">
        <v>180</v>
      </c>
      <c r="G138" s="230" t="s">
        <v>72</v>
      </c>
      <c r="H138" s="231" t="s">
        <v>3287</v>
      </c>
      <c r="I138" s="233" t="s">
        <v>40</v>
      </c>
      <c r="J138" s="236">
        <v>500</v>
      </c>
      <c r="K138" s="271">
        <v>100</v>
      </c>
      <c r="L138" s="224" t="s">
        <v>147</v>
      </c>
      <c r="M138" s="224" t="s">
        <v>41</v>
      </c>
      <c r="O138">
        <f t="shared" si="0"/>
        <v>100</v>
      </c>
    </row>
    <row r="139" spans="1:15" x14ac:dyDescent="0.25">
      <c r="A139" s="246">
        <v>25</v>
      </c>
      <c r="B139" s="352" t="s">
        <v>3619</v>
      </c>
      <c r="C139" s="233" t="s">
        <v>3620</v>
      </c>
      <c r="D139" s="233"/>
      <c r="E139" s="230" t="s">
        <v>160</v>
      </c>
      <c r="F139" s="230" t="s">
        <v>1151</v>
      </c>
      <c r="G139" s="230" t="s">
        <v>49</v>
      </c>
      <c r="H139" s="231"/>
      <c r="I139" s="230" t="s">
        <v>40</v>
      </c>
      <c r="J139" s="236">
        <v>1000</v>
      </c>
      <c r="K139" s="271">
        <v>200</v>
      </c>
      <c r="L139" s="224" t="s">
        <v>147</v>
      </c>
      <c r="M139" s="224" t="s">
        <v>41</v>
      </c>
      <c r="O139">
        <f t="shared" si="0"/>
        <v>200</v>
      </c>
    </row>
    <row r="140" spans="1:15" x14ac:dyDescent="0.25">
      <c r="A140" s="246">
        <v>25</v>
      </c>
      <c r="B140" s="352" t="s">
        <v>1654</v>
      </c>
      <c r="C140" s="233" t="s">
        <v>1655</v>
      </c>
      <c r="D140" s="233"/>
      <c r="E140" s="230" t="s">
        <v>160</v>
      </c>
      <c r="F140" s="230" t="s">
        <v>1792</v>
      </c>
      <c r="G140" s="230" t="s">
        <v>42</v>
      </c>
      <c r="H140" s="231"/>
      <c r="I140" s="233" t="s">
        <v>40</v>
      </c>
      <c r="J140" s="236">
        <v>5000</v>
      </c>
      <c r="K140" s="271">
        <v>1000</v>
      </c>
      <c r="L140" s="224" t="s">
        <v>147</v>
      </c>
      <c r="M140" s="224" t="s">
        <v>41</v>
      </c>
      <c r="O140">
        <f t="shared" si="0"/>
        <v>1000</v>
      </c>
    </row>
    <row r="141" spans="1:15" x14ac:dyDescent="0.25">
      <c r="A141" s="246">
        <v>25</v>
      </c>
      <c r="B141" s="352" t="s">
        <v>3132</v>
      </c>
      <c r="C141" s="233" t="s">
        <v>3621</v>
      </c>
      <c r="D141" s="233"/>
      <c r="E141" s="283" t="s">
        <v>163</v>
      </c>
      <c r="F141" s="230" t="s">
        <v>375</v>
      </c>
      <c r="G141" s="230" t="s">
        <v>43</v>
      </c>
      <c r="H141" s="231" t="s">
        <v>3622</v>
      </c>
      <c r="I141" s="230" t="s">
        <v>40</v>
      </c>
      <c r="J141" s="236">
        <v>4800</v>
      </c>
      <c r="K141" s="271">
        <v>960</v>
      </c>
      <c r="L141" s="224" t="s">
        <v>147</v>
      </c>
      <c r="M141" s="224" t="s">
        <v>41</v>
      </c>
      <c r="O141">
        <f t="shared" si="0"/>
        <v>960</v>
      </c>
    </row>
    <row r="142" spans="1:15" x14ac:dyDescent="0.25">
      <c r="A142" s="246">
        <v>25</v>
      </c>
      <c r="B142" s="352" t="s">
        <v>3623</v>
      </c>
      <c r="C142" s="233" t="s">
        <v>1940</v>
      </c>
      <c r="D142" s="233"/>
      <c r="E142" s="230" t="s">
        <v>160</v>
      </c>
      <c r="F142" s="230" t="s">
        <v>3624</v>
      </c>
      <c r="G142" s="230" t="s">
        <v>79</v>
      </c>
      <c r="H142" s="231" t="s">
        <v>3625</v>
      </c>
      <c r="I142" s="233" t="s">
        <v>40</v>
      </c>
      <c r="J142" s="236">
        <v>500</v>
      </c>
      <c r="K142" s="271">
        <v>100</v>
      </c>
      <c r="L142" s="224" t="s">
        <v>147</v>
      </c>
      <c r="M142" s="224" t="s">
        <v>41</v>
      </c>
      <c r="O142">
        <f t="shared" si="0"/>
        <v>100</v>
      </c>
    </row>
    <row r="143" spans="1:15" x14ac:dyDescent="0.25">
      <c r="A143" s="273">
        <v>25</v>
      </c>
      <c r="B143" s="352" t="s">
        <v>3626</v>
      </c>
      <c r="C143" s="233" t="s">
        <v>3627</v>
      </c>
      <c r="D143" s="233"/>
      <c r="E143" s="230" t="s">
        <v>160</v>
      </c>
      <c r="F143" s="230" t="s">
        <v>191</v>
      </c>
      <c r="G143" s="230" t="s">
        <v>43</v>
      </c>
      <c r="H143" s="231" t="s">
        <v>3628</v>
      </c>
      <c r="I143" s="233" t="s">
        <v>40</v>
      </c>
      <c r="J143" s="236">
        <v>1500</v>
      </c>
      <c r="K143" s="271">
        <v>300</v>
      </c>
      <c r="L143" s="224" t="s">
        <v>147</v>
      </c>
      <c r="M143" s="224" t="s">
        <v>41</v>
      </c>
      <c r="O143">
        <f t="shared" si="0"/>
        <v>300</v>
      </c>
    </row>
    <row r="144" spans="1:15" x14ac:dyDescent="0.25">
      <c r="A144" s="246">
        <v>25</v>
      </c>
      <c r="B144" s="352" t="s">
        <v>3533</v>
      </c>
      <c r="C144" s="233" t="s">
        <v>3636</v>
      </c>
      <c r="D144" s="233"/>
      <c r="E144" s="230" t="s">
        <v>160</v>
      </c>
      <c r="F144" s="230" t="s">
        <v>189</v>
      </c>
      <c r="G144" s="230" t="s">
        <v>54</v>
      </c>
      <c r="H144" s="231" t="s">
        <v>3637</v>
      </c>
      <c r="I144" s="230" t="s">
        <v>40</v>
      </c>
      <c r="J144" s="236">
        <v>100</v>
      </c>
      <c r="K144" s="271">
        <v>20</v>
      </c>
      <c r="L144" s="224" t="s">
        <v>147</v>
      </c>
      <c r="M144" s="224" t="s">
        <v>41</v>
      </c>
      <c r="O144">
        <f t="shared" si="0"/>
        <v>20</v>
      </c>
    </row>
    <row r="145" spans="1:18" x14ac:dyDescent="0.25">
      <c r="A145" s="246">
        <v>25</v>
      </c>
      <c r="B145" s="352" t="s">
        <v>3638</v>
      </c>
      <c r="C145" s="233" t="s">
        <v>2112</v>
      </c>
      <c r="D145" s="233"/>
      <c r="E145" s="230" t="s">
        <v>160</v>
      </c>
      <c r="F145" s="230" t="s">
        <v>523</v>
      </c>
      <c r="G145" s="230" t="s">
        <v>42</v>
      </c>
      <c r="H145" s="231" t="s">
        <v>3639</v>
      </c>
      <c r="I145" s="230" t="s">
        <v>40</v>
      </c>
      <c r="J145" s="236">
        <v>1000</v>
      </c>
      <c r="K145" s="271">
        <v>200</v>
      </c>
      <c r="L145" s="224" t="s">
        <v>147</v>
      </c>
      <c r="M145" s="224" t="s">
        <v>41</v>
      </c>
      <c r="O145">
        <f t="shared" si="0"/>
        <v>200</v>
      </c>
    </row>
    <row r="146" spans="1:18" x14ac:dyDescent="0.25">
      <c r="A146" s="246">
        <v>25</v>
      </c>
      <c r="B146" s="352" t="s">
        <v>3640</v>
      </c>
      <c r="C146" s="233" t="s">
        <v>3641</v>
      </c>
      <c r="D146" s="233"/>
      <c r="E146" s="230" t="s">
        <v>160</v>
      </c>
      <c r="F146" s="230" t="s">
        <v>201</v>
      </c>
      <c r="G146" s="230" t="s">
        <v>45</v>
      </c>
      <c r="H146" s="231" t="s">
        <v>3642</v>
      </c>
      <c r="I146" s="230" t="s">
        <v>40</v>
      </c>
      <c r="J146" s="236">
        <v>800</v>
      </c>
      <c r="K146" s="271">
        <v>160</v>
      </c>
      <c r="L146" s="224" t="s">
        <v>147</v>
      </c>
      <c r="M146" s="224" t="s">
        <v>41</v>
      </c>
      <c r="O146">
        <f t="shared" si="0"/>
        <v>160</v>
      </c>
    </row>
    <row r="147" spans="1:18" x14ac:dyDescent="0.25">
      <c r="A147" s="246">
        <v>25</v>
      </c>
      <c r="B147" s="352" t="s">
        <v>2501</v>
      </c>
      <c r="C147" s="233" t="s">
        <v>1660</v>
      </c>
      <c r="D147" s="233"/>
      <c r="E147" s="230" t="s">
        <v>160</v>
      </c>
      <c r="F147" s="230" t="s">
        <v>189</v>
      </c>
      <c r="G147" s="230" t="s">
        <v>42</v>
      </c>
      <c r="H147" s="231" t="s">
        <v>3643</v>
      </c>
      <c r="I147" s="450" t="s">
        <v>1911</v>
      </c>
      <c r="J147" s="236">
        <v>20</v>
      </c>
      <c r="K147" s="271">
        <v>200</v>
      </c>
      <c r="L147" s="224" t="s">
        <v>147</v>
      </c>
      <c r="M147" s="224" t="s">
        <v>41</v>
      </c>
      <c r="O147">
        <f t="shared" si="0"/>
        <v>4</v>
      </c>
      <c r="R147" s="69">
        <f>SUM(J144:J146,J148:J159,J161:J162)</f>
        <v>28400</v>
      </c>
    </row>
    <row r="148" spans="1:18" x14ac:dyDescent="0.25">
      <c r="A148" s="246">
        <v>26</v>
      </c>
      <c r="B148" s="352" t="s">
        <v>3644</v>
      </c>
      <c r="C148" s="233" t="s">
        <v>3645</v>
      </c>
      <c r="D148" s="233"/>
      <c r="E148" s="230" t="s">
        <v>160</v>
      </c>
      <c r="F148" s="230" t="s">
        <v>1416</v>
      </c>
      <c r="G148" s="230" t="s">
        <v>48</v>
      </c>
      <c r="H148" s="231" t="s">
        <v>3646</v>
      </c>
      <c r="I148" s="233" t="s">
        <v>40</v>
      </c>
      <c r="J148" s="236">
        <v>1000</v>
      </c>
      <c r="K148" s="271">
        <v>200</v>
      </c>
      <c r="L148" s="224" t="s">
        <v>147</v>
      </c>
      <c r="M148" s="224" t="s">
        <v>41</v>
      </c>
      <c r="O148">
        <f t="shared" si="0"/>
        <v>200</v>
      </c>
    </row>
    <row r="149" spans="1:18" x14ac:dyDescent="0.25">
      <c r="A149" s="246">
        <v>26</v>
      </c>
      <c r="B149" s="352" t="s">
        <v>3647</v>
      </c>
      <c r="C149" s="233" t="s">
        <v>3648</v>
      </c>
      <c r="D149" s="233"/>
      <c r="E149" s="230" t="s">
        <v>160</v>
      </c>
      <c r="F149" s="230" t="s">
        <v>897</v>
      </c>
      <c r="G149" s="230" t="s">
        <v>42</v>
      </c>
      <c r="H149" s="231" t="s">
        <v>3649</v>
      </c>
      <c r="I149" s="230" t="s">
        <v>40</v>
      </c>
      <c r="J149" s="236">
        <v>1000</v>
      </c>
      <c r="K149" s="271">
        <v>200</v>
      </c>
      <c r="L149" s="224" t="s">
        <v>147</v>
      </c>
      <c r="M149" s="224" t="s">
        <v>41</v>
      </c>
      <c r="O149">
        <f t="shared" si="0"/>
        <v>200</v>
      </c>
    </row>
    <row r="150" spans="1:18" x14ac:dyDescent="0.25">
      <c r="A150" s="246">
        <v>26</v>
      </c>
      <c r="B150" s="352" t="s">
        <v>1448</v>
      </c>
      <c r="C150" s="233" t="s">
        <v>3650</v>
      </c>
      <c r="D150" s="233"/>
      <c r="E150" s="230" t="s">
        <v>160</v>
      </c>
      <c r="F150" s="230" t="s">
        <v>375</v>
      </c>
      <c r="G150" s="230" t="s">
        <v>43</v>
      </c>
      <c r="H150" s="231" t="s">
        <v>3651</v>
      </c>
      <c r="I150" s="230" t="s">
        <v>40</v>
      </c>
      <c r="J150" s="236">
        <v>50</v>
      </c>
      <c r="K150" s="271">
        <v>15</v>
      </c>
      <c r="L150" s="224" t="s">
        <v>147</v>
      </c>
      <c r="M150" s="224" t="s">
        <v>41</v>
      </c>
      <c r="O150">
        <f t="shared" si="0"/>
        <v>10</v>
      </c>
    </row>
    <row r="151" spans="1:18" x14ac:dyDescent="0.25">
      <c r="A151" s="246">
        <v>26</v>
      </c>
      <c r="B151" s="352" t="s">
        <v>3652</v>
      </c>
      <c r="C151" s="233" t="s">
        <v>3653</v>
      </c>
      <c r="D151" s="233"/>
      <c r="E151" s="230" t="s">
        <v>160</v>
      </c>
      <c r="F151" s="230" t="s">
        <v>203</v>
      </c>
      <c r="G151" s="230" t="s">
        <v>54</v>
      </c>
      <c r="H151" s="231" t="s">
        <v>3654</v>
      </c>
      <c r="I151" s="230" t="s">
        <v>40</v>
      </c>
      <c r="J151" s="236">
        <v>200</v>
      </c>
      <c r="K151" s="271">
        <v>40</v>
      </c>
      <c r="L151" s="224" t="s">
        <v>147</v>
      </c>
      <c r="M151" s="224" t="s">
        <v>41</v>
      </c>
      <c r="O151">
        <f t="shared" si="0"/>
        <v>40</v>
      </c>
    </row>
    <row r="152" spans="1:18" x14ac:dyDescent="0.25">
      <c r="A152" s="246">
        <v>27</v>
      </c>
      <c r="B152" s="352" t="s">
        <v>1775</v>
      </c>
      <c r="C152" s="233" t="s">
        <v>1776</v>
      </c>
      <c r="D152" s="233"/>
      <c r="E152" s="230" t="s">
        <v>160</v>
      </c>
      <c r="F152" s="230" t="s">
        <v>196</v>
      </c>
      <c r="G152" s="230" t="s">
        <v>56</v>
      </c>
      <c r="H152" s="231" t="s">
        <v>3655</v>
      </c>
      <c r="I152" s="233" t="s">
        <v>40</v>
      </c>
      <c r="J152" s="236">
        <v>1000</v>
      </c>
      <c r="K152" s="271">
        <v>200</v>
      </c>
      <c r="L152" s="224" t="s">
        <v>147</v>
      </c>
      <c r="M152" s="224" t="s">
        <v>41</v>
      </c>
      <c r="O152">
        <f t="shared" si="0"/>
        <v>200</v>
      </c>
    </row>
    <row r="153" spans="1:18" x14ac:dyDescent="0.25">
      <c r="A153" s="246">
        <v>27</v>
      </c>
      <c r="B153" s="352" t="s">
        <v>3656</v>
      </c>
      <c r="C153" s="233" t="s">
        <v>3657</v>
      </c>
      <c r="D153" s="233"/>
      <c r="E153" s="230" t="s">
        <v>160</v>
      </c>
      <c r="F153" s="230" t="s">
        <v>2752</v>
      </c>
      <c r="G153" s="230" t="s">
        <v>55</v>
      </c>
      <c r="H153" s="231" t="s">
        <v>3658</v>
      </c>
      <c r="I153" s="233" t="s">
        <v>40</v>
      </c>
      <c r="J153" s="236">
        <v>1000</v>
      </c>
      <c r="K153" s="271">
        <v>200</v>
      </c>
      <c r="L153" s="224" t="s">
        <v>147</v>
      </c>
      <c r="M153" s="224" t="s">
        <v>41</v>
      </c>
      <c r="O153">
        <f t="shared" si="0"/>
        <v>200</v>
      </c>
    </row>
    <row r="154" spans="1:18" x14ac:dyDescent="0.25">
      <c r="A154" s="246">
        <v>27</v>
      </c>
      <c r="B154" s="352" t="s">
        <v>1587</v>
      </c>
      <c r="C154" s="233" t="s">
        <v>3659</v>
      </c>
      <c r="D154" s="233"/>
      <c r="E154" s="230" t="s">
        <v>160</v>
      </c>
      <c r="F154" s="230" t="s">
        <v>1869</v>
      </c>
      <c r="G154" s="230" t="s">
        <v>42</v>
      </c>
      <c r="H154" s="231"/>
      <c r="I154" s="230" t="s">
        <v>40</v>
      </c>
      <c r="J154" s="236">
        <v>750</v>
      </c>
      <c r="K154" s="271">
        <v>150</v>
      </c>
      <c r="L154" s="224" t="s">
        <v>147</v>
      </c>
      <c r="M154" s="224" t="s">
        <v>41</v>
      </c>
      <c r="O154">
        <f t="shared" si="0"/>
        <v>150</v>
      </c>
    </row>
    <row r="155" spans="1:18" x14ac:dyDescent="0.25">
      <c r="A155" s="246">
        <v>27</v>
      </c>
      <c r="B155" s="352" t="s">
        <v>1926</v>
      </c>
      <c r="C155" s="233" t="s">
        <v>3660</v>
      </c>
      <c r="D155" s="233"/>
      <c r="E155" s="230" t="s">
        <v>160</v>
      </c>
      <c r="F155" s="230" t="s">
        <v>1623</v>
      </c>
      <c r="G155" s="230" t="s">
        <v>54</v>
      </c>
      <c r="H155" s="231" t="s">
        <v>3661</v>
      </c>
      <c r="I155" s="230" t="s">
        <v>40</v>
      </c>
      <c r="J155" s="236">
        <v>2000</v>
      </c>
      <c r="K155" s="271">
        <v>400</v>
      </c>
      <c r="L155" s="224" t="s">
        <v>147</v>
      </c>
      <c r="M155" s="224" t="s">
        <v>41</v>
      </c>
      <c r="O155">
        <f t="shared" si="0"/>
        <v>400</v>
      </c>
    </row>
    <row r="156" spans="1:18" x14ac:dyDescent="0.25">
      <c r="A156" s="246">
        <v>27</v>
      </c>
      <c r="B156" s="352" t="s">
        <v>2817</v>
      </c>
      <c r="C156" s="233" t="s">
        <v>1892</v>
      </c>
      <c r="D156" s="233"/>
      <c r="E156" s="230" t="s">
        <v>160</v>
      </c>
      <c r="F156" s="230" t="s">
        <v>1154</v>
      </c>
      <c r="G156" s="230" t="s">
        <v>47</v>
      </c>
      <c r="H156" s="231" t="s">
        <v>3662</v>
      </c>
      <c r="I156" s="233" t="s">
        <v>40</v>
      </c>
      <c r="J156" s="236">
        <v>5000</v>
      </c>
      <c r="K156" s="271">
        <v>1000</v>
      </c>
      <c r="L156" s="224" t="s">
        <v>147</v>
      </c>
      <c r="M156" s="224" t="s">
        <v>41</v>
      </c>
      <c r="O156">
        <f t="shared" si="0"/>
        <v>1000</v>
      </c>
    </row>
    <row r="157" spans="1:18" x14ac:dyDescent="0.25">
      <c r="A157" s="246">
        <v>27</v>
      </c>
      <c r="B157" s="352" t="s">
        <v>3663</v>
      </c>
      <c r="C157" s="233" t="s">
        <v>3664</v>
      </c>
      <c r="D157" s="233"/>
      <c r="E157" s="230" t="s">
        <v>160</v>
      </c>
      <c r="F157" s="230" t="s">
        <v>1810</v>
      </c>
      <c r="G157" s="230" t="s">
        <v>54</v>
      </c>
      <c r="H157" s="231"/>
      <c r="I157" s="230" t="s">
        <v>40</v>
      </c>
      <c r="J157" s="236">
        <v>1500</v>
      </c>
      <c r="K157" s="271">
        <v>300</v>
      </c>
      <c r="L157" s="224" t="s">
        <v>147</v>
      </c>
      <c r="M157" s="224" t="s">
        <v>41</v>
      </c>
      <c r="O157">
        <f t="shared" si="0"/>
        <v>300</v>
      </c>
    </row>
    <row r="158" spans="1:18" x14ac:dyDescent="0.25">
      <c r="A158" s="246">
        <v>27</v>
      </c>
      <c r="B158" s="352" t="s">
        <v>2570</v>
      </c>
      <c r="C158" s="233" t="s">
        <v>3665</v>
      </c>
      <c r="D158" s="233"/>
      <c r="E158" s="230" t="s">
        <v>160</v>
      </c>
      <c r="F158" s="230" t="s">
        <v>2572</v>
      </c>
      <c r="G158" s="230" t="s">
        <v>60</v>
      </c>
      <c r="H158" s="231" t="s">
        <v>3666</v>
      </c>
      <c r="I158" s="233" t="s">
        <v>40</v>
      </c>
      <c r="J158" s="236">
        <v>1500</v>
      </c>
      <c r="K158" s="271">
        <v>300</v>
      </c>
      <c r="L158" s="224" t="s">
        <v>147</v>
      </c>
      <c r="M158" s="224" t="s">
        <v>41</v>
      </c>
      <c r="O158">
        <f t="shared" si="0"/>
        <v>300</v>
      </c>
    </row>
    <row r="159" spans="1:18" x14ac:dyDescent="0.25">
      <c r="A159" s="246">
        <v>27</v>
      </c>
      <c r="B159" s="352" t="s">
        <v>3667</v>
      </c>
      <c r="C159" s="233" t="s">
        <v>3668</v>
      </c>
      <c r="D159" s="233"/>
      <c r="E159" s="230" t="s">
        <v>160</v>
      </c>
      <c r="F159" s="230" t="s">
        <v>388</v>
      </c>
      <c r="G159" s="230" t="s">
        <v>46</v>
      </c>
      <c r="H159" s="231" t="s">
        <v>3669</v>
      </c>
      <c r="I159" s="233" t="s">
        <v>40</v>
      </c>
      <c r="J159" s="236">
        <v>500</v>
      </c>
      <c r="K159" s="271">
        <v>100</v>
      </c>
      <c r="L159" s="224" t="s">
        <v>147</v>
      </c>
      <c r="M159" s="224" t="s">
        <v>41</v>
      </c>
      <c r="O159">
        <f t="shared" si="0"/>
        <v>100</v>
      </c>
    </row>
    <row r="160" spans="1:18" x14ac:dyDescent="0.25">
      <c r="A160" s="246">
        <v>27</v>
      </c>
      <c r="B160" s="352" t="s">
        <v>3667</v>
      </c>
      <c r="C160" s="233" t="s">
        <v>3668</v>
      </c>
      <c r="D160" s="233"/>
      <c r="E160" s="230" t="s">
        <v>160</v>
      </c>
      <c r="F160" s="230" t="s">
        <v>388</v>
      </c>
      <c r="G160" s="230" t="s">
        <v>46</v>
      </c>
      <c r="H160" s="231" t="s">
        <v>3669</v>
      </c>
      <c r="I160" s="450" t="s">
        <v>1911</v>
      </c>
      <c r="J160" s="236">
        <v>20</v>
      </c>
      <c r="K160" s="271">
        <v>200</v>
      </c>
      <c r="L160" s="224" t="s">
        <v>147</v>
      </c>
      <c r="M160" s="224" t="s">
        <v>41</v>
      </c>
      <c r="O160">
        <f t="shared" si="0"/>
        <v>4</v>
      </c>
    </row>
    <row r="161" spans="1:15" x14ac:dyDescent="0.25">
      <c r="A161" s="246">
        <v>27</v>
      </c>
      <c r="B161" s="352" t="s">
        <v>3067</v>
      </c>
      <c r="C161" s="233" t="s">
        <v>1711</v>
      </c>
      <c r="D161" s="233"/>
      <c r="E161" s="230" t="s">
        <v>160</v>
      </c>
      <c r="F161" s="230" t="s">
        <v>267</v>
      </c>
      <c r="G161" s="230" t="s">
        <v>53</v>
      </c>
      <c r="H161" s="231"/>
      <c r="I161" s="230" t="s">
        <v>40</v>
      </c>
      <c r="J161" s="236">
        <v>8000</v>
      </c>
      <c r="K161" s="271">
        <v>1600</v>
      </c>
      <c r="L161" s="224" t="s">
        <v>147</v>
      </c>
      <c r="M161" s="224" t="s">
        <v>41</v>
      </c>
      <c r="O161">
        <f t="shared" si="0"/>
        <v>1600</v>
      </c>
    </row>
    <row r="162" spans="1:15" x14ac:dyDescent="0.25">
      <c r="A162" s="246">
        <v>27</v>
      </c>
      <c r="B162" s="352" t="s">
        <v>3285</v>
      </c>
      <c r="C162" s="233" t="s">
        <v>3286</v>
      </c>
      <c r="D162" s="233"/>
      <c r="E162" s="230" t="s">
        <v>160</v>
      </c>
      <c r="F162" s="230" t="s">
        <v>180</v>
      </c>
      <c r="G162" s="230" t="s">
        <v>72</v>
      </c>
      <c r="H162" s="231" t="s">
        <v>3287</v>
      </c>
      <c r="I162" s="233" t="s">
        <v>40</v>
      </c>
      <c r="J162" s="236">
        <v>3000</v>
      </c>
      <c r="K162" s="271">
        <v>600</v>
      </c>
      <c r="L162" s="224" t="s">
        <v>147</v>
      </c>
      <c r="M162" s="224" t="s">
        <v>41</v>
      </c>
      <c r="O162">
        <f t="shared" si="0"/>
        <v>600</v>
      </c>
    </row>
    <row r="163" spans="1:15" x14ac:dyDescent="0.25">
      <c r="A163" s="246">
        <v>28</v>
      </c>
      <c r="B163" s="352" t="s">
        <v>3670</v>
      </c>
      <c r="C163" s="233" t="s">
        <v>3671</v>
      </c>
      <c r="D163" s="233"/>
      <c r="E163" s="283" t="s">
        <v>163</v>
      </c>
      <c r="F163" s="230" t="s">
        <v>3209</v>
      </c>
      <c r="G163" s="230" t="s">
        <v>64</v>
      </c>
      <c r="H163" s="231"/>
      <c r="I163" s="233" t="s">
        <v>40</v>
      </c>
      <c r="J163" s="236">
        <v>1000</v>
      </c>
      <c r="K163" s="271" t="s">
        <v>152</v>
      </c>
      <c r="L163" s="224" t="s">
        <v>147</v>
      </c>
      <c r="M163" s="224" t="s">
        <v>41</v>
      </c>
      <c r="O163">
        <f t="shared" si="0"/>
        <v>200</v>
      </c>
    </row>
    <row r="164" spans="1:15" x14ac:dyDescent="0.25">
      <c r="A164" s="246">
        <v>28</v>
      </c>
      <c r="B164" s="352" t="s">
        <v>1871</v>
      </c>
      <c r="C164" s="233" t="s">
        <v>1872</v>
      </c>
      <c r="D164" s="233"/>
      <c r="E164" s="230" t="s">
        <v>160</v>
      </c>
      <c r="F164" s="230" t="s">
        <v>529</v>
      </c>
      <c r="G164" s="230" t="s">
        <v>57</v>
      </c>
      <c r="H164" s="231" t="s">
        <v>536</v>
      </c>
      <c r="I164" s="230" t="s">
        <v>40</v>
      </c>
      <c r="J164" s="236">
        <v>7000</v>
      </c>
      <c r="K164" s="271" t="s">
        <v>152</v>
      </c>
      <c r="L164" s="224" t="s">
        <v>147</v>
      </c>
      <c r="M164" s="224" t="s">
        <v>41</v>
      </c>
      <c r="O164">
        <f t="shared" si="0"/>
        <v>1400</v>
      </c>
    </row>
    <row r="165" spans="1:15" x14ac:dyDescent="0.25">
      <c r="A165" s="273">
        <v>28</v>
      </c>
      <c r="B165" s="352" t="s">
        <v>3673</v>
      </c>
      <c r="C165" s="233" t="s">
        <v>3674</v>
      </c>
      <c r="D165" s="233"/>
      <c r="E165" s="283" t="s">
        <v>163</v>
      </c>
      <c r="F165" s="230"/>
      <c r="G165" s="230" t="s">
        <v>84</v>
      </c>
      <c r="H165" s="231" t="s">
        <v>3672</v>
      </c>
      <c r="I165" s="233" t="s">
        <v>40</v>
      </c>
      <c r="J165" s="236">
        <v>9500</v>
      </c>
      <c r="K165" s="271" t="s">
        <v>152</v>
      </c>
      <c r="L165" s="224" t="s">
        <v>147</v>
      </c>
      <c r="M165" s="224" t="s">
        <v>41</v>
      </c>
      <c r="O165">
        <f t="shared" si="0"/>
        <v>1900</v>
      </c>
    </row>
    <row r="166" spans="1:15" x14ac:dyDescent="0.25">
      <c r="A166" s="246"/>
      <c r="B166" s="352"/>
      <c r="C166" s="233"/>
      <c r="D166" s="233"/>
      <c r="E166" s="230"/>
      <c r="F166" s="230"/>
      <c r="G166" s="230"/>
      <c r="H166" s="231"/>
      <c r="I166" s="233"/>
      <c r="J166" s="236"/>
      <c r="K166" s="271"/>
      <c r="L166" s="224" t="s">
        <v>147</v>
      </c>
      <c r="M166" s="224" t="s">
        <v>41</v>
      </c>
      <c r="O166">
        <f t="shared" si="0"/>
        <v>0</v>
      </c>
    </row>
    <row r="167" spans="1:15" x14ac:dyDescent="0.25">
      <c r="A167" s="246"/>
      <c r="B167" s="352"/>
      <c r="C167" s="233"/>
      <c r="D167" s="233"/>
      <c r="E167" s="230"/>
      <c r="F167" s="230"/>
      <c r="G167" s="230"/>
      <c r="H167" s="231"/>
      <c r="I167" s="233"/>
      <c r="J167" s="236"/>
      <c r="K167" s="271"/>
      <c r="L167" s="224" t="s">
        <v>147</v>
      </c>
      <c r="M167" s="224" t="s">
        <v>41</v>
      </c>
      <c r="O167">
        <f t="shared" si="0"/>
        <v>0</v>
      </c>
    </row>
    <row r="168" spans="1:15" x14ac:dyDescent="0.25">
      <c r="A168" s="246"/>
      <c r="B168" s="352"/>
      <c r="C168" s="233"/>
      <c r="D168" s="233"/>
      <c r="E168" s="230"/>
      <c r="F168" s="230"/>
      <c r="G168" s="230"/>
      <c r="H168" s="231"/>
      <c r="I168" s="230"/>
      <c r="J168" s="236"/>
      <c r="K168" s="271"/>
      <c r="L168" s="224" t="s">
        <v>147</v>
      </c>
      <c r="M168" s="224" t="s">
        <v>41</v>
      </c>
      <c r="O168">
        <f t="shared" si="0"/>
        <v>0</v>
      </c>
    </row>
    <row r="169" spans="1:15" x14ac:dyDescent="0.25">
      <c r="A169" s="246"/>
      <c r="B169" s="352"/>
      <c r="C169" s="233"/>
      <c r="D169" s="233"/>
      <c r="E169" s="230"/>
      <c r="F169" s="230"/>
      <c r="G169" s="230"/>
      <c r="H169" s="231"/>
      <c r="I169" s="233"/>
      <c r="J169" s="236"/>
      <c r="K169" s="271"/>
      <c r="L169" s="224" t="s">
        <v>147</v>
      </c>
      <c r="M169" s="224" t="s">
        <v>41</v>
      </c>
      <c r="O169">
        <f t="shared" si="0"/>
        <v>0</v>
      </c>
    </row>
    <row r="170" spans="1:15" x14ac:dyDescent="0.25">
      <c r="A170" s="246"/>
      <c r="B170" s="352"/>
      <c r="C170" s="233"/>
      <c r="D170" s="233"/>
      <c r="E170" s="230"/>
      <c r="F170" s="230"/>
      <c r="G170" s="230"/>
      <c r="H170" s="231"/>
      <c r="I170" s="230"/>
      <c r="J170" s="236"/>
      <c r="K170" s="271"/>
      <c r="L170" s="224" t="s">
        <v>147</v>
      </c>
      <c r="M170" s="224" t="s">
        <v>41</v>
      </c>
      <c r="O170">
        <f t="shared" si="0"/>
        <v>0</v>
      </c>
    </row>
    <row r="171" spans="1:15" x14ac:dyDescent="0.25">
      <c r="A171" s="246"/>
      <c r="B171" s="352"/>
      <c r="C171" s="233"/>
      <c r="D171" s="233"/>
      <c r="E171" s="230"/>
      <c r="F171" s="230"/>
      <c r="G171" s="230"/>
      <c r="H171" s="231"/>
      <c r="I171" s="233"/>
      <c r="J171" s="236"/>
      <c r="K171" s="271"/>
      <c r="L171" s="224" t="s">
        <v>147</v>
      </c>
      <c r="M171" s="224" t="s">
        <v>41</v>
      </c>
      <c r="O171">
        <f t="shared" si="0"/>
        <v>0</v>
      </c>
    </row>
    <row r="172" spans="1:15" x14ac:dyDescent="0.25">
      <c r="A172" s="246"/>
      <c r="B172" s="352"/>
      <c r="C172" s="233"/>
      <c r="D172" s="233"/>
      <c r="E172" s="230"/>
      <c r="F172" s="230"/>
      <c r="G172" s="230"/>
      <c r="H172" s="231"/>
      <c r="I172" s="233"/>
      <c r="J172" s="236"/>
      <c r="K172" s="271"/>
      <c r="L172" s="224" t="s">
        <v>147</v>
      </c>
      <c r="M172" s="224" t="s">
        <v>41</v>
      </c>
      <c r="O172">
        <f t="shared" si="0"/>
        <v>0</v>
      </c>
    </row>
    <row r="173" spans="1:15" x14ac:dyDescent="0.25">
      <c r="A173" s="246"/>
      <c r="B173" s="352"/>
      <c r="C173" s="233"/>
      <c r="D173" s="233"/>
      <c r="E173" s="230"/>
      <c r="F173" s="230"/>
      <c r="G173" s="230"/>
      <c r="H173" s="231"/>
      <c r="I173" s="230"/>
      <c r="J173" s="236"/>
      <c r="K173" s="271"/>
      <c r="L173" s="224" t="s">
        <v>147</v>
      </c>
      <c r="M173" s="224" t="s">
        <v>41</v>
      </c>
      <c r="O173">
        <f t="shared" si="0"/>
        <v>0</v>
      </c>
    </row>
    <row r="174" spans="1:15" x14ac:dyDescent="0.25">
      <c r="A174" s="246"/>
      <c r="B174" s="352"/>
      <c r="C174" s="233"/>
      <c r="D174" s="233"/>
      <c r="E174" s="230"/>
      <c r="F174" s="230"/>
      <c r="G174" s="230"/>
      <c r="H174" s="231"/>
      <c r="I174" s="230"/>
      <c r="J174" s="236"/>
      <c r="K174" s="271"/>
      <c r="L174" s="224" t="s">
        <v>147</v>
      </c>
      <c r="M174" s="224" t="s">
        <v>41</v>
      </c>
      <c r="O174">
        <f t="shared" si="0"/>
        <v>0</v>
      </c>
    </row>
    <row r="175" spans="1:15" x14ac:dyDescent="0.25">
      <c r="A175" s="246"/>
      <c r="B175" s="352"/>
      <c r="C175" s="233"/>
      <c r="D175" s="233"/>
      <c r="E175" s="230"/>
      <c r="F175" s="230"/>
      <c r="G175" s="230"/>
      <c r="H175" s="231"/>
      <c r="I175" s="233"/>
      <c r="J175" s="236"/>
      <c r="K175" s="271"/>
      <c r="L175" s="224" t="s">
        <v>147</v>
      </c>
      <c r="M175" s="224" t="s">
        <v>41</v>
      </c>
      <c r="O175">
        <f t="shared" si="0"/>
        <v>0</v>
      </c>
    </row>
    <row r="176" spans="1:15" x14ac:dyDescent="0.25">
      <c r="A176" s="246"/>
      <c r="B176" s="352"/>
      <c r="C176" s="233"/>
      <c r="D176" s="233"/>
      <c r="E176" s="230"/>
      <c r="F176" s="230"/>
      <c r="G176" s="230"/>
      <c r="H176" s="231"/>
      <c r="I176" s="230"/>
      <c r="J176" s="236"/>
      <c r="K176" s="271"/>
      <c r="L176" s="224" t="s">
        <v>147</v>
      </c>
      <c r="M176" s="224" t="s">
        <v>41</v>
      </c>
      <c r="O176">
        <f t="shared" si="0"/>
        <v>0</v>
      </c>
    </row>
    <row r="177" spans="1:15" x14ac:dyDescent="0.25">
      <c r="A177" s="246"/>
      <c r="B177" s="352"/>
      <c r="C177" s="233"/>
      <c r="D177" s="233"/>
      <c r="E177" s="230"/>
      <c r="F177" s="230"/>
      <c r="G177" s="230"/>
      <c r="H177" s="231"/>
      <c r="I177" s="233"/>
      <c r="J177" s="236"/>
      <c r="K177" s="271"/>
      <c r="L177" s="224" t="s">
        <v>147</v>
      </c>
      <c r="M177" s="224" t="s">
        <v>41</v>
      </c>
      <c r="O177">
        <f t="shared" si="0"/>
        <v>0</v>
      </c>
    </row>
    <row r="178" spans="1:15" x14ac:dyDescent="0.25">
      <c r="A178" s="246"/>
      <c r="B178" s="352"/>
      <c r="C178" s="233"/>
      <c r="D178" s="233"/>
      <c r="E178" s="230"/>
      <c r="F178" s="230"/>
      <c r="G178" s="230"/>
      <c r="H178" s="231"/>
      <c r="I178" s="230"/>
      <c r="J178" s="236"/>
      <c r="K178" s="271"/>
      <c r="L178" s="224" t="s">
        <v>147</v>
      </c>
      <c r="M178" s="224" t="s">
        <v>41</v>
      </c>
      <c r="O178">
        <f t="shared" si="0"/>
        <v>0</v>
      </c>
    </row>
    <row r="179" spans="1:15" x14ac:dyDescent="0.25">
      <c r="A179" s="246"/>
      <c r="B179" s="352"/>
      <c r="C179" s="233"/>
      <c r="D179" s="233"/>
      <c r="E179" s="230"/>
      <c r="F179" s="230"/>
      <c r="G179" s="230"/>
      <c r="H179" s="231"/>
      <c r="I179" s="230"/>
      <c r="J179" s="236"/>
      <c r="K179" s="271"/>
      <c r="L179" s="224" t="s">
        <v>147</v>
      </c>
      <c r="M179" s="224" t="s">
        <v>41</v>
      </c>
      <c r="O179">
        <f t="shared" si="0"/>
        <v>0</v>
      </c>
    </row>
    <row r="180" spans="1:15" x14ac:dyDescent="0.25">
      <c r="A180" s="246"/>
      <c r="B180" s="352"/>
      <c r="C180" s="233"/>
      <c r="D180" s="233"/>
      <c r="E180" s="230"/>
      <c r="F180" s="230"/>
      <c r="G180" s="230"/>
      <c r="H180" s="231"/>
      <c r="I180" s="230"/>
      <c r="J180" s="236"/>
      <c r="K180" s="271"/>
      <c r="L180" s="224" t="s">
        <v>147</v>
      </c>
      <c r="M180" s="224" t="s">
        <v>41</v>
      </c>
      <c r="O180">
        <f t="shared" si="0"/>
        <v>0</v>
      </c>
    </row>
    <row r="181" spans="1:15" x14ac:dyDescent="0.25">
      <c r="A181" s="246"/>
      <c r="B181" s="352"/>
      <c r="C181" s="233"/>
      <c r="D181" s="233"/>
      <c r="E181" s="230"/>
      <c r="F181" s="230"/>
      <c r="G181" s="230"/>
      <c r="H181" s="231"/>
      <c r="I181" s="230"/>
      <c r="J181" s="236"/>
      <c r="K181" s="271"/>
      <c r="L181" s="224" t="s">
        <v>147</v>
      </c>
      <c r="M181" s="224" t="s">
        <v>41</v>
      </c>
      <c r="O181">
        <f t="shared" si="0"/>
        <v>0</v>
      </c>
    </row>
    <row r="182" spans="1:15" x14ac:dyDescent="0.25">
      <c r="A182" s="246"/>
      <c r="B182" s="352"/>
      <c r="C182" s="233"/>
      <c r="D182" s="233"/>
      <c r="E182" s="230"/>
      <c r="F182" s="230"/>
      <c r="G182" s="230"/>
      <c r="H182" s="231"/>
      <c r="I182" s="230"/>
      <c r="J182" s="236"/>
      <c r="K182" s="271"/>
      <c r="L182" s="224" t="s">
        <v>147</v>
      </c>
      <c r="M182" s="224" t="s">
        <v>41</v>
      </c>
      <c r="O182">
        <f t="shared" si="0"/>
        <v>0</v>
      </c>
    </row>
    <row r="183" spans="1:15" x14ac:dyDescent="0.25">
      <c r="A183" s="246"/>
      <c r="B183" s="352"/>
      <c r="C183" s="233"/>
      <c r="D183" s="233"/>
      <c r="E183" s="230"/>
      <c r="F183" s="230"/>
      <c r="G183" s="230"/>
      <c r="H183" s="231"/>
      <c r="I183" s="230"/>
      <c r="J183" s="236"/>
      <c r="K183" s="271"/>
      <c r="L183" s="224" t="s">
        <v>147</v>
      </c>
      <c r="M183" s="224" t="s">
        <v>41</v>
      </c>
      <c r="O183">
        <f t="shared" si="0"/>
        <v>0</v>
      </c>
    </row>
    <row r="184" spans="1:15" x14ac:dyDescent="0.25">
      <c r="A184" s="246"/>
      <c r="B184" s="352"/>
      <c r="C184" s="233"/>
      <c r="D184" s="233"/>
      <c r="E184" s="230"/>
      <c r="F184" s="230"/>
      <c r="G184" s="230"/>
      <c r="H184" s="231"/>
      <c r="I184" s="233"/>
      <c r="J184" s="236"/>
      <c r="K184" s="271"/>
      <c r="L184" s="224" t="s">
        <v>147</v>
      </c>
      <c r="M184" s="224" t="s">
        <v>41</v>
      </c>
      <c r="O184">
        <f t="shared" si="0"/>
        <v>0</v>
      </c>
    </row>
    <row r="185" spans="1:15" x14ac:dyDescent="0.25">
      <c r="A185" s="246"/>
      <c r="B185" s="352"/>
      <c r="C185" s="233"/>
      <c r="D185" s="233"/>
      <c r="E185" s="230"/>
      <c r="F185" s="230"/>
      <c r="G185" s="230"/>
      <c r="H185" s="231"/>
      <c r="I185" s="230"/>
      <c r="J185" s="236"/>
      <c r="K185" s="271"/>
      <c r="L185" s="224" t="s">
        <v>147</v>
      </c>
      <c r="M185" s="224" t="s">
        <v>41</v>
      </c>
      <c r="O185">
        <f t="shared" si="0"/>
        <v>0</v>
      </c>
    </row>
    <row r="186" spans="1:15" x14ac:dyDescent="0.25">
      <c r="A186" s="246"/>
      <c r="B186" s="352"/>
      <c r="C186" s="233"/>
      <c r="D186" s="233"/>
      <c r="E186" s="230"/>
      <c r="F186" s="230"/>
      <c r="G186" s="230"/>
      <c r="H186" s="231"/>
      <c r="I186" s="233"/>
      <c r="J186" s="236"/>
      <c r="K186" s="271"/>
      <c r="L186" s="224" t="s">
        <v>147</v>
      </c>
      <c r="M186" s="224" t="s">
        <v>41</v>
      </c>
      <c r="O186">
        <f t="shared" si="0"/>
        <v>0</v>
      </c>
    </row>
    <row r="187" spans="1:15" x14ac:dyDescent="0.25">
      <c r="A187" s="246"/>
      <c r="B187" s="352"/>
      <c r="C187" s="233"/>
      <c r="D187" s="233"/>
      <c r="E187" s="230"/>
      <c r="F187" s="230"/>
      <c r="G187" s="230"/>
      <c r="H187" s="231"/>
      <c r="I187" s="233"/>
      <c r="J187" s="236"/>
      <c r="K187" s="271"/>
      <c r="L187" s="224" t="s">
        <v>147</v>
      </c>
      <c r="M187" s="224" t="s">
        <v>41</v>
      </c>
      <c r="O187">
        <f t="shared" si="0"/>
        <v>0</v>
      </c>
    </row>
    <row r="188" spans="1:15" x14ac:dyDescent="0.25">
      <c r="A188" s="246"/>
      <c r="B188" s="352"/>
      <c r="C188" s="233"/>
      <c r="D188" s="233"/>
      <c r="E188" s="230"/>
      <c r="F188" s="230"/>
      <c r="G188" s="230"/>
      <c r="H188" s="231"/>
      <c r="I188" s="230"/>
      <c r="J188" s="236"/>
      <c r="K188" s="271"/>
      <c r="L188" s="224" t="s">
        <v>147</v>
      </c>
      <c r="M188" s="224" t="s">
        <v>41</v>
      </c>
      <c r="O188">
        <f t="shared" si="0"/>
        <v>0</v>
      </c>
    </row>
    <row r="189" spans="1:15" x14ac:dyDescent="0.25">
      <c r="A189" s="246"/>
      <c r="B189" s="352"/>
      <c r="C189" s="233"/>
      <c r="D189" s="233"/>
      <c r="E189" s="230"/>
      <c r="F189" s="230"/>
      <c r="G189" s="230"/>
      <c r="H189" s="231"/>
      <c r="I189" s="233"/>
      <c r="J189" s="236"/>
      <c r="K189" s="271"/>
      <c r="L189" s="224" t="s">
        <v>147</v>
      </c>
      <c r="M189" s="224" t="s">
        <v>41</v>
      </c>
      <c r="O189">
        <f t="shared" si="0"/>
        <v>0</v>
      </c>
    </row>
    <row r="190" spans="1:15" x14ac:dyDescent="0.25">
      <c r="A190" s="246"/>
      <c r="B190" s="352"/>
      <c r="C190" s="233"/>
      <c r="D190" s="233"/>
      <c r="E190" s="230"/>
      <c r="F190" s="230"/>
      <c r="G190" s="230"/>
      <c r="H190" s="231"/>
      <c r="I190" s="230"/>
      <c r="J190" s="236"/>
      <c r="K190" s="271"/>
      <c r="L190" s="224" t="s">
        <v>147</v>
      </c>
      <c r="M190" s="224" t="s">
        <v>41</v>
      </c>
      <c r="O190">
        <f t="shared" si="0"/>
        <v>0</v>
      </c>
    </row>
    <row r="191" spans="1:15" x14ac:dyDescent="0.25">
      <c r="A191" s="246"/>
      <c r="B191" s="352"/>
      <c r="C191" s="233"/>
      <c r="D191" s="233"/>
      <c r="E191" s="230"/>
      <c r="F191" s="230"/>
      <c r="G191" s="230"/>
      <c r="H191" s="231"/>
      <c r="I191" s="233"/>
      <c r="J191" s="236"/>
      <c r="K191" s="271"/>
      <c r="L191" s="224" t="s">
        <v>147</v>
      </c>
      <c r="M191" s="224" t="s">
        <v>41</v>
      </c>
      <c r="O191">
        <f t="shared" si="0"/>
        <v>0</v>
      </c>
    </row>
    <row r="192" spans="1:15" x14ac:dyDescent="0.25">
      <c r="A192" s="246"/>
      <c r="B192" s="352"/>
      <c r="C192" s="233"/>
      <c r="D192" s="233"/>
      <c r="E192" s="230"/>
      <c r="F192" s="230"/>
      <c r="G192" s="230"/>
      <c r="H192" s="231"/>
      <c r="I192" s="233"/>
      <c r="J192" s="236"/>
      <c r="K192" s="271"/>
      <c r="L192" s="224" t="s">
        <v>147</v>
      </c>
      <c r="M192" s="224" t="s">
        <v>41</v>
      </c>
      <c r="O192">
        <f t="shared" si="0"/>
        <v>0</v>
      </c>
    </row>
    <row r="193" spans="1:15" x14ac:dyDescent="0.25">
      <c r="A193" s="246"/>
      <c r="B193" s="352"/>
      <c r="C193" s="233"/>
      <c r="D193" s="233"/>
      <c r="E193" s="230"/>
      <c r="F193" s="230"/>
      <c r="G193" s="230"/>
      <c r="H193" s="231"/>
      <c r="I193" s="230"/>
      <c r="J193" s="236"/>
      <c r="K193" s="271"/>
      <c r="L193" s="224" t="s">
        <v>147</v>
      </c>
      <c r="M193" s="224" t="s">
        <v>41</v>
      </c>
      <c r="O193">
        <f t="shared" si="0"/>
        <v>0</v>
      </c>
    </row>
    <row r="194" spans="1:15" x14ac:dyDescent="0.25">
      <c r="A194" s="246"/>
      <c r="B194" s="352"/>
      <c r="C194" s="233"/>
      <c r="D194" s="233"/>
      <c r="E194" s="230"/>
      <c r="F194" s="230"/>
      <c r="G194" s="230"/>
      <c r="H194" s="231"/>
      <c r="I194" s="233"/>
      <c r="J194" s="236"/>
      <c r="K194" s="271"/>
      <c r="L194" s="224" t="s">
        <v>147</v>
      </c>
      <c r="M194" s="224" t="s">
        <v>41</v>
      </c>
      <c r="O194">
        <f t="shared" si="0"/>
        <v>0</v>
      </c>
    </row>
    <row r="195" spans="1:15" x14ac:dyDescent="0.25">
      <c r="A195" s="246"/>
      <c r="B195" s="352"/>
      <c r="C195" s="233"/>
      <c r="D195" s="233"/>
      <c r="E195" s="230"/>
      <c r="F195" s="230"/>
      <c r="G195" s="230"/>
      <c r="H195" s="231"/>
      <c r="I195" s="230"/>
      <c r="J195" s="236"/>
      <c r="K195" s="271"/>
      <c r="L195" s="224" t="s">
        <v>147</v>
      </c>
      <c r="M195" s="224" t="s">
        <v>41</v>
      </c>
      <c r="O195">
        <f t="shared" si="0"/>
        <v>0</v>
      </c>
    </row>
    <row r="196" spans="1:15" x14ac:dyDescent="0.25">
      <c r="A196" s="246"/>
      <c r="B196" s="352"/>
      <c r="C196" s="233"/>
      <c r="D196" s="233"/>
      <c r="E196" s="230"/>
      <c r="F196" s="230"/>
      <c r="G196" s="230"/>
      <c r="H196" s="231"/>
      <c r="I196" s="233"/>
      <c r="J196" s="236"/>
      <c r="K196" s="271"/>
      <c r="L196" s="224" t="s">
        <v>147</v>
      </c>
      <c r="M196" s="224" t="s">
        <v>41</v>
      </c>
      <c r="O196">
        <f t="shared" si="0"/>
        <v>0</v>
      </c>
    </row>
    <row r="197" spans="1:15" x14ac:dyDescent="0.25">
      <c r="A197" s="246"/>
      <c r="B197" s="352"/>
      <c r="C197" s="233"/>
      <c r="D197" s="233"/>
      <c r="E197" s="230"/>
      <c r="F197" s="230"/>
      <c r="G197" s="230"/>
      <c r="H197" s="231"/>
      <c r="I197" s="233"/>
      <c r="J197" s="236"/>
      <c r="K197" s="271"/>
      <c r="L197" s="224" t="s">
        <v>147</v>
      </c>
      <c r="M197" s="224" t="s">
        <v>41</v>
      </c>
      <c r="O197">
        <f t="shared" si="0"/>
        <v>0</v>
      </c>
    </row>
    <row r="198" spans="1:15" x14ac:dyDescent="0.25">
      <c r="A198" s="246"/>
      <c r="B198" s="352"/>
      <c r="C198" s="233"/>
      <c r="D198" s="233"/>
      <c r="E198" s="230"/>
      <c r="F198" s="230"/>
      <c r="G198" s="230"/>
      <c r="H198" s="231"/>
      <c r="I198" s="230"/>
      <c r="J198" s="236"/>
      <c r="K198" s="271"/>
      <c r="L198" s="224" t="s">
        <v>147</v>
      </c>
      <c r="M198" s="224" t="s">
        <v>41</v>
      </c>
      <c r="O198">
        <f t="shared" si="0"/>
        <v>0</v>
      </c>
    </row>
    <row r="199" spans="1:15" x14ac:dyDescent="0.25">
      <c r="A199" s="246"/>
      <c r="B199" s="352"/>
      <c r="C199" s="233"/>
      <c r="D199" s="233"/>
      <c r="E199" s="230"/>
      <c r="F199" s="230"/>
      <c r="G199" s="230"/>
      <c r="H199" s="231"/>
      <c r="I199" s="230"/>
      <c r="J199" s="236"/>
      <c r="K199" s="271"/>
      <c r="L199" s="224" t="s">
        <v>147</v>
      </c>
      <c r="M199" s="224" t="s">
        <v>41</v>
      </c>
      <c r="O199">
        <f t="shared" si="0"/>
        <v>0</v>
      </c>
    </row>
    <row r="200" spans="1:15" x14ac:dyDescent="0.25">
      <c r="A200" s="246"/>
      <c r="B200" s="352"/>
      <c r="C200" s="233"/>
      <c r="D200" s="233"/>
      <c r="E200" s="230"/>
      <c r="F200" s="230"/>
      <c r="G200" s="230"/>
      <c r="H200" s="231"/>
      <c r="I200" s="233"/>
      <c r="J200" s="236"/>
      <c r="K200" s="271"/>
      <c r="L200" s="224" t="s">
        <v>147</v>
      </c>
      <c r="M200" s="224" t="s">
        <v>41</v>
      </c>
      <c r="O200">
        <f t="shared" si="0"/>
        <v>0</v>
      </c>
    </row>
    <row r="201" spans="1:15" x14ac:dyDescent="0.25">
      <c r="A201" s="246"/>
      <c r="B201" s="352"/>
      <c r="C201" s="233"/>
      <c r="D201" s="233"/>
      <c r="E201" s="230"/>
      <c r="F201" s="230"/>
      <c r="G201" s="230"/>
      <c r="H201" s="231"/>
      <c r="I201" s="230"/>
      <c r="J201" s="236"/>
      <c r="K201" s="271"/>
      <c r="L201" s="224" t="s">
        <v>147</v>
      </c>
      <c r="M201" s="224" t="s">
        <v>41</v>
      </c>
      <c r="O201">
        <f t="shared" si="0"/>
        <v>0</v>
      </c>
    </row>
    <row r="202" spans="1:15" x14ac:dyDescent="0.25">
      <c r="A202" s="246"/>
      <c r="B202" s="352"/>
      <c r="C202" s="233"/>
      <c r="D202" s="233"/>
      <c r="E202" s="230"/>
      <c r="F202" s="230"/>
      <c r="G202" s="230"/>
      <c r="H202" s="231"/>
      <c r="I202" s="233"/>
      <c r="J202" s="236"/>
      <c r="K202" s="271"/>
      <c r="L202" s="224" t="s">
        <v>147</v>
      </c>
      <c r="M202" s="224" t="s">
        <v>41</v>
      </c>
      <c r="O202">
        <f t="shared" si="0"/>
        <v>0</v>
      </c>
    </row>
    <row r="203" spans="1:15" x14ac:dyDescent="0.25">
      <c r="A203" s="246"/>
      <c r="B203" s="352"/>
      <c r="C203" s="233"/>
      <c r="D203" s="233"/>
      <c r="E203" s="230"/>
      <c r="F203" s="230"/>
      <c r="G203" s="230"/>
      <c r="H203" s="231"/>
      <c r="I203" s="233"/>
      <c r="J203" s="236"/>
      <c r="K203" s="271"/>
      <c r="L203" s="224" t="s">
        <v>147</v>
      </c>
      <c r="M203" s="224" t="s">
        <v>41</v>
      </c>
    </row>
    <row r="204" spans="1:15" x14ac:dyDescent="0.25">
      <c r="A204" s="246"/>
      <c r="B204" s="352"/>
      <c r="C204" s="233"/>
      <c r="D204" s="233"/>
      <c r="E204" s="230"/>
      <c r="F204" s="230"/>
      <c r="G204" s="230"/>
      <c r="H204" s="231"/>
      <c r="I204" s="230"/>
      <c r="J204" s="236"/>
      <c r="K204" s="271"/>
      <c r="L204" s="224" t="s">
        <v>147</v>
      </c>
      <c r="M204" s="224" t="s">
        <v>41</v>
      </c>
    </row>
    <row r="205" spans="1:15" x14ac:dyDescent="0.25">
      <c r="A205" s="246"/>
      <c r="B205" s="352"/>
      <c r="C205" s="233"/>
      <c r="D205" s="233"/>
      <c r="E205" s="230"/>
      <c r="F205" s="230"/>
      <c r="G205" s="230"/>
      <c r="H205" s="231"/>
      <c r="I205" s="233"/>
      <c r="J205" s="236"/>
      <c r="K205" s="271"/>
      <c r="L205" s="224" t="s">
        <v>147</v>
      </c>
      <c r="M205" s="224" t="s">
        <v>41</v>
      </c>
    </row>
    <row r="206" spans="1:15" x14ac:dyDescent="0.25">
      <c r="A206" s="246"/>
      <c r="B206" s="352"/>
      <c r="C206" s="233"/>
      <c r="D206" s="233"/>
      <c r="E206" s="230"/>
      <c r="F206" s="230"/>
      <c r="G206" s="230"/>
      <c r="H206" s="231"/>
      <c r="I206" s="230"/>
      <c r="J206" s="236"/>
      <c r="K206" s="271"/>
      <c r="L206" s="224" t="s">
        <v>147</v>
      </c>
      <c r="M206" s="224" t="s">
        <v>41</v>
      </c>
    </row>
    <row r="207" spans="1:15" x14ac:dyDescent="0.25">
      <c r="A207" s="246"/>
      <c r="B207" s="352"/>
      <c r="C207" s="233"/>
      <c r="D207" s="233"/>
      <c r="E207" s="230"/>
      <c r="F207" s="230"/>
      <c r="G207" s="230"/>
      <c r="H207" s="231"/>
      <c r="I207" s="230"/>
      <c r="J207" s="236"/>
      <c r="K207" s="271"/>
      <c r="L207" s="224" t="s">
        <v>147</v>
      </c>
      <c r="M207" s="224" t="s">
        <v>41</v>
      </c>
    </row>
    <row r="208" spans="1:15" x14ac:dyDescent="0.25">
      <c r="A208" s="246"/>
      <c r="B208" s="352"/>
      <c r="C208" s="233"/>
      <c r="D208" s="233"/>
      <c r="E208" s="230"/>
      <c r="F208" s="230"/>
      <c r="G208" s="230"/>
      <c r="H208" s="231"/>
      <c r="I208" s="233"/>
      <c r="J208" s="236"/>
      <c r="K208" s="271"/>
      <c r="L208" s="224" t="s">
        <v>147</v>
      </c>
      <c r="M208" s="224" t="s">
        <v>41</v>
      </c>
    </row>
    <row r="209" spans="1:13" x14ac:dyDescent="0.25">
      <c r="A209" s="246"/>
      <c r="B209" s="352"/>
      <c r="C209" s="233"/>
      <c r="D209" s="233"/>
      <c r="E209" s="230"/>
      <c r="F209" s="230"/>
      <c r="G209" s="230"/>
      <c r="H209" s="231"/>
      <c r="I209" s="233"/>
      <c r="J209" s="236"/>
      <c r="K209" s="271"/>
      <c r="L209" s="224" t="s">
        <v>147</v>
      </c>
      <c r="M209" s="224" t="s">
        <v>41</v>
      </c>
    </row>
    <row r="210" spans="1:13" x14ac:dyDescent="0.25">
      <c r="A210" s="246"/>
      <c r="B210" s="352"/>
      <c r="C210" s="233"/>
      <c r="D210" s="233"/>
      <c r="E210" s="230"/>
      <c r="F210" s="230"/>
      <c r="G210" s="230"/>
      <c r="H210" s="231"/>
      <c r="I210" s="230"/>
      <c r="J210" s="236"/>
      <c r="K210" s="271"/>
      <c r="L210" s="224" t="s">
        <v>147</v>
      </c>
      <c r="M210" s="224" t="s">
        <v>41</v>
      </c>
    </row>
    <row r="211" spans="1:13" x14ac:dyDescent="0.25">
      <c r="A211" s="246"/>
      <c r="B211" s="352"/>
      <c r="C211" s="233"/>
      <c r="D211" s="233"/>
      <c r="E211" s="230"/>
      <c r="F211" s="230"/>
      <c r="G211" s="230"/>
      <c r="H211" s="231"/>
      <c r="I211" s="230"/>
      <c r="J211" s="236"/>
      <c r="K211" s="271"/>
      <c r="L211" s="224" t="s">
        <v>147</v>
      </c>
      <c r="M211" s="224" t="s">
        <v>41</v>
      </c>
    </row>
    <row r="212" spans="1:13" x14ac:dyDescent="0.25">
      <c r="A212" s="246"/>
      <c r="B212" s="352"/>
      <c r="C212" s="233"/>
      <c r="D212" s="233"/>
      <c r="E212" s="230"/>
      <c r="F212" s="230"/>
      <c r="G212" s="230"/>
      <c r="H212" s="231"/>
      <c r="I212" s="230"/>
      <c r="J212" s="236"/>
      <c r="K212" s="271"/>
      <c r="L212" s="224" t="s">
        <v>147</v>
      </c>
      <c r="M212" s="224" t="s">
        <v>41</v>
      </c>
    </row>
    <row r="213" spans="1:13" x14ac:dyDescent="0.25">
      <c r="A213" s="246"/>
      <c r="B213" s="352"/>
      <c r="C213" s="233"/>
      <c r="D213" s="233"/>
      <c r="E213" s="230"/>
      <c r="F213" s="230"/>
      <c r="G213" s="230"/>
      <c r="H213" s="231"/>
      <c r="I213" s="233"/>
      <c r="J213" s="236"/>
      <c r="K213" s="271"/>
      <c r="L213" s="224" t="s">
        <v>147</v>
      </c>
      <c r="M213" s="224" t="s">
        <v>41</v>
      </c>
    </row>
    <row r="214" spans="1:13" x14ac:dyDescent="0.25">
      <c r="A214" s="246"/>
      <c r="B214" s="352"/>
      <c r="C214" s="233"/>
      <c r="D214" s="233"/>
      <c r="E214" s="230"/>
      <c r="F214" s="230"/>
      <c r="G214" s="230"/>
      <c r="H214" s="231"/>
      <c r="I214" s="230"/>
      <c r="J214" s="236"/>
      <c r="K214" s="271"/>
      <c r="L214" s="224" t="s">
        <v>147</v>
      </c>
      <c r="M214" s="224" t="s">
        <v>41</v>
      </c>
    </row>
    <row r="215" spans="1:13" x14ac:dyDescent="0.25">
      <c r="A215" s="246"/>
      <c r="B215" s="352"/>
      <c r="C215" s="233"/>
      <c r="D215" s="233"/>
      <c r="E215" s="230"/>
      <c r="F215" s="230"/>
      <c r="G215" s="230"/>
      <c r="H215" s="231"/>
      <c r="I215" s="230"/>
      <c r="J215" s="236"/>
      <c r="K215" s="271"/>
      <c r="L215" s="224" t="s">
        <v>147</v>
      </c>
      <c r="M215" s="224" t="s">
        <v>41</v>
      </c>
    </row>
    <row r="216" spans="1:13" x14ac:dyDescent="0.25">
      <c r="A216" s="246"/>
      <c r="B216" s="352"/>
      <c r="C216" s="233"/>
      <c r="D216" s="233"/>
      <c r="E216" s="230"/>
      <c r="F216" s="230"/>
      <c r="G216" s="230"/>
      <c r="H216" s="231"/>
      <c r="I216" s="230"/>
      <c r="J216" s="236"/>
      <c r="K216" s="271"/>
      <c r="L216" s="224" t="s">
        <v>147</v>
      </c>
      <c r="M216" s="224" t="s">
        <v>41</v>
      </c>
    </row>
    <row r="217" spans="1:13" x14ac:dyDescent="0.25">
      <c r="A217" s="246"/>
      <c r="B217" s="352"/>
      <c r="C217" s="233"/>
      <c r="D217" s="233"/>
      <c r="E217" s="230"/>
      <c r="F217" s="230"/>
      <c r="G217" s="230"/>
      <c r="H217" s="231"/>
      <c r="I217" s="230"/>
      <c r="J217" s="236"/>
      <c r="K217" s="271"/>
      <c r="L217" s="224" t="s">
        <v>147</v>
      </c>
      <c r="M217" s="224" t="s">
        <v>41</v>
      </c>
    </row>
    <row r="218" spans="1:13" x14ac:dyDescent="0.25">
      <c r="A218" s="246"/>
      <c r="B218" s="352"/>
      <c r="C218" s="233"/>
      <c r="D218" s="233"/>
      <c r="E218" s="230"/>
      <c r="F218" s="230"/>
      <c r="G218" s="230"/>
      <c r="H218" s="231"/>
      <c r="I218" s="230"/>
      <c r="J218" s="236"/>
      <c r="K218" s="271"/>
      <c r="L218" s="224" t="s">
        <v>147</v>
      </c>
      <c r="M218" s="224" t="s">
        <v>41</v>
      </c>
    </row>
    <row r="219" spans="1:13" x14ac:dyDescent="0.25">
      <c r="A219" s="246"/>
      <c r="B219" s="352"/>
      <c r="C219" s="233"/>
      <c r="D219" s="233"/>
      <c r="E219" s="230"/>
      <c r="F219" s="230"/>
      <c r="G219" s="230"/>
      <c r="H219" s="231"/>
      <c r="I219" s="230"/>
      <c r="J219" s="236"/>
      <c r="K219" s="271"/>
      <c r="L219" s="224" t="s">
        <v>147</v>
      </c>
      <c r="M219" s="224" t="s">
        <v>41</v>
      </c>
    </row>
    <row r="220" spans="1:13" x14ac:dyDescent="0.25">
      <c r="A220" s="246"/>
      <c r="B220" s="352"/>
      <c r="C220" s="233"/>
      <c r="D220" s="233"/>
      <c r="E220" s="230"/>
      <c r="F220" s="230"/>
      <c r="G220" s="230"/>
      <c r="H220" s="231"/>
      <c r="I220" s="230"/>
      <c r="J220" s="236"/>
      <c r="K220" s="271"/>
      <c r="L220" s="224" t="s">
        <v>147</v>
      </c>
      <c r="M220" s="224" t="s">
        <v>41</v>
      </c>
    </row>
    <row r="221" spans="1:13" x14ac:dyDescent="0.25">
      <c r="A221" s="246"/>
      <c r="B221" s="352"/>
      <c r="C221" s="233"/>
      <c r="D221" s="233"/>
      <c r="E221" s="230"/>
      <c r="F221" s="230"/>
      <c r="G221" s="230"/>
      <c r="H221" s="231"/>
      <c r="I221" s="230"/>
      <c r="J221" s="236"/>
      <c r="K221" s="271"/>
      <c r="L221" s="224" t="s">
        <v>147</v>
      </c>
      <c r="M221" s="224" t="s">
        <v>41</v>
      </c>
    </row>
    <row r="222" spans="1:13" x14ac:dyDescent="0.25">
      <c r="A222" s="246"/>
      <c r="B222" s="352"/>
      <c r="C222" s="233"/>
      <c r="D222" s="233"/>
      <c r="E222" s="230"/>
      <c r="F222" s="230"/>
      <c r="G222" s="230"/>
      <c r="H222" s="231"/>
      <c r="I222" s="230"/>
      <c r="J222" s="236"/>
      <c r="K222" s="271"/>
      <c r="L222" s="224" t="s">
        <v>147</v>
      </c>
      <c r="M222" s="224" t="s">
        <v>41</v>
      </c>
    </row>
    <row r="223" spans="1:13" x14ac:dyDescent="0.25">
      <c r="A223" s="246"/>
      <c r="B223" s="352"/>
      <c r="C223" s="233"/>
      <c r="D223" s="233"/>
      <c r="E223" s="230"/>
      <c r="F223" s="230"/>
      <c r="G223" s="230"/>
      <c r="H223" s="231"/>
      <c r="I223" s="230"/>
      <c r="J223" s="236"/>
      <c r="K223" s="271"/>
      <c r="L223" s="224" t="s">
        <v>147</v>
      </c>
      <c r="M223" s="224" t="s">
        <v>41</v>
      </c>
    </row>
    <row r="224" spans="1:13" x14ac:dyDescent="0.25">
      <c r="A224" s="246"/>
      <c r="B224" s="352"/>
      <c r="C224" s="233"/>
      <c r="D224" s="233"/>
      <c r="E224" s="230"/>
      <c r="F224" s="230"/>
      <c r="G224" s="230"/>
      <c r="H224" s="231"/>
      <c r="I224" s="230"/>
      <c r="J224" s="236"/>
      <c r="K224" s="271"/>
      <c r="L224" s="224" t="s">
        <v>147</v>
      </c>
      <c r="M224" s="224" t="s">
        <v>41</v>
      </c>
    </row>
    <row r="225" spans="1:18" x14ac:dyDescent="0.25">
      <c r="A225" s="246"/>
      <c r="B225" s="352"/>
      <c r="C225" s="233"/>
      <c r="D225" s="233"/>
      <c r="E225" s="230"/>
      <c r="F225" s="230"/>
      <c r="G225" s="230"/>
      <c r="H225" s="231"/>
      <c r="I225" s="230"/>
      <c r="J225" s="236"/>
      <c r="K225" s="271"/>
      <c r="L225" s="224" t="s">
        <v>147</v>
      </c>
      <c r="M225" s="224" t="s">
        <v>41</v>
      </c>
    </row>
    <row r="226" spans="1:18" x14ac:dyDescent="0.25">
      <c r="A226" s="246"/>
      <c r="B226" s="352"/>
      <c r="C226" s="233"/>
      <c r="D226" s="233"/>
      <c r="E226" s="230"/>
      <c r="F226" s="230"/>
      <c r="G226" s="230"/>
      <c r="H226" s="231"/>
      <c r="I226" s="230"/>
      <c r="J226" s="236"/>
      <c r="K226" s="271"/>
      <c r="L226" s="224" t="s">
        <v>147</v>
      </c>
      <c r="M226" s="224" t="s">
        <v>41</v>
      </c>
    </row>
    <row r="227" spans="1:18" x14ac:dyDescent="0.25">
      <c r="A227" s="246"/>
      <c r="B227" s="352"/>
      <c r="C227" s="233"/>
      <c r="D227" s="233"/>
      <c r="E227" s="230"/>
      <c r="F227" s="230"/>
      <c r="G227" s="230"/>
      <c r="H227" s="231"/>
      <c r="I227" s="230"/>
      <c r="J227" s="236"/>
      <c r="K227" s="271"/>
      <c r="L227" s="224" t="s">
        <v>147</v>
      </c>
      <c r="M227" s="224" t="s">
        <v>41</v>
      </c>
    </row>
    <row r="228" spans="1:18" x14ac:dyDescent="0.25">
      <c r="A228" s="246"/>
      <c r="B228" s="352"/>
      <c r="C228" s="233"/>
      <c r="D228" s="233"/>
      <c r="E228" s="230"/>
      <c r="F228" s="230"/>
      <c r="G228" s="230"/>
      <c r="H228" s="231"/>
      <c r="I228" s="233"/>
      <c r="J228" s="236"/>
      <c r="K228" s="271"/>
      <c r="L228" s="224" t="s">
        <v>147</v>
      </c>
      <c r="M228" s="224" t="s">
        <v>41</v>
      </c>
    </row>
    <row r="229" spans="1:18" x14ac:dyDescent="0.25">
      <c r="A229" s="246"/>
      <c r="B229" s="352"/>
      <c r="C229" s="233"/>
      <c r="D229" s="233"/>
      <c r="E229" s="230"/>
      <c r="F229" s="230"/>
      <c r="G229" s="230"/>
      <c r="H229" s="231"/>
      <c r="I229" s="230"/>
      <c r="J229" s="236"/>
      <c r="K229" s="271"/>
      <c r="L229" s="224" t="s">
        <v>147</v>
      </c>
      <c r="M229" s="224" t="s">
        <v>41</v>
      </c>
      <c r="R229" s="69">
        <f>SUM(J229:J231,J227,J236:J237,J239:J241,J244:J247,J249:J250,J253:J256,J258:J261,J263:J265,J267,J269:J272)</f>
        <v>0</v>
      </c>
    </row>
    <row r="230" spans="1:18" x14ac:dyDescent="0.25">
      <c r="A230" s="246"/>
      <c r="B230" s="352"/>
      <c r="C230" s="233"/>
      <c r="D230" s="233"/>
      <c r="E230" s="230"/>
      <c r="F230" s="230"/>
      <c r="G230" s="230"/>
      <c r="H230" s="231"/>
      <c r="I230" s="230"/>
      <c r="J230" s="236"/>
      <c r="K230" s="271"/>
      <c r="L230" s="224" t="s">
        <v>147</v>
      </c>
      <c r="M230" s="224" t="s">
        <v>41</v>
      </c>
    </row>
    <row r="231" spans="1:18" x14ac:dyDescent="0.25">
      <c r="A231" s="246"/>
      <c r="B231" s="352"/>
      <c r="C231" s="233"/>
      <c r="D231" s="233"/>
      <c r="E231" s="230"/>
      <c r="F231" s="230"/>
      <c r="G231" s="230"/>
      <c r="H231" s="231"/>
      <c r="I231" s="230"/>
      <c r="J231" s="236"/>
      <c r="K231" s="271"/>
      <c r="L231" s="224" t="s">
        <v>147</v>
      </c>
      <c r="M231" s="224" t="s">
        <v>41</v>
      </c>
    </row>
    <row r="232" spans="1:18" x14ac:dyDescent="0.25">
      <c r="A232" s="246"/>
      <c r="B232" s="352"/>
      <c r="C232" s="233"/>
      <c r="D232" s="233"/>
      <c r="E232" s="230"/>
      <c r="F232" s="230"/>
      <c r="G232" s="230"/>
      <c r="H232" s="231"/>
      <c r="I232" s="233"/>
      <c r="J232" s="236"/>
      <c r="K232" s="271"/>
      <c r="L232" s="224" t="s">
        <v>147</v>
      </c>
      <c r="M232" s="224" t="s">
        <v>41</v>
      </c>
    </row>
    <row r="233" spans="1:18" x14ac:dyDescent="0.25">
      <c r="A233" s="246"/>
      <c r="B233" s="352"/>
      <c r="C233" s="233"/>
      <c r="D233" s="233"/>
      <c r="E233" s="230"/>
      <c r="F233" s="230"/>
      <c r="G233" s="230"/>
      <c r="H233" s="231"/>
      <c r="I233" s="230"/>
      <c r="J233" s="236"/>
      <c r="K233" s="271"/>
      <c r="L233" s="224" t="s">
        <v>147</v>
      </c>
      <c r="M233" s="224" t="s">
        <v>41</v>
      </c>
    </row>
    <row r="234" spans="1:18" x14ac:dyDescent="0.25">
      <c r="A234" s="246"/>
      <c r="B234" s="352"/>
      <c r="C234" s="233"/>
      <c r="D234" s="233"/>
      <c r="E234" s="230"/>
      <c r="F234" s="230"/>
      <c r="G234" s="230"/>
      <c r="H234" s="231"/>
      <c r="I234" s="230"/>
      <c r="J234" s="236"/>
      <c r="K234" s="271"/>
      <c r="L234" s="224" t="s">
        <v>147</v>
      </c>
      <c r="M234" s="224" t="s">
        <v>41</v>
      </c>
    </row>
    <row r="235" spans="1:18" x14ac:dyDescent="0.25">
      <c r="A235" s="246"/>
      <c r="B235" s="352"/>
      <c r="C235" s="233"/>
      <c r="D235" s="233"/>
      <c r="E235" s="230"/>
      <c r="F235" s="230"/>
      <c r="G235" s="230"/>
      <c r="H235" s="231"/>
      <c r="I235" s="230"/>
      <c r="J235" s="236"/>
      <c r="K235" s="271"/>
      <c r="L235" s="224" t="s">
        <v>147</v>
      </c>
      <c r="M235" s="224" t="s">
        <v>41</v>
      </c>
    </row>
    <row r="236" spans="1:18" x14ac:dyDescent="0.25">
      <c r="A236" s="246"/>
      <c r="B236" s="352"/>
      <c r="C236" s="233"/>
      <c r="D236" s="233"/>
      <c r="E236" s="230"/>
      <c r="F236" s="230"/>
      <c r="G236" s="230"/>
      <c r="H236" s="231"/>
      <c r="I236" s="230"/>
      <c r="J236" s="236"/>
      <c r="K236" s="271"/>
      <c r="L236" s="224" t="s">
        <v>147</v>
      </c>
      <c r="M236" s="224" t="s">
        <v>41</v>
      </c>
    </row>
    <row r="237" spans="1:18" x14ac:dyDescent="0.25">
      <c r="A237" s="246"/>
      <c r="B237" s="352"/>
      <c r="C237" s="233"/>
      <c r="D237" s="233"/>
      <c r="E237" s="230"/>
      <c r="F237" s="230"/>
      <c r="G237" s="230"/>
      <c r="H237" s="231"/>
      <c r="I237" s="230"/>
      <c r="J237" s="236"/>
      <c r="K237" s="271"/>
      <c r="L237" s="224" t="s">
        <v>147</v>
      </c>
      <c r="M237" s="224" t="s">
        <v>41</v>
      </c>
    </row>
    <row r="238" spans="1:18" x14ac:dyDescent="0.25">
      <c r="A238" s="246"/>
      <c r="B238" s="352"/>
      <c r="C238" s="233"/>
      <c r="D238" s="233"/>
      <c r="E238" s="230"/>
      <c r="F238" s="230"/>
      <c r="G238" s="230"/>
      <c r="H238" s="231"/>
      <c r="I238" s="233"/>
      <c r="J238" s="236"/>
      <c r="K238" s="271"/>
      <c r="L238" s="224" t="s">
        <v>147</v>
      </c>
      <c r="M238" s="224" t="s">
        <v>41</v>
      </c>
    </row>
    <row r="239" spans="1:18" x14ac:dyDescent="0.25">
      <c r="A239" s="246"/>
      <c r="B239" s="352"/>
      <c r="C239" s="233"/>
      <c r="D239" s="233"/>
      <c r="E239" s="230"/>
      <c r="F239" s="230"/>
      <c r="G239" s="230"/>
      <c r="H239" s="231"/>
      <c r="I239" s="230"/>
      <c r="J239" s="236"/>
      <c r="K239" s="271"/>
      <c r="L239" s="224" t="s">
        <v>147</v>
      </c>
      <c r="M239" s="224" t="s">
        <v>41</v>
      </c>
    </row>
    <row r="240" spans="1:18" x14ac:dyDescent="0.25">
      <c r="A240" s="246"/>
      <c r="B240" s="352"/>
      <c r="C240" s="233"/>
      <c r="D240" s="233"/>
      <c r="E240" s="230"/>
      <c r="F240" s="230"/>
      <c r="G240" s="230"/>
      <c r="H240" s="231"/>
      <c r="I240" s="230"/>
      <c r="J240" s="236"/>
      <c r="K240" s="271"/>
      <c r="L240" s="224" t="s">
        <v>147</v>
      </c>
      <c r="M240" s="224" t="s">
        <v>41</v>
      </c>
    </row>
    <row r="241" spans="1:13" x14ac:dyDescent="0.25">
      <c r="A241" s="246"/>
      <c r="B241" s="352"/>
      <c r="C241" s="233"/>
      <c r="D241" s="233"/>
      <c r="E241" s="230"/>
      <c r="F241" s="230"/>
      <c r="G241" s="230"/>
      <c r="H241" s="231"/>
      <c r="I241" s="230"/>
      <c r="J241" s="236"/>
      <c r="K241" s="271"/>
      <c r="L241" s="224" t="s">
        <v>147</v>
      </c>
      <c r="M241" s="224" t="s">
        <v>41</v>
      </c>
    </row>
    <row r="242" spans="1:13" x14ac:dyDescent="0.25">
      <c r="A242" s="246"/>
      <c r="B242" s="352"/>
      <c r="C242" s="233"/>
      <c r="D242" s="233"/>
      <c r="E242" s="230"/>
      <c r="F242" s="230"/>
      <c r="G242" s="230"/>
      <c r="H242" s="231"/>
      <c r="I242" s="233"/>
      <c r="J242" s="236"/>
      <c r="K242" s="271"/>
      <c r="L242" s="224" t="s">
        <v>147</v>
      </c>
      <c r="M242" s="224" t="s">
        <v>41</v>
      </c>
    </row>
    <row r="243" spans="1:13" x14ac:dyDescent="0.25">
      <c r="A243" s="246"/>
      <c r="B243" s="352"/>
      <c r="C243" s="233"/>
      <c r="D243" s="233"/>
      <c r="E243" s="230"/>
      <c r="F243" s="230"/>
      <c r="G243" s="230"/>
      <c r="H243" s="231"/>
      <c r="I243" s="230"/>
      <c r="J243" s="236"/>
      <c r="K243" s="271"/>
      <c r="L243" s="224" t="s">
        <v>147</v>
      </c>
      <c r="M243" s="224" t="s">
        <v>41</v>
      </c>
    </row>
    <row r="244" spans="1:13" x14ac:dyDescent="0.25">
      <c r="A244" s="246"/>
      <c r="B244" s="352"/>
      <c r="C244" s="233"/>
      <c r="D244" s="233"/>
      <c r="E244" s="230"/>
      <c r="F244" s="230"/>
      <c r="G244" s="230"/>
      <c r="H244" s="231"/>
      <c r="I244" s="230"/>
      <c r="J244" s="236"/>
      <c r="K244" s="271"/>
      <c r="L244" s="224" t="s">
        <v>147</v>
      </c>
      <c r="M244" s="224" t="s">
        <v>41</v>
      </c>
    </row>
    <row r="245" spans="1:13" x14ac:dyDescent="0.25">
      <c r="A245" s="246"/>
      <c r="B245" s="352"/>
      <c r="C245" s="233"/>
      <c r="D245" s="233"/>
      <c r="E245" s="230"/>
      <c r="F245" s="230"/>
      <c r="G245" s="230"/>
      <c r="H245" s="231"/>
      <c r="I245" s="230"/>
      <c r="J245" s="236"/>
      <c r="K245" s="271"/>
      <c r="L245" s="224" t="s">
        <v>147</v>
      </c>
      <c r="M245" s="224" t="s">
        <v>41</v>
      </c>
    </row>
    <row r="246" spans="1:13" x14ac:dyDescent="0.25">
      <c r="A246" s="246"/>
      <c r="B246" s="352"/>
      <c r="C246" s="233"/>
      <c r="D246" s="233"/>
      <c r="E246" s="230"/>
      <c r="F246" s="230"/>
      <c r="G246" s="230"/>
      <c r="H246" s="231"/>
      <c r="I246" s="230"/>
      <c r="J246" s="236"/>
      <c r="K246" s="271"/>
      <c r="L246" s="224" t="s">
        <v>147</v>
      </c>
      <c r="M246" s="224" t="s">
        <v>41</v>
      </c>
    </row>
    <row r="247" spans="1:13" x14ac:dyDescent="0.25">
      <c r="A247" s="246"/>
      <c r="B247" s="352"/>
      <c r="C247" s="233"/>
      <c r="D247" s="233"/>
      <c r="E247" s="230"/>
      <c r="F247" s="230"/>
      <c r="G247" s="230"/>
      <c r="H247" s="231"/>
      <c r="I247" s="230"/>
      <c r="J247" s="236"/>
      <c r="K247" s="271"/>
      <c r="L247" s="224" t="s">
        <v>147</v>
      </c>
      <c r="M247" s="224" t="s">
        <v>41</v>
      </c>
    </row>
    <row r="248" spans="1:13" x14ac:dyDescent="0.25">
      <c r="A248" s="246"/>
      <c r="B248" s="352"/>
      <c r="C248" s="233"/>
      <c r="D248" s="233"/>
      <c r="E248" s="230"/>
      <c r="F248" s="230"/>
      <c r="G248" s="230"/>
      <c r="H248" s="231"/>
      <c r="I248" s="233"/>
      <c r="J248" s="236"/>
      <c r="K248" s="271"/>
      <c r="L248" s="224" t="s">
        <v>147</v>
      </c>
      <c r="M248" s="224" t="s">
        <v>41</v>
      </c>
    </row>
    <row r="249" spans="1:13" x14ac:dyDescent="0.25">
      <c r="A249" s="246"/>
      <c r="B249" s="352"/>
      <c r="C249" s="233"/>
      <c r="D249" s="233"/>
      <c r="E249" s="230"/>
      <c r="F249" s="230"/>
      <c r="G249" s="230"/>
      <c r="H249" s="231"/>
      <c r="I249" s="230"/>
      <c r="J249" s="236"/>
      <c r="K249" s="271"/>
      <c r="L249" s="224" t="s">
        <v>147</v>
      </c>
      <c r="M249" s="224" t="s">
        <v>41</v>
      </c>
    </row>
    <row r="250" spans="1:13" x14ac:dyDescent="0.25">
      <c r="A250" s="246"/>
      <c r="B250" s="352"/>
      <c r="C250" s="233"/>
      <c r="D250" s="233"/>
      <c r="E250" s="230"/>
      <c r="F250" s="230"/>
      <c r="G250" s="230"/>
      <c r="H250" s="231"/>
      <c r="I250" s="230"/>
      <c r="J250" s="236"/>
      <c r="K250" s="271"/>
      <c r="L250" s="224" t="s">
        <v>147</v>
      </c>
      <c r="M250" s="224" t="s">
        <v>41</v>
      </c>
    </row>
    <row r="251" spans="1:13" x14ac:dyDescent="0.25">
      <c r="A251" s="246"/>
      <c r="B251" s="352"/>
      <c r="C251" s="233"/>
      <c r="D251" s="233"/>
      <c r="E251" s="230"/>
      <c r="F251" s="230"/>
      <c r="G251" s="230"/>
      <c r="H251" s="231"/>
      <c r="I251" s="233"/>
      <c r="J251" s="236"/>
      <c r="K251" s="271"/>
      <c r="L251" s="224" t="s">
        <v>147</v>
      </c>
      <c r="M251" s="224" t="s">
        <v>41</v>
      </c>
    </row>
    <row r="252" spans="1:13" x14ac:dyDescent="0.25">
      <c r="A252" s="246"/>
      <c r="B252" s="352"/>
      <c r="C252" s="233"/>
      <c r="D252" s="233"/>
      <c r="E252" s="230"/>
      <c r="F252" s="230"/>
      <c r="G252" s="230"/>
      <c r="H252" s="231"/>
      <c r="I252" s="230"/>
      <c r="J252" s="236"/>
      <c r="K252" s="271"/>
      <c r="L252" s="224" t="s">
        <v>147</v>
      </c>
      <c r="M252" s="224" t="s">
        <v>41</v>
      </c>
    </row>
    <row r="253" spans="1:13" x14ac:dyDescent="0.25">
      <c r="A253" s="246"/>
      <c r="B253" s="352"/>
      <c r="C253" s="233"/>
      <c r="D253" s="233"/>
      <c r="E253" s="230"/>
      <c r="F253" s="230"/>
      <c r="G253" s="230"/>
      <c r="H253" s="231"/>
      <c r="I253" s="230"/>
      <c r="J253" s="236"/>
      <c r="K253" s="271"/>
      <c r="L253" s="224" t="s">
        <v>147</v>
      </c>
      <c r="M253" s="224" t="s">
        <v>41</v>
      </c>
    </row>
    <row r="254" spans="1:13" x14ac:dyDescent="0.25">
      <c r="A254" s="246"/>
      <c r="B254" s="352"/>
      <c r="C254" s="233"/>
      <c r="D254" s="233"/>
      <c r="E254" s="230"/>
      <c r="F254" s="230"/>
      <c r="G254" s="230"/>
      <c r="H254" s="231"/>
      <c r="I254" s="230"/>
      <c r="J254" s="236"/>
      <c r="K254" s="271"/>
      <c r="L254" s="224" t="s">
        <v>147</v>
      </c>
      <c r="M254" s="224" t="s">
        <v>41</v>
      </c>
    </row>
    <row r="255" spans="1:13" x14ac:dyDescent="0.25">
      <c r="A255" s="246"/>
      <c r="B255" s="352"/>
      <c r="C255" s="233"/>
      <c r="D255" s="233"/>
      <c r="E255" s="230"/>
      <c r="F255" s="230"/>
      <c r="G255" s="230"/>
      <c r="H255" s="231"/>
      <c r="I255" s="230"/>
      <c r="J255" s="236"/>
      <c r="K255" s="271"/>
      <c r="L255" s="224" t="s">
        <v>147</v>
      </c>
      <c r="M255" s="224" t="s">
        <v>41</v>
      </c>
    </row>
    <row r="256" spans="1:13" x14ac:dyDescent="0.25">
      <c r="A256" s="246"/>
      <c r="B256" s="352"/>
      <c r="C256" s="233"/>
      <c r="D256" s="233"/>
      <c r="E256" s="230"/>
      <c r="F256" s="230"/>
      <c r="G256" s="230"/>
      <c r="H256" s="231"/>
      <c r="I256" s="230"/>
      <c r="J256" s="236"/>
      <c r="K256" s="271"/>
      <c r="L256" s="224" t="s">
        <v>147</v>
      </c>
      <c r="M256" s="224" t="s">
        <v>41</v>
      </c>
    </row>
    <row r="257" spans="1:13" x14ac:dyDescent="0.25">
      <c r="A257" s="246"/>
      <c r="B257" s="352"/>
      <c r="C257" s="233"/>
      <c r="D257" s="233"/>
      <c r="E257" s="230"/>
      <c r="F257" s="230"/>
      <c r="G257" s="230"/>
      <c r="H257" s="231"/>
      <c r="I257" s="233"/>
      <c r="J257" s="236"/>
      <c r="K257" s="271"/>
      <c r="L257" s="224" t="s">
        <v>147</v>
      </c>
      <c r="M257" s="224" t="s">
        <v>41</v>
      </c>
    </row>
    <row r="258" spans="1:13" x14ac:dyDescent="0.25">
      <c r="A258" s="246"/>
      <c r="B258" s="352"/>
      <c r="C258" s="233"/>
      <c r="D258" s="233"/>
      <c r="E258" s="230"/>
      <c r="F258" s="230"/>
      <c r="G258" s="230"/>
      <c r="H258" s="231"/>
      <c r="I258" s="230"/>
      <c r="J258" s="236"/>
      <c r="K258" s="271"/>
      <c r="L258" s="224" t="s">
        <v>147</v>
      </c>
      <c r="M258" s="224" t="s">
        <v>41</v>
      </c>
    </row>
    <row r="259" spans="1:13" x14ac:dyDescent="0.25">
      <c r="A259" s="246"/>
      <c r="B259" s="352"/>
      <c r="C259" s="233"/>
      <c r="D259" s="233"/>
      <c r="E259" s="230"/>
      <c r="F259" s="230"/>
      <c r="G259" s="230"/>
      <c r="H259" s="231"/>
      <c r="I259" s="230"/>
      <c r="J259" s="236"/>
      <c r="K259" s="271"/>
      <c r="L259" s="224" t="s">
        <v>147</v>
      </c>
      <c r="M259" s="224" t="s">
        <v>41</v>
      </c>
    </row>
    <row r="260" spans="1:13" x14ac:dyDescent="0.25">
      <c r="A260" s="246"/>
      <c r="B260" s="352"/>
      <c r="C260" s="233"/>
      <c r="D260" s="233"/>
      <c r="E260" s="230"/>
      <c r="F260" s="230"/>
      <c r="G260" s="230"/>
      <c r="H260" s="231"/>
      <c r="I260" s="230"/>
      <c r="J260" s="236"/>
      <c r="K260" s="271"/>
      <c r="L260" s="224" t="s">
        <v>147</v>
      </c>
      <c r="M260" s="224" t="s">
        <v>41</v>
      </c>
    </row>
    <row r="261" spans="1:13" x14ac:dyDescent="0.25">
      <c r="A261" s="246"/>
      <c r="B261" s="352"/>
      <c r="C261" s="233"/>
      <c r="D261" s="233"/>
      <c r="E261" s="230"/>
      <c r="F261" s="230"/>
      <c r="G261" s="230"/>
      <c r="H261" s="231"/>
      <c r="I261" s="230"/>
      <c r="J261" s="236"/>
      <c r="K261" s="271"/>
      <c r="L261" s="224" t="s">
        <v>147</v>
      </c>
      <c r="M261" s="224" t="s">
        <v>41</v>
      </c>
    </row>
    <row r="262" spans="1:13" x14ac:dyDescent="0.25">
      <c r="A262" s="246"/>
      <c r="B262" s="352"/>
      <c r="C262" s="233"/>
      <c r="D262" s="233"/>
      <c r="E262" s="230"/>
      <c r="F262" s="230"/>
      <c r="G262" s="230"/>
      <c r="H262" s="231"/>
      <c r="I262" s="230"/>
      <c r="J262" s="236"/>
      <c r="K262" s="271"/>
      <c r="L262" s="224" t="s">
        <v>147</v>
      </c>
      <c r="M262" s="224" t="s">
        <v>41</v>
      </c>
    </row>
    <row r="263" spans="1:13" x14ac:dyDescent="0.25">
      <c r="A263" s="246"/>
      <c r="B263" s="352"/>
      <c r="C263" s="233"/>
      <c r="D263" s="233"/>
      <c r="E263" s="230"/>
      <c r="F263" s="230"/>
      <c r="G263" s="230"/>
      <c r="H263" s="231"/>
      <c r="I263" s="230"/>
      <c r="J263" s="236"/>
      <c r="K263" s="271"/>
      <c r="L263" s="224" t="s">
        <v>147</v>
      </c>
      <c r="M263" s="224" t="s">
        <v>41</v>
      </c>
    </row>
    <row r="264" spans="1:13" x14ac:dyDescent="0.25">
      <c r="A264" s="246"/>
      <c r="B264" s="352"/>
      <c r="C264" s="233"/>
      <c r="D264" s="233"/>
      <c r="E264" s="230"/>
      <c r="F264" s="230"/>
      <c r="G264" s="230"/>
      <c r="H264" s="231"/>
      <c r="I264" s="230"/>
      <c r="J264" s="236"/>
      <c r="K264" s="271"/>
      <c r="L264" s="224" t="s">
        <v>147</v>
      </c>
      <c r="M264" s="224" t="s">
        <v>41</v>
      </c>
    </row>
    <row r="265" spans="1:13" x14ac:dyDescent="0.25">
      <c r="A265" s="246"/>
      <c r="B265" s="352"/>
      <c r="C265" s="233"/>
      <c r="D265" s="233"/>
      <c r="E265" s="230"/>
      <c r="F265" s="230"/>
      <c r="G265" s="230"/>
      <c r="H265" s="231"/>
      <c r="I265" s="230"/>
      <c r="J265" s="236"/>
      <c r="K265" s="271"/>
      <c r="L265" s="224" t="s">
        <v>147</v>
      </c>
      <c r="M265" s="224" t="s">
        <v>41</v>
      </c>
    </row>
    <row r="266" spans="1:13" x14ac:dyDescent="0.25">
      <c r="A266" s="246"/>
      <c r="B266" s="352"/>
      <c r="C266" s="233"/>
      <c r="D266" s="233"/>
      <c r="E266" s="230"/>
      <c r="F266" s="230"/>
      <c r="G266" s="230"/>
      <c r="H266" s="231"/>
      <c r="I266" s="233"/>
      <c r="J266" s="236"/>
      <c r="K266" s="271"/>
      <c r="L266" s="224" t="s">
        <v>147</v>
      </c>
      <c r="M266" s="224" t="s">
        <v>41</v>
      </c>
    </row>
    <row r="267" spans="1:13" x14ac:dyDescent="0.25">
      <c r="A267" s="246"/>
      <c r="B267" s="352"/>
      <c r="C267" s="233"/>
      <c r="D267" s="233"/>
      <c r="E267" s="230"/>
      <c r="F267" s="230"/>
      <c r="G267" s="230"/>
      <c r="H267" s="231"/>
      <c r="I267" s="230"/>
      <c r="J267" s="236"/>
      <c r="K267" s="271"/>
      <c r="L267" s="224" t="s">
        <v>147</v>
      </c>
      <c r="M267" s="224" t="s">
        <v>41</v>
      </c>
    </row>
    <row r="268" spans="1:13" x14ac:dyDescent="0.25">
      <c r="A268" s="246"/>
      <c r="B268" s="352"/>
      <c r="C268" s="233"/>
      <c r="D268" s="233"/>
      <c r="E268" s="230"/>
      <c r="F268" s="230"/>
      <c r="G268" s="230"/>
      <c r="H268" s="231"/>
      <c r="I268" s="230"/>
      <c r="J268" s="236"/>
      <c r="K268" s="271"/>
      <c r="L268" s="224" t="s">
        <v>147</v>
      </c>
      <c r="M268" s="224" t="s">
        <v>41</v>
      </c>
    </row>
    <row r="269" spans="1:13" x14ac:dyDescent="0.25">
      <c r="A269" s="246"/>
      <c r="B269" s="352"/>
      <c r="C269" s="233"/>
      <c r="D269" s="233"/>
      <c r="E269" s="230"/>
      <c r="F269" s="230"/>
      <c r="G269" s="230"/>
      <c r="H269" s="231"/>
      <c r="I269" s="230"/>
      <c r="J269" s="236"/>
      <c r="K269" s="271"/>
      <c r="L269" s="224" t="s">
        <v>147</v>
      </c>
      <c r="M269" s="224" t="s">
        <v>41</v>
      </c>
    </row>
    <row r="270" spans="1:13" x14ac:dyDescent="0.25">
      <c r="A270" s="246"/>
      <c r="B270" s="352"/>
      <c r="C270" s="233"/>
      <c r="D270" s="233"/>
      <c r="E270" s="230"/>
      <c r="F270" s="230"/>
      <c r="G270" s="230"/>
      <c r="H270" s="231"/>
      <c r="I270" s="230"/>
      <c r="J270" s="236"/>
      <c r="K270" s="271"/>
      <c r="L270" s="224" t="s">
        <v>147</v>
      </c>
      <c r="M270" s="224" t="s">
        <v>41</v>
      </c>
    </row>
    <row r="271" spans="1:13" x14ac:dyDescent="0.25">
      <c r="A271" s="246"/>
      <c r="B271" s="352"/>
      <c r="C271" s="233"/>
      <c r="D271" s="233"/>
      <c r="E271" s="230"/>
      <c r="F271" s="230"/>
      <c r="G271" s="230"/>
      <c r="H271" s="231"/>
      <c r="I271" s="230"/>
      <c r="J271" s="236"/>
      <c r="K271" s="271"/>
      <c r="L271" s="224" t="s">
        <v>147</v>
      </c>
      <c r="M271" s="224" t="s">
        <v>41</v>
      </c>
    </row>
    <row r="272" spans="1:13" x14ac:dyDescent="0.25">
      <c r="A272" s="246"/>
      <c r="B272" s="352"/>
      <c r="C272" s="233"/>
      <c r="D272" s="233"/>
      <c r="E272" s="230"/>
      <c r="F272" s="230"/>
      <c r="G272" s="230"/>
      <c r="H272" s="231"/>
      <c r="I272" s="230"/>
      <c r="J272" s="236"/>
      <c r="K272" s="271"/>
      <c r="L272" s="224" t="s">
        <v>147</v>
      </c>
      <c r="M272" s="224" t="s">
        <v>41</v>
      </c>
    </row>
    <row r="273" spans="1:18" x14ac:dyDescent="0.25">
      <c r="A273" s="246"/>
      <c r="B273" s="352"/>
      <c r="C273" s="233"/>
      <c r="D273" s="233"/>
      <c r="E273" s="230"/>
      <c r="F273" s="230"/>
      <c r="G273" s="230"/>
      <c r="H273" s="231"/>
      <c r="I273" s="230"/>
      <c r="J273" s="236"/>
      <c r="K273" s="271"/>
      <c r="L273" s="224"/>
      <c r="M273" s="224"/>
    </row>
    <row r="274" spans="1:18" x14ac:dyDescent="0.25">
      <c r="A274" s="246"/>
      <c r="B274" s="352"/>
      <c r="C274" s="233"/>
      <c r="D274" s="233"/>
      <c r="E274" s="230"/>
      <c r="F274" s="230"/>
      <c r="G274" s="230"/>
      <c r="H274" s="231"/>
      <c r="I274" s="230"/>
      <c r="J274" s="236"/>
      <c r="K274" s="271"/>
      <c r="L274" s="224"/>
      <c r="M274" s="224"/>
    </row>
    <row r="275" spans="1:18" x14ac:dyDescent="0.25">
      <c r="A275" s="222"/>
      <c r="B275" s="353"/>
      <c r="C275" s="100"/>
      <c r="D275" s="100"/>
      <c r="E275" s="224"/>
      <c r="F275" s="224"/>
      <c r="G275" s="224"/>
      <c r="H275" s="225"/>
      <c r="I275" s="224"/>
      <c r="J275" s="234"/>
      <c r="K275" s="235"/>
      <c r="L275" s="224"/>
      <c r="M275" s="224"/>
      <c r="O275">
        <f>SUM(O12:O194)</f>
        <v>67689.8</v>
      </c>
    </row>
    <row r="276" spans="1:18" x14ac:dyDescent="0.25">
      <c r="A276" s="285"/>
      <c r="B276" s="350"/>
      <c r="C276" s="60"/>
      <c r="D276" s="60"/>
      <c r="E276" s="60"/>
      <c r="F276" s="60"/>
      <c r="G276" s="60"/>
      <c r="H276" s="60"/>
      <c r="I276" s="60"/>
      <c r="J276" s="61"/>
      <c r="K276" s="121"/>
      <c r="L276" s="60"/>
    </row>
    <row r="278" spans="1:18" x14ac:dyDescent="0.25">
      <c r="K278" s="123"/>
      <c r="L278" s="70"/>
    </row>
    <row r="279" spans="1:18" ht="16.5" customHeight="1" x14ac:dyDescent="0.25">
      <c r="C279" s="62" t="s">
        <v>20</v>
      </c>
      <c r="G279" s="62" t="s">
        <v>21</v>
      </c>
      <c r="K279" s="103" t="s">
        <v>109</v>
      </c>
      <c r="L279" s="127"/>
      <c r="R279" s="30"/>
    </row>
    <row r="280" spans="1:18" x14ac:dyDescent="0.25">
      <c r="K280" s="103" t="s">
        <v>110</v>
      </c>
      <c r="L280" s="127"/>
      <c r="M280" s="98"/>
    </row>
    <row r="281" spans="1:18" x14ac:dyDescent="0.25">
      <c r="K281" s="103" t="s">
        <v>138</v>
      </c>
      <c r="L281" s="128"/>
    </row>
    <row r="282" spans="1:18" x14ac:dyDescent="0.25">
      <c r="C282" s="124" t="s">
        <v>1577</v>
      </c>
      <c r="D282" s="124"/>
      <c r="G282" s="617" t="s">
        <v>157</v>
      </c>
      <c r="H282" s="617"/>
      <c r="I282" s="617"/>
      <c r="J282" s="617"/>
      <c r="K282" s="103" t="s">
        <v>1265</v>
      </c>
      <c r="L282" s="128"/>
    </row>
    <row r="283" spans="1:18" x14ac:dyDescent="0.25">
      <c r="C283" s="62" t="s">
        <v>967</v>
      </c>
      <c r="G283" s="618" t="s">
        <v>158</v>
      </c>
      <c r="H283" s="618"/>
      <c r="I283" s="618"/>
      <c r="J283" s="618"/>
      <c r="K283" s="103" t="s">
        <v>111</v>
      </c>
      <c r="L283" s="127"/>
    </row>
    <row r="284" spans="1:18" x14ac:dyDescent="0.25">
      <c r="K284" s="103" t="s">
        <v>112</v>
      </c>
      <c r="L284" s="128"/>
    </row>
    <row r="285" spans="1:18" s="62" customFormat="1" x14ac:dyDescent="0.25">
      <c r="A285" s="483"/>
      <c r="B285" s="483"/>
      <c r="K285" s="103" t="s">
        <v>114</v>
      </c>
      <c r="L285" s="288"/>
      <c r="N285"/>
      <c r="O285"/>
      <c r="P285"/>
    </row>
    <row r="286" spans="1:18" s="62" customFormat="1" x14ac:dyDescent="0.25">
      <c r="A286" s="483"/>
      <c r="B286" s="483"/>
      <c r="K286" s="103" t="s">
        <v>22</v>
      </c>
      <c r="L286" s="128"/>
      <c r="N286"/>
      <c r="O286"/>
      <c r="P286"/>
    </row>
    <row r="287" spans="1:18" s="62" customFormat="1" x14ac:dyDescent="0.25">
      <c r="A287" s="483"/>
      <c r="B287" s="483"/>
      <c r="C287" s="99"/>
      <c r="D287" s="99"/>
      <c r="G287" s="99"/>
      <c r="H287" s="99"/>
      <c r="I287" s="99"/>
      <c r="K287" s="125" t="s">
        <v>107</v>
      </c>
      <c r="L287" s="71"/>
      <c r="N287"/>
      <c r="O287"/>
      <c r="P287"/>
    </row>
    <row r="288" spans="1:18" s="62" customFormat="1" x14ac:dyDescent="0.25">
      <c r="A288" s="483"/>
      <c r="B288" s="483"/>
      <c r="K288" s="125" t="s">
        <v>108</v>
      </c>
      <c r="L288" s="70"/>
      <c r="N288"/>
      <c r="O288"/>
      <c r="P288"/>
    </row>
    <row r="289" spans="1:16" s="62" customFormat="1" x14ac:dyDescent="0.25">
      <c r="A289" s="483"/>
      <c r="B289" s="483"/>
      <c r="K289" s="103"/>
      <c r="L289" s="70"/>
      <c r="N289"/>
      <c r="O289"/>
      <c r="P289"/>
    </row>
    <row r="290" spans="1:16" s="62" customFormat="1" x14ac:dyDescent="0.25">
      <c r="A290" s="483"/>
      <c r="B290" s="483"/>
      <c r="K290" s="103"/>
      <c r="L290" s="71"/>
      <c r="N290"/>
      <c r="O290"/>
      <c r="P290"/>
    </row>
    <row r="291" spans="1:16" s="62" customFormat="1" x14ac:dyDescent="0.25">
      <c r="A291" s="483"/>
      <c r="B291" s="483"/>
      <c r="K291" s="103"/>
      <c r="L291" s="71"/>
      <c r="N291"/>
      <c r="O291"/>
      <c r="P291"/>
    </row>
    <row r="311" spans="14:14" x14ac:dyDescent="0.25">
      <c r="N311" s="30"/>
    </row>
    <row r="334" spans="14:14" x14ac:dyDescent="0.25">
      <c r="N334" s="30"/>
    </row>
    <row r="461" spans="14:14" x14ac:dyDescent="0.25">
      <c r="N461" s="30"/>
    </row>
  </sheetData>
  <mergeCells count="8">
    <mergeCell ref="G282:J282"/>
    <mergeCell ref="G283:J283"/>
    <mergeCell ref="A1:M1"/>
    <mergeCell ref="A2:M2"/>
    <mergeCell ref="A6:C6"/>
    <mergeCell ref="H7:J7"/>
    <mergeCell ref="L7:M7"/>
    <mergeCell ref="A8:D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F6FA9-F8CB-4B64-9C34-C98209A3C8EA}">
  <sheetPr>
    <tabColor theme="5"/>
  </sheetPr>
  <dimension ref="A1:O42"/>
  <sheetViews>
    <sheetView view="pageBreakPreview" topLeftCell="A7" zoomScale="96" zoomScaleNormal="100" zoomScaleSheetLayoutView="96" workbookViewId="0">
      <selection activeCell="F24" sqref="F24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3085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/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/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465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465" t="s">
        <v>13</v>
      </c>
      <c r="L9" s="465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20.25" customHeight="1" x14ac:dyDescent="0.25">
      <c r="A12" s="294">
        <v>1</v>
      </c>
      <c r="B12" s="333" t="s">
        <v>3103</v>
      </c>
      <c r="C12" s="334"/>
      <c r="D12" s="333"/>
      <c r="E12" s="355" t="s">
        <v>58</v>
      </c>
      <c r="F12" s="336"/>
      <c r="G12" s="351" t="s">
        <v>2617</v>
      </c>
      <c r="H12" s="333" t="s">
        <v>40</v>
      </c>
      <c r="I12" s="337">
        <v>1000</v>
      </c>
      <c r="J12" s="220" t="s">
        <v>152</v>
      </c>
      <c r="K12" s="100"/>
      <c r="L12" s="181" t="s">
        <v>41</v>
      </c>
    </row>
    <row r="13" spans="1:15" ht="22.5" customHeight="1" x14ac:dyDescent="0.25">
      <c r="A13" s="294">
        <v>1</v>
      </c>
      <c r="B13" s="333" t="s">
        <v>251</v>
      </c>
      <c r="C13" s="334"/>
      <c r="D13" s="335"/>
      <c r="E13" s="355" t="s">
        <v>85</v>
      </c>
      <c r="F13" s="336" t="s">
        <v>252</v>
      </c>
      <c r="G13" s="333" t="s">
        <v>3122</v>
      </c>
      <c r="H13" s="333" t="s">
        <v>40</v>
      </c>
      <c r="I13" s="337">
        <v>3000</v>
      </c>
      <c r="J13" s="220" t="s">
        <v>152</v>
      </c>
      <c r="K13" s="100"/>
      <c r="L13" s="181" t="s">
        <v>41</v>
      </c>
    </row>
    <row r="14" spans="1:15" s="62" customFormat="1" ht="23.25" customHeight="1" x14ac:dyDescent="0.25">
      <c r="A14" s="294">
        <v>1</v>
      </c>
      <c r="B14" s="355" t="s">
        <v>451</v>
      </c>
      <c r="C14" s="334"/>
      <c r="D14" s="335"/>
      <c r="E14" s="333" t="s">
        <v>56</v>
      </c>
      <c r="F14" s="336" t="s">
        <v>909</v>
      </c>
      <c r="G14" s="231" t="s">
        <v>452</v>
      </c>
      <c r="H14" s="233" t="s">
        <v>40</v>
      </c>
      <c r="I14" s="457">
        <v>15000</v>
      </c>
      <c r="J14" s="220" t="s">
        <v>152</v>
      </c>
      <c r="K14" s="100"/>
      <c r="L14" s="181" t="s">
        <v>41</v>
      </c>
      <c r="M14" s="166"/>
    </row>
    <row r="15" spans="1:15" s="62" customFormat="1" ht="21.75" customHeight="1" x14ac:dyDescent="0.25">
      <c r="A15" s="295">
        <v>2</v>
      </c>
      <c r="B15" s="345" t="s">
        <v>248</v>
      </c>
      <c r="C15" s="446"/>
      <c r="D15" s="447"/>
      <c r="E15" s="447" t="s">
        <v>65</v>
      </c>
      <c r="F15" s="448" t="s">
        <v>3198</v>
      </c>
      <c r="G15" s="447" t="s">
        <v>3199</v>
      </c>
      <c r="H15" s="342" t="s">
        <v>40</v>
      </c>
      <c r="I15" s="344">
        <v>5000</v>
      </c>
      <c r="J15" s="220" t="s">
        <v>152</v>
      </c>
      <c r="K15" s="100"/>
      <c r="L15" s="181" t="s">
        <v>41</v>
      </c>
      <c r="M15" s="166"/>
      <c r="O15" s="98"/>
    </row>
    <row r="16" spans="1:15" s="62" customFormat="1" ht="27" customHeight="1" x14ac:dyDescent="0.25">
      <c r="A16" s="295">
        <v>3</v>
      </c>
      <c r="B16" s="355" t="s">
        <v>3211</v>
      </c>
      <c r="C16" s="339"/>
      <c r="D16" s="340" t="s">
        <v>2442</v>
      </c>
      <c r="E16" s="340" t="s">
        <v>88</v>
      </c>
      <c r="F16" s="341" t="s">
        <v>3212</v>
      </c>
      <c r="G16" s="340" t="s">
        <v>3213</v>
      </c>
      <c r="H16" s="345" t="s">
        <v>40</v>
      </c>
      <c r="I16" s="344">
        <v>5000</v>
      </c>
      <c r="J16" s="220" t="s">
        <v>152</v>
      </c>
      <c r="K16" s="100"/>
      <c r="L16" s="181" t="s">
        <v>41</v>
      </c>
      <c r="O16" s="98"/>
    </row>
    <row r="17" spans="1:15" s="62" customFormat="1" ht="26.25" customHeight="1" x14ac:dyDescent="0.25">
      <c r="A17" s="295">
        <v>3</v>
      </c>
      <c r="B17" s="338" t="s">
        <v>251</v>
      </c>
      <c r="C17" s="339"/>
      <c r="D17" s="340"/>
      <c r="E17" s="340" t="s">
        <v>85</v>
      </c>
      <c r="F17" s="341" t="s">
        <v>3216</v>
      </c>
      <c r="G17" s="340" t="s">
        <v>3217</v>
      </c>
      <c r="H17" s="345" t="s">
        <v>40</v>
      </c>
      <c r="I17" s="344">
        <v>24820</v>
      </c>
      <c r="J17" s="220" t="s">
        <v>152</v>
      </c>
      <c r="K17" s="100"/>
      <c r="L17" s="181" t="s">
        <v>41</v>
      </c>
      <c r="O17" s="98"/>
    </row>
    <row r="18" spans="1:15" s="62" customFormat="1" ht="23.25" customHeight="1" x14ac:dyDescent="0.25">
      <c r="A18" s="309">
        <v>7</v>
      </c>
      <c r="B18" s="333" t="s">
        <v>251</v>
      </c>
      <c r="C18" s="334"/>
      <c r="D18" s="335"/>
      <c r="E18" s="355" t="s">
        <v>85</v>
      </c>
      <c r="F18" s="336" t="s">
        <v>252</v>
      </c>
      <c r="G18" s="333" t="s">
        <v>3122</v>
      </c>
      <c r="H18" s="333" t="s">
        <v>40</v>
      </c>
      <c r="I18" s="344">
        <v>850</v>
      </c>
      <c r="J18" s="220" t="s">
        <v>152</v>
      </c>
      <c r="K18" s="100"/>
      <c r="L18" s="181" t="s">
        <v>41</v>
      </c>
      <c r="O18" s="98"/>
    </row>
    <row r="19" spans="1:15" s="62" customFormat="1" ht="20.25" customHeight="1" x14ac:dyDescent="0.25">
      <c r="A19" s="275">
        <v>9</v>
      </c>
      <c r="B19" s="338" t="s">
        <v>3277</v>
      </c>
      <c r="C19" s="339"/>
      <c r="D19" s="340"/>
      <c r="E19" s="338" t="s">
        <v>74</v>
      </c>
      <c r="F19" s="341" t="s">
        <v>3280</v>
      </c>
      <c r="G19" s="480" t="s">
        <v>3279</v>
      </c>
      <c r="H19" s="345" t="s">
        <v>40</v>
      </c>
      <c r="I19" s="344">
        <v>6000</v>
      </c>
      <c r="J19" s="220" t="s">
        <v>152</v>
      </c>
      <c r="K19" s="100"/>
      <c r="L19" s="181" t="s">
        <v>41</v>
      </c>
      <c r="O19" s="98"/>
    </row>
    <row r="20" spans="1:15" s="62" customFormat="1" ht="48" customHeight="1" x14ac:dyDescent="0.25">
      <c r="A20" s="295">
        <v>17</v>
      </c>
      <c r="B20" s="338" t="s">
        <v>3313</v>
      </c>
      <c r="C20" s="339"/>
      <c r="D20" s="447" t="s">
        <v>3311</v>
      </c>
      <c r="E20" s="447" t="s">
        <v>76</v>
      </c>
      <c r="F20" s="448" t="s">
        <v>3312</v>
      </c>
      <c r="G20" s="447" t="s">
        <v>3314</v>
      </c>
      <c r="H20" s="345" t="s">
        <v>40</v>
      </c>
      <c r="I20" s="457">
        <v>3700</v>
      </c>
      <c r="J20" s="220" t="s">
        <v>152</v>
      </c>
      <c r="K20" s="100"/>
      <c r="L20" s="181" t="s">
        <v>41</v>
      </c>
      <c r="O20" s="98"/>
    </row>
    <row r="21" spans="1:15" s="62" customFormat="1" ht="35.25" customHeight="1" x14ac:dyDescent="0.25">
      <c r="A21" s="295">
        <v>17</v>
      </c>
      <c r="B21" s="345" t="s">
        <v>3315</v>
      </c>
      <c r="C21" s="446"/>
      <c r="D21" s="447" t="s">
        <v>470</v>
      </c>
      <c r="E21" s="447" t="s">
        <v>64</v>
      </c>
      <c r="F21" s="448" t="s">
        <v>3316</v>
      </c>
      <c r="G21" s="447" t="s">
        <v>3317</v>
      </c>
      <c r="H21" s="345" t="s">
        <v>40</v>
      </c>
      <c r="I21" s="457">
        <v>3500</v>
      </c>
      <c r="J21" s="220" t="s">
        <v>152</v>
      </c>
      <c r="K21" s="100"/>
      <c r="L21" s="181" t="s">
        <v>41</v>
      </c>
      <c r="O21" s="98"/>
    </row>
    <row r="22" spans="1:15" s="62" customFormat="1" ht="42" customHeight="1" x14ac:dyDescent="0.25">
      <c r="A22" s="295">
        <v>19</v>
      </c>
      <c r="B22" s="338" t="s">
        <v>3331</v>
      </c>
      <c r="C22" s="339"/>
      <c r="D22" s="340" t="s">
        <v>3332</v>
      </c>
      <c r="E22" s="340" t="s">
        <v>64</v>
      </c>
      <c r="F22" s="341" t="s">
        <v>3333</v>
      </c>
      <c r="G22" s="447" t="s">
        <v>3347</v>
      </c>
      <c r="H22" s="345" t="s">
        <v>40</v>
      </c>
      <c r="I22" s="344">
        <v>2000</v>
      </c>
      <c r="J22" s="220" t="s">
        <v>152</v>
      </c>
      <c r="K22" s="100"/>
      <c r="L22" s="181" t="s">
        <v>41</v>
      </c>
      <c r="O22" s="98"/>
    </row>
    <row r="23" spans="1:15" s="62" customFormat="1" ht="33" customHeight="1" x14ac:dyDescent="0.25">
      <c r="A23" s="295">
        <v>20</v>
      </c>
      <c r="B23" s="338" t="s">
        <v>3334</v>
      </c>
      <c r="C23" s="339"/>
      <c r="D23" s="340" t="s">
        <v>958</v>
      </c>
      <c r="E23" s="340" t="s">
        <v>69</v>
      </c>
      <c r="F23" s="341" t="s">
        <v>3335</v>
      </c>
      <c r="G23" s="447" t="s">
        <v>3336</v>
      </c>
      <c r="H23" s="345" t="s">
        <v>40</v>
      </c>
      <c r="I23" s="344">
        <v>7000</v>
      </c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95">
        <v>29</v>
      </c>
      <c r="B24" s="338" t="s">
        <v>389</v>
      </c>
      <c r="C24" s="339"/>
      <c r="D24" s="340" t="s">
        <v>529</v>
      </c>
      <c r="E24" s="340" t="s">
        <v>57</v>
      </c>
      <c r="F24" s="341"/>
      <c r="G24" s="340" t="s">
        <v>3366</v>
      </c>
      <c r="H24" s="345" t="s">
        <v>40</v>
      </c>
      <c r="I24" s="344">
        <v>5000</v>
      </c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455">
        <v>29</v>
      </c>
      <c r="B25" s="456" t="s">
        <v>3367</v>
      </c>
      <c r="C25" s="233"/>
      <c r="D25" s="233" t="s">
        <v>873</v>
      </c>
      <c r="E25" s="233" t="s">
        <v>48</v>
      </c>
      <c r="F25" s="336"/>
      <c r="G25" s="342" t="s">
        <v>3368</v>
      </c>
      <c r="H25" s="345" t="s">
        <v>40</v>
      </c>
      <c r="I25" s="344">
        <v>3000</v>
      </c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451">
        <v>29</v>
      </c>
      <c r="B26" s="456" t="s">
        <v>3367</v>
      </c>
      <c r="C26" s="233"/>
      <c r="D26" s="233" t="s">
        <v>873</v>
      </c>
      <c r="E26" s="233" t="s">
        <v>48</v>
      </c>
      <c r="F26" s="336"/>
      <c r="G26" s="342" t="s">
        <v>3368</v>
      </c>
      <c r="H26" s="345" t="s">
        <v>377</v>
      </c>
      <c r="I26" s="344">
        <v>1700</v>
      </c>
      <c r="J26" s="220" t="s">
        <v>152</v>
      </c>
      <c r="K26" s="100"/>
      <c r="L26" s="181" t="s">
        <v>41</v>
      </c>
      <c r="O26" s="98"/>
    </row>
    <row r="27" spans="1:15" s="62" customFormat="1" ht="16.5" customHeight="1" x14ac:dyDescent="0.25">
      <c r="A27" s="455">
        <v>30</v>
      </c>
      <c r="B27" s="456" t="s">
        <v>248</v>
      </c>
      <c r="C27" s="233"/>
      <c r="D27" s="233"/>
      <c r="E27" s="233" t="s">
        <v>65</v>
      </c>
      <c r="F27" s="499"/>
      <c r="G27" s="497" t="s">
        <v>3678</v>
      </c>
      <c r="H27" s="345" t="s">
        <v>1420</v>
      </c>
      <c r="I27" s="344">
        <v>30000</v>
      </c>
      <c r="J27" s="220" t="s">
        <v>152</v>
      </c>
      <c r="K27" s="100"/>
      <c r="L27" s="181" t="s">
        <v>41</v>
      </c>
      <c r="O27" s="98"/>
    </row>
    <row r="28" spans="1:15" s="62" customFormat="1" ht="16.5" customHeight="1" x14ac:dyDescent="0.25">
      <c r="A28" s="455">
        <v>30</v>
      </c>
      <c r="B28" s="456" t="s">
        <v>346</v>
      </c>
      <c r="C28" s="233"/>
      <c r="D28" s="233"/>
      <c r="E28" s="233" t="s">
        <v>48</v>
      </c>
      <c r="F28" s="500"/>
      <c r="G28" s="498" t="s">
        <v>3679</v>
      </c>
      <c r="H28" s="345" t="s">
        <v>1420</v>
      </c>
      <c r="I28" s="344">
        <v>30000</v>
      </c>
      <c r="J28" s="220" t="s">
        <v>152</v>
      </c>
      <c r="K28" s="100"/>
      <c r="L28" s="181" t="s">
        <v>41</v>
      </c>
      <c r="O28" s="98"/>
    </row>
    <row r="29" spans="1:15" s="62" customFormat="1" x14ac:dyDescent="0.25">
      <c r="A29" s="240"/>
      <c r="B29" s="100"/>
      <c r="C29" s="216"/>
      <c r="D29" s="100"/>
      <c r="E29" s="100"/>
      <c r="F29" s="241"/>
      <c r="G29" s="100"/>
      <c r="H29" s="140"/>
      <c r="I29" s="221"/>
      <c r="J29" s="216"/>
      <c r="K29" s="100"/>
      <c r="L29" s="100"/>
      <c r="O29" s="98"/>
    </row>
    <row r="30" spans="1:15" x14ac:dyDescent="0.25">
      <c r="I30" s="28"/>
      <c r="J30" s="28"/>
    </row>
    <row r="31" spans="1:15" x14ac:dyDescent="0.25">
      <c r="F31" s="30"/>
      <c r="I31" s="63" t="s">
        <v>19</v>
      </c>
      <c r="J31" s="28"/>
      <c r="K31" s="326"/>
      <c r="L31" s="30"/>
    </row>
    <row r="32" spans="1:15" x14ac:dyDescent="0.25">
      <c r="I32" s="28" t="s">
        <v>109</v>
      </c>
      <c r="J32" s="28"/>
      <c r="K32" s="357"/>
      <c r="L32" s="276"/>
    </row>
    <row r="33" spans="2:12" x14ac:dyDescent="0.25">
      <c r="B33" t="s">
        <v>20</v>
      </c>
      <c r="E33" t="s">
        <v>21</v>
      </c>
      <c r="I33" s="28" t="s">
        <v>110</v>
      </c>
      <c r="J33" s="132"/>
      <c r="K33" s="481" t="s">
        <v>3252</v>
      </c>
      <c r="L33" s="427"/>
    </row>
    <row r="34" spans="2:12" x14ac:dyDescent="0.25">
      <c r="I34" s="28" t="s">
        <v>149</v>
      </c>
      <c r="J34" s="132"/>
      <c r="K34" t="s">
        <v>138</v>
      </c>
      <c r="L34" s="287">
        <f>SUM(I12:I18)</f>
        <v>54670</v>
      </c>
    </row>
    <row r="35" spans="2:12" x14ac:dyDescent="0.25">
      <c r="I35" s="28" t="s">
        <v>601</v>
      </c>
      <c r="J35" s="132"/>
      <c r="K35" s="481" t="s">
        <v>3303</v>
      </c>
      <c r="L35" s="427"/>
    </row>
    <row r="36" spans="2:12" x14ac:dyDescent="0.25">
      <c r="I36" s="28" t="s">
        <v>111</v>
      </c>
      <c r="J36" s="132"/>
      <c r="K36" s="328" t="s">
        <v>138</v>
      </c>
      <c r="L36" s="287">
        <v>6000</v>
      </c>
    </row>
    <row r="37" spans="2:12" x14ac:dyDescent="0.25">
      <c r="B37" s="29"/>
      <c r="E37" s="251"/>
      <c r="F37" s="251"/>
      <c r="G37" s="251"/>
      <c r="H37" s="251"/>
      <c r="I37" s="28" t="s">
        <v>113</v>
      </c>
      <c r="J37" s="132"/>
      <c r="K37" s="481" t="s">
        <v>3369</v>
      </c>
      <c r="L37" s="427"/>
    </row>
    <row r="38" spans="2:12" x14ac:dyDescent="0.25">
      <c r="B38" s="267" t="s">
        <v>1577</v>
      </c>
      <c r="C38" s="267"/>
      <c r="D38" s="267"/>
      <c r="E38" s="268" t="s">
        <v>157</v>
      </c>
      <c r="F38" s="252"/>
      <c r="G38" s="252"/>
      <c r="H38" s="252"/>
      <c r="I38" s="28" t="s">
        <v>114</v>
      </c>
      <c r="J38" s="130"/>
      <c r="K38" s="328" t="s">
        <v>138</v>
      </c>
      <c r="L38" s="69">
        <f>SUM(I20:I23,I24:I26)</f>
        <v>25900</v>
      </c>
    </row>
    <row r="39" spans="2:12" x14ac:dyDescent="0.25">
      <c r="B39" t="s">
        <v>1576</v>
      </c>
      <c r="E39" t="s">
        <v>158</v>
      </c>
      <c r="I39" s="28" t="s">
        <v>22</v>
      </c>
      <c r="J39" s="131"/>
      <c r="K39" s="328"/>
      <c r="L39" s="69"/>
    </row>
    <row r="40" spans="2:12" x14ac:dyDescent="0.25">
      <c r="I40" s="3" t="s">
        <v>115</v>
      </c>
      <c r="J40" s="132"/>
      <c r="K40" s="357"/>
      <c r="L40" s="30"/>
    </row>
    <row r="41" spans="2:12" x14ac:dyDescent="0.25">
      <c r="I41" s="3" t="s">
        <v>87</v>
      </c>
      <c r="J41" s="132"/>
      <c r="L41" s="30"/>
    </row>
    <row r="42" spans="2:12" x14ac:dyDescent="0.25">
      <c r="G42" s="30">
        <f>SUM(I12:I28)</f>
        <v>146570</v>
      </c>
    </row>
  </sheetData>
  <mergeCells count="7">
    <mergeCell ref="A8:B8"/>
    <mergeCell ref="A1:L1"/>
    <mergeCell ref="A2:L2"/>
    <mergeCell ref="K3:L3"/>
    <mergeCell ref="A6:B6"/>
    <mergeCell ref="H7:I7"/>
    <mergeCell ref="K7:L7"/>
  </mergeCells>
  <conditionalFormatting sqref="F27:G28">
    <cfRule type="containsBlanks" dxfId="5" priority="1">
      <formula>LEN(TRIM(F27))=0</formula>
    </cfRule>
  </conditionalFormatting>
  <conditionalFormatting sqref="G27:G28">
    <cfRule type="duplicateValues" dxfId="4" priority="2"/>
  </conditionalFormatting>
  <printOptions horizontalCentered="1"/>
  <pageMargins left="0.25" right="0.25" top="0.75" bottom="0.75" header="0.3" footer="0.3"/>
  <pageSetup paperSize="155" scale="62" orientation="landscape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073A9-CF2D-49A3-A96C-7DF669FEBC8D}">
  <sheetPr>
    <tabColor theme="5"/>
  </sheetPr>
  <dimension ref="A1:V462"/>
  <sheetViews>
    <sheetView view="pageBreakPreview" topLeftCell="A88" zoomScale="106" zoomScaleNormal="100" zoomScaleSheetLayoutView="106" workbookViewId="0">
      <selection activeCell="I101" sqref="I101"/>
    </sheetView>
  </sheetViews>
  <sheetFormatPr defaultRowHeight="15" x14ac:dyDescent="0.25"/>
  <cols>
    <col min="1" max="1" width="4.7109375" style="466" customWidth="1"/>
    <col min="2" max="2" width="15" style="466" customWidth="1"/>
    <col min="3" max="3" width="18" style="62" customWidth="1"/>
    <col min="4" max="4" width="5.28515625" style="62" customWidth="1"/>
    <col min="5" max="5" width="7.85546875" style="62" customWidth="1"/>
    <col min="6" max="6" width="17.7109375" style="62" customWidth="1"/>
    <col min="7" max="7" width="14.5703125" style="62" customWidth="1"/>
    <col min="8" max="8" width="14.28515625" style="62" customWidth="1"/>
    <col min="9" max="9" width="14" style="62" customWidth="1"/>
    <col min="10" max="10" width="16.42578125" style="62" customWidth="1"/>
    <col min="11" max="11" width="16.85546875" style="122" customWidth="1"/>
    <col min="12" max="12" width="9.5703125" style="62" customWidth="1"/>
    <col min="13" max="13" width="17.85546875" style="62" customWidth="1"/>
    <col min="17" max="17" width="4.5703125" customWidth="1"/>
    <col min="18" max="18" width="14.28515625" customWidth="1"/>
    <col min="19" max="19" width="12.42578125" customWidth="1"/>
  </cols>
  <sheetData>
    <row r="1" spans="1:22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  <c r="M1" s="619"/>
    </row>
    <row r="2" spans="1:22" ht="18" x14ac:dyDescent="0.25">
      <c r="A2" s="620" t="s">
        <v>3085</v>
      </c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  <c r="M2" s="621"/>
    </row>
    <row r="3" spans="1:22" x14ac:dyDescent="0.25">
      <c r="C3" s="102"/>
      <c r="D3" s="102"/>
      <c r="E3" s="78"/>
      <c r="F3" s="102"/>
      <c r="G3" s="102"/>
      <c r="I3" s="78"/>
      <c r="J3" s="83"/>
      <c r="K3" s="103"/>
      <c r="L3" s="104" t="s">
        <v>1959</v>
      </c>
      <c r="M3" s="105"/>
      <c r="R3" s="30"/>
      <c r="S3" s="30"/>
    </row>
    <row r="4" spans="1:22" x14ac:dyDescent="0.25">
      <c r="C4" s="102"/>
      <c r="D4" s="102"/>
      <c r="E4" s="78"/>
      <c r="F4" s="102"/>
      <c r="G4" s="102"/>
      <c r="I4" s="78"/>
      <c r="J4" s="83"/>
      <c r="K4" s="106"/>
      <c r="L4" s="95" t="s">
        <v>89</v>
      </c>
      <c r="M4" s="126">
        <v>72</v>
      </c>
    </row>
    <row r="5" spans="1:22" x14ac:dyDescent="0.25">
      <c r="C5" s="102"/>
      <c r="D5" s="102"/>
      <c r="E5" s="78"/>
      <c r="F5" s="102"/>
      <c r="G5" s="107"/>
      <c r="I5" s="78"/>
      <c r="J5" s="83"/>
      <c r="K5" s="106"/>
      <c r="L5" s="95" t="s">
        <v>91</v>
      </c>
      <c r="M5" s="126">
        <v>16</v>
      </c>
      <c r="R5" s="30"/>
      <c r="S5" s="30"/>
    </row>
    <row r="6" spans="1:22" x14ac:dyDescent="0.25">
      <c r="A6" s="622" t="s">
        <v>117</v>
      </c>
      <c r="B6" s="622"/>
      <c r="C6" s="622"/>
      <c r="D6" s="468"/>
      <c r="E6" s="79"/>
      <c r="F6" s="107"/>
      <c r="G6" s="108"/>
      <c r="H6" s="60"/>
      <c r="I6" s="79"/>
      <c r="J6" s="84"/>
      <c r="K6" s="103"/>
      <c r="L6" s="101" t="s">
        <v>1560</v>
      </c>
      <c r="M6" s="109"/>
      <c r="S6" s="30"/>
    </row>
    <row r="7" spans="1:22" x14ac:dyDescent="0.25">
      <c r="A7" s="110"/>
      <c r="B7" s="347"/>
      <c r="C7" s="469"/>
      <c r="D7" s="111"/>
      <c r="E7" s="80"/>
      <c r="F7" s="169"/>
      <c r="G7" s="169"/>
      <c r="H7" s="613" t="s">
        <v>1</v>
      </c>
      <c r="I7" s="623"/>
      <c r="J7" s="614"/>
      <c r="K7" s="112"/>
      <c r="L7" s="624" t="s">
        <v>2</v>
      </c>
      <c r="M7" s="625"/>
      <c r="R7" s="30"/>
      <c r="S7" s="30"/>
    </row>
    <row r="8" spans="1:22" x14ac:dyDescent="0.25">
      <c r="A8" s="626" t="s">
        <v>3</v>
      </c>
      <c r="B8" s="627"/>
      <c r="C8" s="627"/>
      <c r="D8" s="628"/>
      <c r="E8" s="18" t="s">
        <v>4</v>
      </c>
      <c r="F8" s="467" t="s">
        <v>5</v>
      </c>
      <c r="G8" s="73" t="s">
        <v>6</v>
      </c>
      <c r="H8" s="11" t="s">
        <v>7</v>
      </c>
      <c r="I8" s="81"/>
      <c r="J8" s="12" t="s">
        <v>8</v>
      </c>
      <c r="K8" s="74" t="s">
        <v>9</v>
      </c>
      <c r="L8" s="96"/>
      <c r="M8" s="113"/>
      <c r="R8" s="214"/>
      <c r="S8" s="30"/>
    </row>
    <row r="9" spans="1:22" x14ac:dyDescent="0.25">
      <c r="A9" s="114"/>
      <c r="B9" s="348"/>
      <c r="C9" s="107"/>
      <c r="D9" s="115"/>
      <c r="E9" s="81"/>
      <c r="F9" s="116"/>
      <c r="G9" s="115"/>
      <c r="H9" s="17" t="s">
        <v>10</v>
      </c>
      <c r="I9" s="18" t="s">
        <v>11</v>
      </c>
      <c r="J9" s="12" t="s">
        <v>12</v>
      </c>
      <c r="K9" s="117"/>
      <c r="L9" s="467" t="s">
        <v>13</v>
      </c>
      <c r="M9" s="467" t="s">
        <v>14</v>
      </c>
      <c r="R9" s="214"/>
    </row>
    <row r="10" spans="1:22" x14ac:dyDescent="0.25">
      <c r="A10" s="118"/>
      <c r="B10" s="349"/>
      <c r="C10" s="108"/>
      <c r="D10" s="119"/>
      <c r="E10" s="82"/>
      <c r="F10" s="170"/>
      <c r="G10" s="170"/>
      <c r="H10" s="22"/>
      <c r="I10" s="85"/>
      <c r="J10" s="86" t="s">
        <v>15</v>
      </c>
      <c r="K10" s="120"/>
      <c r="L10" s="22"/>
      <c r="M10" s="51" t="s">
        <v>16</v>
      </c>
      <c r="R10" s="214"/>
    </row>
    <row r="11" spans="1:22" x14ac:dyDescent="0.25">
      <c r="A11" s="142" t="s">
        <v>17</v>
      </c>
      <c r="B11" s="142"/>
      <c r="C11" s="59"/>
      <c r="D11" s="59"/>
      <c r="E11" s="59"/>
      <c r="F11" s="59"/>
      <c r="G11" s="59"/>
      <c r="H11" s="59"/>
      <c r="I11" s="59"/>
      <c r="J11" s="59"/>
      <c r="K11" s="75"/>
      <c r="L11" s="59"/>
      <c r="M11" s="59"/>
      <c r="R11" s="272" t="s">
        <v>3251</v>
      </c>
      <c r="T11" t="s">
        <v>160</v>
      </c>
      <c r="U11" t="s">
        <v>163</v>
      </c>
      <c r="V11" t="s">
        <v>309</v>
      </c>
    </row>
    <row r="12" spans="1:22" x14ac:dyDescent="0.25">
      <c r="A12" s="228">
        <v>1</v>
      </c>
      <c r="B12" s="351" t="s">
        <v>3086</v>
      </c>
      <c r="C12" s="230" t="s">
        <v>3087</v>
      </c>
      <c r="D12" s="230" t="s">
        <v>3088</v>
      </c>
      <c r="E12" s="230" t="s">
        <v>160</v>
      </c>
      <c r="F12" s="230" t="s">
        <v>196</v>
      </c>
      <c r="G12" s="230" t="s">
        <v>42</v>
      </c>
      <c r="H12" s="231" t="s">
        <v>3089</v>
      </c>
      <c r="I12" s="233" t="s">
        <v>40</v>
      </c>
      <c r="J12" s="232">
        <v>3000</v>
      </c>
      <c r="K12" s="229">
        <v>600</v>
      </c>
      <c r="L12" s="224" t="s">
        <v>147</v>
      </c>
      <c r="M12" s="224" t="s">
        <v>41</v>
      </c>
      <c r="O12">
        <f>J12/5</f>
        <v>600</v>
      </c>
      <c r="Q12" s="30"/>
      <c r="R12" s="320" t="s">
        <v>138</v>
      </c>
      <c r="S12" s="27">
        <f>SUM(J12:J15,J17:J27,J29:J37,J39,J41,J43:J46,J48:J49,J51,J54,J56,J58:J62,J64:J67,J69:J73,J75:J78,J81,J83,J86:J93,J95:J96,J98:J99,J101:J102,J104)</f>
        <v>101350</v>
      </c>
      <c r="T12" s="320">
        <v>51</v>
      </c>
      <c r="U12">
        <v>10</v>
      </c>
      <c r="V12" t="s">
        <v>3253</v>
      </c>
    </row>
    <row r="13" spans="1:22" x14ac:dyDescent="0.25">
      <c r="A13" s="228">
        <v>1</v>
      </c>
      <c r="B13" s="351" t="s">
        <v>3116</v>
      </c>
      <c r="C13" s="230" t="s">
        <v>3117</v>
      </c>
      <c r="D13" s="230"/>
      <c r="E13" s="230" t="s">
        <v>160</v>
      </c>
      <c r="F13" s="230" t="s">
        <v>1173</v>
      </c>
      <c r="G13" s="230" t="s">
        <v>48</v>
      </c>
      <c r="H13" s="231"/>
      <c r="I13" s="233" t="s">
        <v>40</v>
      </c>
      <c r="J13" s="232">
        <v>1000</v>
      </c>
      <c r="K13" s="229" t="s">
        <v>152</v>
      </c>
      <c r="L13" s="224"/>
      <c r="M13" s="224"/>
      <c r="O13">
        <f>J13/5</f>
        <v>200</v>
      </c>
      <c r="Q13" s="30"/>
      <c r="R13" s="321" t="s">
        <v>1651</v>
      </c>
      <c r="S13" s="27">
        <f>SUM(J16,J38,J50,J52:J53,J55,J57,J63,J68,J74,J82,J94,J103,J105:J106)</f>
        <v>8700</v>
      </c>
      <c r="T13" s="320">
        <v>13</v>
      </c>
      <c r="U13">
        <v>2</v>
      </c>
    </row>
    <row r="14" spans="1:22" x14ac:dyDescent="0.25">
      <c r="A14" s="228">
        <v>1</v>
      </c>
      <c r="B14" s="351" t="s">
        <v>3090</v>
      </c>
      <c r="C14" s="230" t="s">
        <v>3091</v>
      </c>
      <c r="D14" s="230"/>
      <c r="E14" s="230" t="s">
        <v>160</v>
      </c>
      <c r="F14" s="230" t="s">
        <v>437</v>
      </c>
      <c r="G14" s="230" t="s">
        <v>43</v>
      </c>
      <c r="H14" s="231" t="s">
        <v>3092</v>
      </c>
      <c r="I14" s="233" t="s">
        <v>40</v>
      </c>
      <c r="J14" s="232">
        <v>100</v>
      </c>
      <c r="K14" s="229">
        <v>20</v>
      </c>
      <c r="L14" s="224" t="s">
        <v>147</v>
      </c>
      <c r="M14" s="224" t="s">
        <v>41</v>
      </c>
      <c r="O14">
        <f t="shared" ref="O14:O203" si="0">J14/5</f>
        <v>20</v>
      </c>
      <c r="Q14" s="30"/>
      <c r="R14" s="293" t="s">
        <v>1911</v>
      </c>
      <c r="S14" s="322">
        <f>SUM(J28,J40,J42,J47,J80,J84:J85)</f>
        <v>440</v>
      </c>
      <c r="T14" s="320">
        <v>5</v>
      </c>
      <c r="U14">
        <v>1</v>
      </c>
    </row>
    <row r="15" spans="1:22" x14ac:dyDescent="0.25">
      <c r="A15" s="228">
        <v>1</v>
      </c>
      <c r="B15" s="351" t="s">
        <v>2823</v>
      </c>
      <c r="C15" s="230" t="s">
        <v>3025</v>
      </c>
      <c r="D15" s="230"/>
      <c r="E15" s="230" t="s">
        <v>160</v>
      </c>
      <c r="F15" s="230" t="s">
        <v>375</v>
      </c>
      <c r="G15" s="230" t="s">
        <v>43</v>
      </c>
      <c r="H15" s="231" t="s">
        <v>3026</v>
      </c>
      <c r="I15" s="230" t="s">
        <v>40</v>
      </c>
      <c r="J15" s="232">
        <v>1000</v>
      </c>
      <c r="K15" s="229">
        <v>200</v>
      </c>
      <c r="L15" s="224" t="s">
        <v>147</v>
      </c>
      <c r="M15" s="224" t="s">
        <v>41</v>
      </c>
      <c r="O15">
        <f t="shared" si="0"/>
        <v>200</v>
      </c>
      <c r="Q15" s="30"/>
      <c r="R15" s="293" t="s">
        <v>465</v>
      </c>
      <c r="S15" s="322">
        <f>SUM(J79,J97,J100)</f>
        <v>2250</v>
      </c>
      <c r="T15" s="60">
        <v>2</v>
      </c>
      <c r="U15">
        <v>1</v>
      </c>
    </row>
    <row r="16" spans="1:22" x14ac:dyDescent="0.25">
      <c r="A16" s="228">
        <v>1</v>
      </c>
      <c r="B16" s="351" t="s">
        <v>2823</v>
      </c>
      <c r="C16" s="230" t="s">
        <v>3025</v>
      </c>
      <c r="D16" s="230"/>
      <c r="E16" s="230" t="s">
        <v>160</v>
      </c>
      <c r="F16" s="230" t="s">
        <v>375</v>
      </c>
      <c r="G16" s="230" t="s">
        <v>43</v>
      </c>
      <c r="H16" s="231" t="s">
        <v>3026</v>
      </c>
      <c r="I16" s="354" t="s">
        <v>1420</v>
      </c>
      <c r="J16" s="232">
        <v>300</v>
      </c>
      <c r="K16" s="229">
        <v>150</v>
      </c>
      <c r="L16" s="224" t="s">
        <v>147</v>
      </c>
      <c r="M16" s="224" t="s">
        <v>41</v>
      </c>
      <c r="O16">
        <f t="shared" si="0"/>
        <v>60</v>
      </c>
      <c r="R16" s="272" t="s">
        <v>3302</v>
      </c>
      <c r="T16" s="60"/>
    </row>
    <row r="17" spans="1:22" x14ac:dyDescent="0.25">
      <c r="A17" s="228">
        <v>1</v>
      </c>
      <c r="B17" s="351" t="s">
        <v>2527</v>
      </c>
      <c r="C17" s="230" t="s">
        <v>3093</v>
      </c>
      <c r="D17" s="230"/>
      <c r="E17" s="230" t="s">
        <v>160</v>
      </c>
      <c r="F17" s="230" t="s">
        <v>167</v>
      </c>
      <c r="G17" s="230" t="s">
        <v>43</v>
      </c>
      <c r="H17" s="231" t="s">
        <v>3094</v>
      </c>
      <c r="I17" s="233" t="s">
        <v>40</v>
      </c>
      <c r="J17" s="232">
        <v>500</v>
      </c>
      <c r="K17" s="229">
        <v>100</v>
      </c>
      <c r="L17" s="224" t="s">
        <v>147</v>
      </c>
      <c r="M17" s="224" t="s">
        <v>41</v>
      </c>
      <c r="O17">
        <f t="shared" si="0"/>
        <v>100</v>
      </c>
      <c r="R17" s="320" t="s">
        <v>138</v>
      </c>
      <c r="S17" s="322">
        <f>SUM(J107:J109,J111,J116:J117,J119:J122,J124:J125)</f>
        <v>16150</v>
      </c>
      <c r="T17" s="60">
        <v>8</v>
      </c>
      <c r="U17">
        <v>4</v>
      </c>
      <c r="V17" t="s">
        <v>789</v>
      </c>
    </row>
    <row r="18" spans="1:22" x14ac:dyDescent="0.25">
      <c r="A18" s="228">
        <v>1</v>
      </c>
      <c r="B18" s="351" t="s">
        <v>2527</v>
      </c>
      <c r="C18" s="230" t="s">
        <v>3093</v>
      </c>
      <c r="D18" s="230"/>
      <c r="E18" s="230" t="s">
        <v>160</v>
      </c>
      <c r="F18" s="230" t="s">
        <v>167</v>
      </c>
      <c r="G18" s="230" t="s">
        <v>43</v>
      </c>
      <c r="H18" s="231" t="s">
        <v>3094</v>
      </c>
      <c r="I18" s="463" t="s">
        <v>377</v>
      </c>
      <c r="J18" s="232">
        <v>500</v>
      </c>
      <c r="K18" s="229">
        <v>100</v>
      </c>
      <c r="L18" s="224" t="s">
        <v>147</v>
      </c>
      <c r="M18" s="224" t="s">
        <v>41</v>
      </c>
      <c r="O18">
        <f t="shared" si="0"/>
        <v>100</v>
      </c>
      <c r="Q18" s="69"/>
      <c r="R18" s="321" t="s">
        <v>1651</v>
      </c>
      <c r="S18" s="322">
        <f>SUM(J110,J112:J114,J118)</f>
        <v>2900</v>
      </c>
      <c r="T18" s="60">
        <v>5</v>
      </c>
    </row>
    <row r="19" spans="1:22" x14ac:dyDescent="0.25">
      <c r="A19" s="228">
        <v>1</v>
      </c>
      <c r="B19" s="351" t="s">
        <v>3095</v>
      </c>
      <c r="C19" s="230" t="s">
        <v>3096</v>
      </c>
      <c r="D19" s="230"/>
      <c r="E19" s="230" t="s">
        <v>160</v>
      </c>
      <c r="F19" s="230" t="s">
        <v>161</v>
      </c>
      <c r="G19" s="230" t="s">
        <v>54</v>
      </c>
      <c r="H19" s="231"/>
      <c r="I19" s="233" t="s">
        <v>40</v>
      </c>
      <c r="J19" s="232">
        <v>2500</v>
      </c>
      <c r="K19" s="229">
        <v>500</v>
      </c>
      <c r="L19" s="224" t="s">
        <v>147</v>
      </c>
      <c r="M19" s="224" t="s">
        <v>41</v>
      </c>
      <c r="O19">
        <f t="shared" si="0"/>
        <v>500</v>
      </c>
      <c r="R19" s="293" t="s">
        <v>1911</v>
      </c>
      <c r="S19" s="27">
        <f>SUM(J115,J123)</f>
        <v>120</v>
      </c>
      <c r="T19" s="60">
        <v>2</v>
      </c>
    </row>
    <row r="20" spans="1:22" x14ac:dyDescent="0.25">
      <c r="A20" s="228">
        <v>1</v>
      </c>
      <c r="B20" s="351" t="s">
        <v>3097</v>
      </c>
      <c r="C20" s="230" t="s">
        <v>3098</v>
      </c>
      <c r="D20" s="230"/>
      <c r="E20" s="230" t="s">
        <v>160</v>
      </c>
      <c r="F20" s="230" t="s">
        <v>3099</v>
      </c>
      <c r="G20" s="230" t="s">
        <v>64</v>
      </c>
      <c r="H20" s="231" t="s">
        <v>3100</v>
      </c>
      <c r="I20" s="233" t="s">
        <v>40</v>
      </c>
      <c r="J20" s="232">
        <v>3000</v>
      </c>
      <c r="K20" s="229">
        <v>600</v>
      </c>
      <c r="L20" s="224" t="s">
        <v>147</v>
      </c>
      <c r="M20" s="224" t="s">
        <v>41</v>
      </c>
      <c r="O20">
        <f t="shared" si="0"/>
        <v>600</v>
      </c>
      <c r="Q20" s="30"/>
      <c r="R20" s="272" t="s">
        <v>3370</v>
      </c>
      <c r="S20" s="322"/>
      <c r="T20" s="60"/>
    </row>
    <row r="21" spans="1:22" s="62" customFormat="1" x14ac:dyDescent="0.25">
      <c r="A21" s="228">
        <v>1</v>
      </c>
      <c r="B21" s="351" t="s">
        <v>1873</v>
      </c>
      <c r="C21" s="230" t="s">
        <v>3101</v>
      </c>
      <c r="D21" s="230"/>
      <c r="E21" s="230" t="s">
        <v>160</v>
      </c>
      <c r="F21" s="230" t="s">
        <v>703</v>
      </c>
      <c r="G21" s="230" t="s">
        <v>42</v>
      </c>
      <c r="H21" s="231" t="s">
        <v>1875</v>
      </c>
      <c r="I21" s="230" t="s">
        <v>40</v>
      </c>
      <c r="J21" s="232">
        <v>6000</v>
      </c>
      <c r="K21" s="229">
        <v>1200</v>
      </c>
      <c r="L21" s="224" t="s">
        <v>147</v>
      </c>
      <c r="M21" s="224" t="s">
        <v>41</v>
      </c>
      <c r="O21" s="62">
        <f t="shared" si="0"/>
        <v>1200</v>
      </c>
      <c r="R21" s="320" t="s">
        <v>138</v>
      </c>
      <c r="S21" s="98">
        <f>SUM(J126:J134,J136:J148,J150:J153,J155:J158,J159)</f>
        <v>46800</v>
      </c>
      <c r="T21" s="60"/>
    </row>
    <row r="22" spans="1:22" x14ac:dyDescent="0.25">
      <c r="A22" s="228">
        <v>1</v>
      </c>
      <c r="B22" s="351" t="s">
        <v>2354</v>
      </c>
      <c r="C22" s="230" t="s">
        <v>2336</v>
      </c>
      <c r="D22" s="230"/>
      <c r="E22" s="230" t="s">
        <v>160</v>
      </c>
      <c r="F22" s="230" t="s">
        <v>2353</v>
      </c>
      <c r="G22" s="230" t="s">
        <v>49</v>
      </c>
      <c r="H22" s="231" t="s">
        <v>3102</v>
      </c>
      <c r="I22" s="233" t="s">
        <v>40</v>
      </c>
      <c r="J22" s="232">
        <v>5000</v>
      </c>
      <c r="K22" s="229">
        <v>1000</v>
      </c>
      <c r="L22" s="224" t="s">
        <v>147</v>
      </c>
      <c r="M22" s="224" t="s">
        <v>41</v>
      </c>
      <c r="O22">
        <f t="shared" si="0"/>
        <v>1000</v>
      </c>
      <c r="R22" s="293" t="s">
        <v>1911</v>
      </c>
      <c r="S22" s="30">
        <f>SUM(J135,J154)</f>
        <v>150</v>
      </c>
      <c r="T22" s="60"/>
    </row>
    <row r="23" spans="1:22" x14ac:dyDescent="0.25">
      <c r="A23" s="228">
        <v>1</v>
      </c>
      <c r="B23" s="351" t="s">
        <v>1903</v>
      </c>
      <c r="C23" s="230" t="s">
        <v>1534</v>
      </c>
      <c r="D23" s="230"/>
      <c r="E23" s="230" t="s">
        <v>160</v>
      </c>
      <c r="F23" s="230" t="s">
        <v>1157</v>
      </c>
      <c r="G23" s="230" t="s">
        <v>43</v>
      </c>
      <c r="H23" s="231" t="s">
        <v>1158</v>
      </c>
      <c r="I23" s="463" t="s">
        <v>377</v>
      </c>
      <c r="J23" s="232">
        <v>50</v>
      </c>
      <c r="K23" s="229">
        <v>10</v>
      </c>
      <c r="L23" s="224" t="s">
        <v>147</v>
      </c>
      <c r="M23" s="224" t="s">
        <v>41</v>
      </c>
      <c r="O23">
        <f t="shared" si="0"/>
        <v>10</v>
      </c>
      <c r="R23" s="320" t="s">
        <v>1912</v>
      </c>
      <c r="S23" s="30">
        <v>280</v>
      </c>
      <c r="T23" s="60"/>
    </row>
    <row r="24" spans="1:22" x14ac:dyDescent="0.25">
      <c r="A24" s="228">
        <v>1</v>
      </c>
      <c r="B24" s="351" t="s">
        <v>2198</v>
      </c>
      <c r="C24" s="230" t="s">
        <v>2313</v>
      </c>
      <c r="D24" s="230"/>
      <c r="E24" s="230" t="s">
        <v>160</v>
      </c>
      <c r="F24" s="230" t="s">
        <v>196</v>
      </c>
      <c r="G24" s="230" t="s">
        <v>56</v>
      </c>
      <c r="H24" s="231" t="s">
        <v>3104</v>
      </c>
      <c r="I24" s="233" t="s">
        <v>40</v>
      </c>
      <c r="J24" s="232">
        <v>500</v>
      </c>
      <c r="K24" s="229">
        <v>100</v>
      </c>
      <c r="L24" s="224" t="s">
        <v>147</v>
      </c>
      <c r="M24" s="224" t="s">
        <v>41</v>
      </c>
      <c r="O24">
        <f t="shared" si="0"/>
        <v>100</v>
      </c>
      <c r="R24" s="321"/>
      <c r="S24" s="69"/>
      <c r="T24" s="60"/>
    </row>
    <row r="25" spans="1:22" x14ac:dyDescent="0.25">
      <c r="A25" s="228">
        <v>1</v>
      </c>
      <c r="B25" s="351" t="s">
        <v>3105</v>
      </c>
      <c r="C25" s="230" t="s">
        <v>3106</v>
      </c>
      <c r="D25" s="230"/>
      <c r="E25" s="230" t="s">
        <v>160</v>
      </c>
      <c r="F25" s="230" t="s">
        <v>194</v>
      </c>
      <c r="G25" s="230" t="s">
        <v>43</v>
      </c>
      <c r="H25" s="231" t="s">
        <v>241</v>
      </c>
      <c r="I25" s="230" t="s">
        <v>40</v>
      </c>
      <c r="J25" s="232">
        <v>7000</v>
      </c>
      <c r="K25" s="229">
        <v>1400</v>
      </c>
      <c r="L25" s="224" t="s">
        <v>147</v>
      </c>
      <c r="M25" s="224" t="s">
        <v>41</v>
      </c>
      <c r="O25">
        <f t="shared" si="0"/>
        <v>1400</v>
      </c>
      <c r="R25" s="293"/>
      <c r="S25" s="69"/>
      <c r="T25" s="60"/>
    </row>
    <row r="26" spans="1:22" x14ac:dyDescent="0.25">
      <c r="A26" s="228">
        <v>1</v>
      </c>
      <c r="B26" s="351" t="s">
        <v>3105</v>
      </c>
      <c r="C26" s="230" t="s">
        <v>3106</v>
      </c>
      <c r="D26" s="230"/>
      <c r="E26" s="230" t="s">
        <v>160</v>
      </c>
      <c r="F26" s="230" t="s">
        <v>194</v>
      </c>
      <c r="G26" s="230" t="s">
        <v>43</v>
      </c>
      <c r="H26" s="231" t="s">
        <v>241</v>
      </c>
      <c r="I26" s="463" t="s">
        <v>377</v>
      </c>
      <c r="J26" s="232">
        <v>1000</v>
      </c>
      <c r="K26" s="229">
        <v>200</v>
      </c>
      <c r="L26" s="224" t="s">
        <v>147</v>
      </c>
      <c r="M26" s="224" t="s">
        <v>41</v>
      </c>
      <c r="O26">
        <f t="shared" si="0"/>
        <v>200</v>
      </c>
      <c r="R26" s="293"/>
      <c r="S26" s="69"/>
      <c r="T26" s="60"/>
    </row>
    <row r="27" spans="1:22" x14ac:dyDescent="0.25">
      <c r="A27" s="228">
        <v>1</v>
      </c>
      <c r="B27" s="351" t="s">
        <v>3107</v>
      </c>
      <c r="C27" s="230" t="s">
        <v>3108</v>
      </c>
      <c r="D27" s="230"/>
      <c r="E27" s="230" t="s">
        <v>160</v>
      </c>
      <c r="F27" s="230" t="s">
        <v>3109</v>
      </c>
      <c r="G27" s="230" t="s">
        <v>44</v>
      </c>
      <c r="H27" s="231" t="s">
        <v>3110</v>
      </c>
      <c r="I27" s="230" t="s">
        <v>40</v>
      </c>
      <c r="J27" s="232">
        <v>500</v>
      </c>
      <c r="K27" s="229">
        <v>100</v>
      </c>
      <c r="L27" s="224" t="s">
        <v>147</v>
      </c>
      <c r="M27" s="224" t="s">
        <v>41</v>
      </c>
      <c r="O27">
        <f t="shared" si="0"/>
        <v>100</v>
      </c>
      <c r="R27" s="30"/>
      <c r="S27" s="30"/>
      <c r="T27" s="60"/>
    </row>
    <row r="28" spans="1:22" x14ac:dyDescent="0.25">
      <c r="A28" s="228">
        <v>1</v>
      </c>
      <c r="B28" s="351" t="s">
        <v>3107</v>
      </c>
      <c r="C28" s="230" t="s">
        <v>3108</v>
      </c>
      <c r="D28" s="230"/>
      <c r="E28" s="230" t="s">
        <v>160</v>
      </c>
      <c r="F28" s="230" t="s">
        <v>3109</v>
      </c>
      <c r="G28" s="230" t="s">
        <v>44</v>
      </c>
      <c r="H28" s="231" t="s">
        <v>3110</v>
      </c>
      <c r="I28" s="450" t="s">
        <v>1911</v>
      </c>
      <c r="J28" s="232">
        <v>20</v>
      </c>
      <c r="K28" s="229">
        <v>100</v>
      </c>
      <c r="L28" s="224" t="s">
        <v>147</v>
      </c>
      <c r="M28" s="224" t="s">
        <v>41</v>
      </c>
      <c r="O28">
        <f t="shared" si="0"/>
        <v>4</v>
      </c>
      <c r="S28" s="69"/>
    </row>
    <row r="29" spans="1:22" x14ac:dyDescent="0.25">
      <c r="A29" s="228">
        <v>1</v>
      </c>
      <c r="B29" s="351" t="s">
        <v>3111</v>
      </c>
      <c r="C29" s="230" t="s">
        <v>2647</v>
      </c>
      <c r="D29" s="230"/>
      <c r="E29" s="230" t="s">
        <v>160</v>
      </c>
      <c r="F29" s="230" t="s">
        <v>2716</v>
      </c>
      <c r="G29" s="230" t="s">
        <v>53</v>
      </c>
      <c r="H29" s="231" t="s">
        <v>3112</v>
      </c>
      <c r="I29" s="233" t="s">
        <v>40</v>
      </c>
      <c r="J29" s="232">
        <v>1000</v>
      </c>
      <c r="K29" s="229">
        <v>200</v>
      </c>
      <c r="L29" s="224" t="s">
        <v>147</v>
      </c>
      <c r="M29" s="224" t="s">
        <v>41</v>
      </c>
      <c r="O29">
        <f t="shared" si="0"/>
        <v>200</v>
      </c>
      <c r="R29" s="30"/>
      <c r="S29" s="30"/>
    </row>
    <row r="30" spans="1:22" x14ac:dyDescent="0.25">
      <c r="A30" s="228">
        <v>1</v>
      </c>
      <c r="B30" s="351" t="s">
        <v>1702</v>
      </c>
      <c r="C30" s="230" t="s">
        <v>2733</v>
      </c>
      <c r="D30" s="230"/>
      <c r="E30" s="283" t="s">
        <v>163</v>
      </c>
      <c r="F30" s="230" t="s">
        <v>211</v>
      </c>
      <c r="G30" s="230" t="s">
        <v>47</v>
      </c>
      <c r="H30" s="231" t="s">
        <v>3113</v>
      </c>
      <c r="I30" s="233" t="s">
        <v>40</v>
      </c>
      <c r="J30" s="232">
        <v>500</v>
      </c>
      <c r="K30" s="229">
        <v>100</v>
      </c>
      <c r="L30" s="224" t="s">
        <v>147</v>
      </c>
      <c r="M30" s="224" t="s">
        <v>41</v>
      </c>
      <c r="O30">
        <f t="shared" si="0"/>
        <v>100</v>
      </c>
      <c r="R30" s="30"/>
    </row>
    <row r="31" spans="1:22" x14ac:dyDescent="0.25">
      <c r="A31" s="228">
        <v>1</v>
      </c>
      <c r="B31" s="351" t="s">
        <v>3114</v>
      </c>
      <c r="C31" s="230" t="s">
        <v>3115</v>
      </c>
      <c r="D31" s="230"/>
      <c r="E31" s="230" t="s">
        <v>160</v>
      </c>
      <c r="F31" s="230" t="s">
        <v>1157</v>
      </c>
      <c r="G31" s="230" t="s">
        <v>42</v>
      </c>
      <c r="H31" s="231"/>
      <c r="I31" s="233" t="s">
        <v>40</v>
      </c>
      <c r="J31" s="232">
        <v>2000</v>
      </c>
      <c r="K31" s="229" t="s">
        <v>152</v>
      </c>
      <c r="L31" s="224" t="s">
        <v>147</v>
      </c>
      <c r="M31" s="224" t="s">
        <v>41</v>
      </c>
      <c r="O31">
        <f t="shared" si="0"/>
        <v>400</v>
      </c>
      <c r="R31" s="30"/>
    </row>
    <row r="32" spans="1:22" x14ac:dyDescent="0.25">
      <c r="A32" s="228">
        <v>1</v>
      </c>
      <c r="B32" s="351" t="s">
        <v>3114</v>
      </c>
      <c r="C32" s="230" t="s">
        <v>3115</v>
      </c>
      <c r="D32" s="230"/>
      <c r="E32" s="230" t="s">
        <v>160</v>
      </c>
      <c r="F32" s="230" t="s">
        <v>1157</v>
      </c>
      <c r="G32" s="230" t="s">
        <v>42</v>
      </c>
      <c r="H32" s="231"/>
      <c r="I32" s="230" t="s">
        <v>40</v>
      </c>
      <c r="J32" s="232">
        <v>3000</v>
      </c>
      <c r="K32" s="229">
        <v>600</v>
      </c>
      <c r="L32" s="224" t="s">
        <v>147</v>
      </c>
      <c r="M32" s="224" t="s">
        <v>41</v>
      </c>
      <c r="O32">
        <f t="shared" si="0"/>
        <v>600</v>
      </c>
    </row>
    <row r="33" spans="1:21" x14ac:dyDescent="0.25">
      <c r="A33" s="228">
        <v>1</v>
      </c>
      <c r="B33" s="351" t="s">
        <v>3116</v>
      </c>
      <c r="C33" s="230" t="s">
        <v>3117</v>
      </c>
      <c r="D33" s="230" t="s">
        <v>3118</v>
      </c>
      <c r="E33" s="230" t="s">
        <v>160</v>
      </c>
      <c r="F33" s="230" t="s">
        <v>1173</v>
      </c>
      <c r="G33" s="230" t="s">
        <v>48</v>
      </c>
      <c r="H33" s="231"/>
      <c r="I33" s="233" t="s">
        <v>40</v>
      </c>
      <c r="J33" s="232">
        <v>1000</v>
      </c>
      <c r="K33" s="229" t="s">
        <v>152</v>
      </c>
      <c r="L33" s="224" t="s">
        <v>147</v>
      </c>
      <c r="M33" s="224" t="s">
        <v>41</v>
      </c>
      <c r="O33">
        <f t="shared" si="0"/>
        <v>200</v>
      </c>
    </row>
    <row r="34" spans="1:21" x14ac:dyDescent="0.25">
      <c r="A34" s="228">
        <v>1</v>
      </c>
      <c r="B34" s="351" t="s">
        <v>3119</v>
      </c>
      <c r="C34" s="230" t="s">
        <v>3120</v>
      </c>
      <c r="D34" s="230"/>
      <c r="E34" s="230" t="s">
        <v>160</v>
      </c>
      <c r="F34" s="230"/>
      <c r="G34" s="230" t="s">
        <v>62</v>
      </c>
      <c r="H34" s="231" t="s">
        <v>3121</v>
      </c>
      <c r="I34" s="233" t="s">
        <v>40</v>
      </c>
      <c r="J34" s="232">
        <v>200</v>
      </c>
      <c r="K34" s="229" t="s">
        <v>152</v>
      </c>
      <c r="L34" s="224" t="s">
        <v>147</v>
      </c>
      <c r="M34" s="224" t="s">
        <v>41</v>
      </c>
      <c r="O34">
        <f t="shared" si="0"/>
        <v>40</v>
      </c>
      <c r="R34" s="30"/>
      <c r="S34" s="30"/>
      <c r="T34" s="30"/>
      <c r="U34" s="30"/>
    </row>
    <row r="35" spans="1:21" x14ac:dyDescent="0.25">
      <c r="A35" s="228">
        <v>1</v>
      </c>
      <c r="B35" s="351" t="s">
        <v>3123</v>
      </c>
      <c r="C35" s="230" t="s">
        <v>1884</v>
      </c>
      <c r="D35" s="230"/>
      <c r="E35" s="283" t="s">
        <v>163</v>
      </c>
      <c r="F35" s="230" t="s">
        <v>60</v>
      </c>
      <c r="G35" s="230" t="s">
        <v>61</v>
      </c>
      <c r="H35" s="231" t="s">
        <v>3124</v>
      </c>
      <c r="I35" s="233" t="s">
        <v>40</v>
      </c>
      <c r="J35" s="232">
        <v>350</v>
      </c>
      <c r="K35" s="229" t="s">
        <v>152</v>
      </c>
      <c r="L35" s="224" t="s">
        <v>147</v>
      </c>
      <c r="M35" s="224" t="s">
        <v>41</v>
      </c>
      <c r="O35">
        <f t="shared" si="0"/>
        <v>70</v>
      </c>
      <c r="R35" s="30"/>
    </row>
    <row r="36" spans="1:21" x14ac:dyDescent="0.25">
      <c r="A36" s="228">
        <v>1</v>
      </c>
      <c r="B36" s="351" t="s">
        <v>3125</v>
      </c>
      <c r="C36" s="230" t="s">
        <v>1552</v>
      </c>
      <c r="D36" s="230"/>
      <c r="E36" s="230" t="s">
        <v>160</v>
      </c>
      <c r="F36" s="230" t="s">
        <v>3126</v>
      </c>
      <c r="G36" s="230" t="s">
        <v>44</v>
      </c>
      <c r="H36" s="231" t="s">
        <v>3127</v>
      </c>
      <c r="I36" s="233" t="s">
        <v>40</v>
      </c>
      <c r="J36" s="232">
        <v>2000</v>
      </c>
      <c r="K36" s="229" t="s">
        <v>152</v>
      </c>
      <c r="L36" s="224" t="s">
        <v>147</v>
      </c>
      <c r="M36" s="224" t="s">
        <v>41</v>
      </c>
      <c r="O36">
        <f t="shared" si="0"/>
        <v>400</v>
      </c>
    </row>
    <row r="37" spans="1:21" x14ac:dyDescent="0.25">
      <c r="A37" s="228">
        <v>1</v>
      </c>
      <c r="B37" s="351" t="s">
        <v>3125</v>
      </c>
      <c r="C37" s="230" t="s">
        <v>1552</v>
      </c>
      <c r="D37" s="230"/>
      <c r="E37" s="230" t="s">
        <v>160</v>
      </c>
      <c r="F37" s="230" t="s">
        <v>3126</v>
      </c>
      <c r="G37" s="230" t="s">
        <v>44</v>
      </c>
      <c r="H37" s="231" t="s">
        <v>3127</v>
      </c>
      <c r="I37" s="463" t="s">
        <v>377</v>
      </c>
      <c r="J37" s="232">
        <v>2000</v>
      </c>
      <c r="K37" s="229" t="s">
        <v>152</v>
      </c>
      <c r="L37" s="224" t="s">
        <v>147</v>
      </c>
      <c r="M37" s="224" t="s">
        <v>41</v>
      </c>
      <c r="O37">
        <f t="shared" si="0"/>
        <v>400</v>
      </c>
    </row>
    <row r="38" spans="1:21" x14ac:dyDescent="0.25">
      <c r="A38" s="228">
        <v>1</v>
      </c>
      <c r="B38" s="351" t="s">
        <v>3128</v>
      </c>
      <c r="C38" s="230" t="s">
        <v>1406</v>
      </c>
      <c r="D38" s="230"/>
      <c r="E38" s="230" t="s">
        <v>160</v>
      </c>
      <c r="F38" s="230" t="s">
        <v>167</v>
      </c>
      <c r="G38" s="230" t="s">
        <v>43</v>
      </c>
      <c r="H38" s="231" t="s">
        <v>2526</v>
      </c>
      <c r="I38" s="354" t="s">
        <v>1420</v>
      </c>
      <c r="J38" s="232">
        <v>100</v>
      </c>
      <c r="K38" s="229">
        <v>50</v>
      </c>
      <c r="L38" s="224" t="s">
        <v>147</v>
      </c>
      <c r="M38" s="224" t="s">
        <v>41</v>
      </c>
      <c r="O38">
        <f t="shared" si="0"/>
        <v>20</v>
      </c>
    </row>
    <row r="39" spans="1:21" x14ac:dyDescent="0.25">
      <c r="A39" s="228">
        <v>1</v>
      </c>
      <c r="B39" s="351" t="s">
        <v>3129</v>
      </c>
      <c r="C39" s="230" t="s">
        <v>3130</v>
      </c>
      <c r="D39" s="230"/>
      <c r="E39" s="230" t="s">
        <v>160</v>
      </c>
      <c r="F39" s="230" t="s">
        <v>177</v>
      </c>
      <c r="G39" s="230" t="s">
        <v>53</v>
      </c>
      <c r="H39" s="231" t="s">
        <v>3131</v>
      </c>
      <c r="I39" s="230" t="s">
        <v>40</v>
      </c>
      <c r="J39" s="236">
        <v>500</v>
      </c>
      <c r="K39" s="271">
        <v>100</v>
      </c>
      <c r="L39" s="224" t="s">
        <v>147</v>
      </c>
      <c r="M39" s="224" t="s">
        <v>41</v>
      </c>
      <c r="O39">
        <f t="shared" si="0"/>
        <v>100</v>
      </c>
    </row>
    <row r="40" spans="1:21" x14ac:dyDescent="0.25">
      <c r="A40" s="228">
        <v>1</v>
      </c>
      <c r="B40" s="351" t="s">
        <v>3132</v>
      </c>
      <c r="C40" s="230" t="s">
        <v>3133</v>
      </c>
      <c r="D40" s="230"/>
      <c r="E40" s="283" t="s">
        <v>163</v>
      </c>
      <c r="F40" s="230" t="s">
        <v>754</v>
      </c>
      <c r="G40" s="230" t="s">
        <v>43</v>
      </c>
      <c r="H40" s="231" t="s">
        <v>3134</v>
      </c>
      <c r="I40" s="450" t="s">
        <v>1911</v>
      </c>
      <c r="J40" s="236">
        <v>30</v>
      </c>
      <c r="K40" s="271">
        <v>150</v>
      </c>
      <c r="L40" s="224" t="s">
        <v>147</v>
      </c>
      <c r="M40" s="224" t="s">
        <v>41</v>
      </c>
      <c r="O40">
        <f t="shared" si="0"/>
        <v>6</v>
      </c>
    </row>
    <row r="41" spans="1:21" x14ac:dyDescent="0.25">
      <c r="A41" s="228">
        <v>1</v>
      </c>
      <c r="B41" s="351" t="s">
        <v>2113</v>
      </c>
      <c r="C41" s="230" t="s">
        <v>3135</v>
      </c>
      <c r="D41" s="230"/>
      <c r="E41" s="230" t="s">
        <v>160</v>
      </c>
      <c r="F41" s="230" t="s">
        <v>1766</v>
      </c>
      <c r="G41" s="230" t="s">
        <v>49</v>
      </c>
      <c r="H41" s="231" t="s">
        <v>3136</v>
      </c>
      <c r="I41" s="230" t="s">
        <v>40</v>
      </c>
      <c r="J41" s="236">
        <v>1200</v>
      </c>
      <c r="K41" s="271">
        <v>240</v>
      </c>
      <c r="L41" s="224" t="s">
        <v>147</v>
      </c>
      <c r="M41" s="224" t="s">
        <v>41</v>
      </c>
      <c r="O41">
        <f t="shared" si="0"/>
        <v>240</v>
      </c>
    </row>
    <row r="42" spans="1:21" x14ac:dyDescent="0.25">
      <c r="A42" s="228">
        <v>1</v>
      </c>
      <c r="B42" s="351" t="s">
        <v>2113</v>
      </c>
      <c r="C42" s="230" t="s">
        <v>3135</v>
      </c>
      <c r="D42" s="230"/>
      <c r="E42" s="230" t="s">
        <v>160</v>
      </c>
      <c r="F42" s="230" t="s">
        <v>1766</v>
      </c>
      <c r="G42" s="230" t="s">
        <v>49</v>
      </c>
      <c r="H42" s="231" t="s">
        <v>3136</v>
      </c>
      <c r="I42" s="450" t="s">
        <v>1911</v>
      </c>
      <c r="J42" s="236">
        <v>40</v>
      </c>
      <c r="K42" s="271">
        <v>200</v>
      </c>
      <c r="L42" s="224" t="s">
        <v>147</v>
      </c>
      <c r="M42" s="224" t="s">
        <v>41</v>
      </c>
      <c r="O42">
        <f t="shared" si="0"/>
        <v>8</v>
      </c>
    </row>
    <row r="43" spans="1:21" s="62" customFormat="1" x14ac:dyDescent="0.25">
      <c r="A43" s="228">
        <v>1</v>
      </c>
      <c r="B43" s="351" t="s">
        <v>1925</v>
      </c>
      <c r="C43" s="230" t="s">
        <v>3137</v>
      </c>
      <c r="D43" s="230" t="s">
        <v>3138</v>
      </c>
      <c r="E43" s="230" t="s">
        <v>160</v>
      </c>
      <c r="F43" s="230" t="s">
        <v>523</v>
      </c>
      <c r="G43" s="230" t="s">
        <v>42</v>
      </c>
      <c r="H43" s="231" t="s">
        <v>3139</v>
      </c>
      <c r="I43" s="230" t="s">
        <v>40</v>
      </c>
      <c r="J43" s="236">
        <v>500</v>
      </c>
      <c r="K43" s="271">
        <v>100</v>
      </c>
      <c r="L43" s="224" t="s">
        <v>147</v>
      </c>
      <c r="M43" s="224" t="s">
        <v>41</v>
      </c>
      <c r="O43" s="62">
        <f t="shared" si="0"/>
        <v>100</v>
      </c>
    </row>
    <row r="44" spans="1:21" s="62" customFormat="1" x14ac:dyDescent="0.25">
      <c r="A44" s="228">
        <v>1</v>
      </c>
      <c r="B44" s="351" t="s">
        <v>3140</v>
      </c>
      <c r="C44" s="230" t="s">
        <v>3141</v>
      </c>
      <c r="D44" s="230"/>
      <c r="E44" s="230" t="s">
        <v>160</v>
      </c>
      <c r="F44" s="230" t="s">
        <v>1672</v>
      </c>
      <c r="G44" s="230" t="s">
        <v>48</v>
      </c>
      <c r="H44" s="231" t="s">
        <v>3142</v>
      </c>
      <c r="I44" s="230" t="s">
        <v>40</v>
      </c>
      <c r="J44" s="236">
        <v>1300</v>
      </c>
      <c r="K44" s="271">
        <v>260</v>
      </c>
      <c r="L44" s="224" t="s">
        <v>147</v>
      </c>
      <c r="M44" s="224" t="s">
        <v>41</v>
      </c>
      <c r="O44" s="62">
        <f t="shared" si="0"/>
        <v>260</v>
      </c>
      <c r="S44" s="325"/>
    </row>
    <row r="45" spans="1:21" s="62" customFormat="1" x14ac:dyDescent="0.25">
      <c r="A45" s="228">
        <v>1</v>
      </c>
      <c r="B45" s="351" t="s">
        <v>3143</v>
      </c>
      <c r="C45" s="230" t="s">
        <v>3144</v>
      </c>
      <c r="D45" s="230"/>
      <c r="E45" s="230" t="s">
        <v>160</v>
      </c>
      <c r="F45" s="230" t="s">
        <v>529</v>
      </c>
      <c r="G45" s="230" t="s">
        <v>43</v>
      </c>
      <c r="H45" s="231"/>
      <c r="I45" s="230" t="s">
        <v>40</v>
      </c>
      <c r="J45" s="236">
        <v>700</v>
      </c>
      <c r="K45" s="271">
        <v>140</v>
      </c>
      <c r="L45" s="224" t="s">
        <v>147</v>
      </c>
      <c r="M45" s="224" t="s">
        <v>41</v>
      </c>
      <c r="O45" s="62">
        <f t="shared" si="0"/>
        <v>140</v>
      </c>
    </row>
    <row r="46" spans="1:21" s="62" customFormat="1" x14ac:dyDescent="0.25">
      <c r="A46" s="228">
        <v>1</v>
      </c>
      <c r="B46" s="351" t="s">
        <v>3145</v>
      </c>
      <c r="C46" s="230" t="s">
        <v>3146</v>
      </c>
      <c r="D46" s="230"/>
      <c r="E46" s="230" t="s">
        <v>160</v>
      </c>
      <c r="F46" s="230" t="s">
        <v>226</v>
      </c>
      <c r="G46" s="230" t="s">
        <v>43</v>
      </c>
      <c r="H46" s="231" t="s">
        <v>3147</v>
      </c>
      <c r="I46" s="233" t="s">
        <v>40</v>
      </c>
      <c r="J46" s="236">
        <v>500</v>
      </c>
      <c r="K46" s="271">
        <v>100</v>
      </c>
      <c r="L46" s="224" t="s">
        <v>147</v>
      </c>
      <c r="M46" s="224" t="s">
        <v>41</v>
      </c>
      <c r="O46" s="62">
        <f t="shared" si="0"/>
        <v>100</v>
      </c>
    </row>
    <row r="47" spans="1:21" s="62" customFormat="1" x14ac:dyDescent="0.25">
      <c r="A47" s="228">
        <v>1</v>
      </c>
      <c r="B47" s="351" t="s">
        <v>3145</v>
      </c>
      <c r="C47" s="230" t="s">
        <v>3146</v>
      </c>
      <c r="D47" s="230"/>
      <c r="E47" s="230" t="s">
        <v>160</v>
      </c>
      <c r="F47" s="230" t="s">
        <v>226</v>
      </c>
      <c r="G47" s="230" t="s">
        <v>43</v>
      </c>
      <c r="H47" s="231" t="s">
        <v>3147</v>
      </c>
      <c r="I47" s="450" t="s">
        <v>1911</v>
      </c>
      <c r="J47" s="236">
        <v>10</v>
      </c>
      <c r="K47" s="271">
        <v>50</v>
      </c>
      <c r="L47" s="224" t="s">
        <v>147</v>
      </c>
      <c r="M47" s="224" t="s">
        <v>41</v>
      </c>
      <c r="O47" s="62">
        <f t="shared" si="0"/>
        <v>2</v>
      </c>
    </row>
    <row r="48" spans="1:21" s="62" customFormat="1" x14ac:dyDescent="0.25">
      <c r="A48" s="228">
        <v>1</v>
      </c>
      <c r="B48" s="351" t="s">
        <v>3148</v>
      </c>
      <c r="C48" s="230" t="s">
        <v>3149</v>
      </c>
      <c r="D48" s="230"/>
      <c r="E48" s="230" t="s">
        <v>160</v>
      </c>
      <c r="F48" s="230"/>
      <c r="G48" s="230" t="s">
        <v>49</v>
      </c>
      <c r="H48" s="231"/>
      <c r="I48" s="233" t="s">
        <v>40</v>
      </c>
      <c r="J48" s="236">
        <v>500</v>
      </c>
      <c r="K48" s="271">
        <v>100</v>
      </c>
      <c r="L48" s="224" t="s">
        <v>147</v>
      </c>
      <c r="M48" s="224" t="s">
        <v>41</v>
      </c>
      <c r="O48" s="62">
        <f t="shared" si="0"/>
        <v>100</v>
      </c>
    </row>
    <row r="49" spans="1:19" s="62" customFormat="1" x14ac:dyDescent="0.25">
      <c r="A49" s="228">
        <v>1</v>
      </c>
      <c r="B49" s="351" t="s">
        <v>1387</v>
      </c>
      <c r="C49" s="230" t="s">
        <v>1388</v>
      </c>
      <c r="D49" s="230"/>
      <c r="E49" s="230" t="s">
        <v>160</v>
      </c>
      <c r="F49" s="230" t="s">
        <v>164</v>
      </c>
      <c r="G49" s="458" t="s">
        <v>44</v>
      </c>
      <c r="H49" s="231" t="s">
        <v>3150</v>
      </c>
      <c r="I49" s="230" t="s">
        <v>40</v>
      </c>
      <c r="J49" s="236">
        <v>1000</v>
      </c>
      <c r="K49" s="271">
        <v>200</v>
      </c>
      <c r="L49" s="224" t="s">
        <v>147</v>
      </c>
      <c r="M49" s="224" t="s">
        <v>41</v>
      </c>
      <c r="O49" s="62">
        <f t="shared" si="0"/>
        <v>200</v>
      </c>
    </row>
    <row r="50" spans="1:19" s="62" customFormat="1" x14ac:dyDescent="0.25">
      <c r="A50" s="228">
        <v>1</v>
      </c>
      <c r="B50" s="351" t="s">
        <v>1387</v>
      </c>
      <c r="C50" s="230" t="s">
        <v>1388</v>
      </c>
      <c r="D50" s="230"/>
      <c r="E50" s="230" t="s">
        <v>160</v>
      </c>
      <c r="F50" s="230" t="s">
        <v>164</v>
      </c>
      <c r="G50" s="458" t="s">
        <v>44</v>
      </c>
      <c r="H50" s="231" t="s">
        <v>3150</v>
      </c>
      <c r="I50" s="354" t="s">
        <v>1420</v>
      </c>
      <c r="J50" s="236">
        <v>1000</v>
      </c>
      <c r="K50" s="271">
        <v>500</v>
      </c>
      <c r="L50" s="224" t="s">
        <v>147</v>
      </c>
      <c r="M50" s="224" t="s">
        <v>41</v>
      </c>
      <c r="O50" s="62">
        <f t="shared" si="0"/>
        <v>200</v>
      </c>
    </row>
    <row r="51" spans="1:19" s="62" customFormat="1" x14ac:dyDescent="0.25">
      <c r="A51" s="228">
        <v>1</v>
      </c>
      <c r="B51" s="351" t="s">
        <v>3151</v>
      </c>
      <c r="C51" s="230" t="s">
        <v>2092</v>
      </c>
      <c r="D51" s="230" t="s">
        <v>3165</v>
      </c>
      <c r="E51" s="283" t="s">
        <v>163</v>
      </c>
      <c r="F51" s="230" t="s">
        <v>237</v>
      </c>
      <c r="G51" s="230" t="s">
        <v>42</v>
      </c>
      <c r="H51" s="231" t="s">
        <v>3152</v>
      </c>
      <c r="I51" s="233" t="s">
        <v>40</v>
      </c>
      <c r="J51" s="236">
        <v>1500</v>
      </c>
      <c r="K51" s="271">
        <v>300</v>
      </c>
      <c r="L51" s="224" t="s">
        <v>147</v>
      </c>
      <c r="M51" s="224" t="s">
        <v>41</v>
      </c>
      <c r="O51" s="62">
        <f t="shared" si="0"/>
        <v>300</v>
      </c>
      <c r="S51" s="98"/>
    </row>
    <row r="52" spans="1:19" s="62" customFormat="1" x14ac:dyDescent="0.25">
      <c r="A52" s="228">
        <v>1</v>
      </c>
      <c r="B52" s="351" t="s">
        <v>3151</v>
      </c>
      <c r="C52" s="230" t="s">
        <v>2092</v>
      </c>
      <c r="D52" s="230" t="s">
        <v>3165</v>
      </c>
      <c r="E52" s="283" t="s">
        <v>163</v>
      </c>
      <c r="F52" s="230" t="s">
        <v>237</v>
      </c>
      <c r="G52" s="230" t="s">
        <v>42</v>
      </c>
      <c r="H52" s="231" t="s">
        <v>3152</v>
      </c>
      <c r="I52" s="354" t="s">
        <v>1420</v>
      </c>
      <c r="J52" s="236">
        <v>300</v>
      </c>
      <c r="K52" s="271">
        <v>150</v>
      </c>
      <c r="L52" s="224" t="s">
        <v>147</v>
      </c>
      <c r="M52" s="224" t="s">
        <v>41</v>
      </c>
      <c r="O52" s="62">
        <f t="shared" si="0"/>
        <v>60</v>
      </c>
    </row>
    <row r="53" spans="1:19" s="62" customFormat="1" x14ac:dyDescent="0.25">
      <c r="A53" s="228">
        <v>1</v>
      </c>
      <c r="B53" s="351" t="s">
        <v>3153</v>
      </c>
      <c r="C53" s="230" t="s">
        <v>3154</v>
      </c>
      <c r="D53" s="230"/>
      <c r="E53" s="230" t="s">
        <v>160</v>
      </c>
      <c r="F53" s="230" t="s">
        <v>180</v>
      </c>
      <c r="G53" s="230" t="s">
        <v>57</v>
      </c>
      <c r="H53" s="231" t="s">
        <v>3155</v>
      </c>
      <c r="I53" s="354" t="s">
        <v>1420</v>
      </c>
      <c r="J53" s="236">
        <v>1500</v>
      </c>
      <c r="K53" s="271">
        <v>750</v>
      </c>
      <c r="L53" s="224" t="s">
        <v>147</v>
      </c>
      <c r="M53" s="224" t="s">
        <v>41</v>
      </c>
      <c r="O53" s="62">
        <f t="shared" si="0"/>
        <v>300</v>
      </c>
    </row>
    <row r="54" spans="1:19" s="62" customFormat="1" x14ac:dyDescent="0.25">
      <c r="A54" s="228">
        <v>1</v>
      </c>
      <c r="B54" s="351" t="s">
        <v>2860</v>
      </c>
      <c r="C54" s="230" t="s">
        <v>3156</v>
      </c>
      <c r="D54" s="230"/>
      <c r="E54" s="230" t="s">
        <v>160</v>
      </c>
      <c r="F54" s="230" t="s">
        <v>331</v>
      </c>
      <c r="G54" s="230" t="s">
        <v>54</v>
      </c>
      <c r="H54" s="231" t="s">
        <v>3157</v>
      </c>
      <c r="I54" s="233" t="s">
        <v>40</v>
      </c>
      <c r="J54" s="236">
        <v>3000</v>
      </c>
      <c r="K54" s="271">
        <v>900</v>
      </c>
      <c r="L54" s="224" t="s">
        <v>147</v>
      </c>
      <c r="M54" s="224" t="s">
        <v>41</v>
      </c>
      <c r="O54" s="62">
        <f t="shared" si="0"/>
        <v>600</v>
      </c>
    </row>
    <row r="55" spans="1:19" s="62" customFormat="1" x14ac:dyDescent="0.25">
      <c r="A55" s="228">
        <v>1</v>
      </c>
      <c r="B55" s="351" t="s">
        <v>2860</v>
      </c>
      <c r="C55" s="230" t="s">
        <v>3156</v>
      </c>
      <c r="D55" s="230"/>
      <c r="E55" s="230" t="s">
        <v>160</v>
      </c>
      <c r="F55" s="230" t="s">
        <v>331</v>
      </c>
      <c r="G55" s="230" t="s">
        <v>54</v>
      </c>
      <c r="H55" s="231" t="s">
        <v>3157</v>
      </c>
      <c r="I55" s="354" t="s">
        <v>1420</v>
      </c>
      <c r="J55" s="236">
        <v>500</v>
      </c>
      <c r="K55" s="271">
        <v>250</v>
      </c>
      <c r="L55" s="224" t="s">
        <v>147</v>
      </c>
      <c r="M55" s="224" t="s">
        <v>41</v>
      </c>
      <c r="O55" s="62">
        <f t="shared" si="0"/>
        <v>100</v>
      </c>
    </row>
    <row r="56" spans="1:19" s="62" customFormat="1" x14ac:dyDescent="0.25">
      <c r="A56" s="228">
        <v>1</v>
      </c>
      <c r="B56" s="351" t="s">
        <v>3158</v>
      </c>
      <c r="C56" s="230" t="s">
        <v>2813</v>
      </c>
      <c r="D56" s="230"/>
      <c r="E56" s="230" t="s">
        <v>160</v>
      </c>
      <c r="F56" s="230" t="s">
        <v>1339</v>
      </c>
      <c r="G56" s="230" t="s">
        <v>73</v>
      </c>
      <c r="H56" s="231" t="s">
        <v>3159</v>
      </c>
      <c r="I56" s="233" t="s">
        <v>40</v>
      </c>
      <c r="J56" s="236">
        <v>1000</v>
      </c>
      <c r="K56" s="271">
        <v>200</v>
      </c>
      <c r="L56" s="224" t="s">
        <v>147</v>
      </c>
      <c r="M56" s="224" t="s">
        <v>41</v>
      </c>
      <c r="O56" s="62">
        <f t="shared" si="0"/>
        <v>200</v>
      </c>
    </row>
    <row r="57" spans="1:19" s="62" customFormat="1" x14ac:dyDescent="0.25">
      <c r="A57" s="228">
        <v>1</v>
      </c>
      <c r="B57" s="351" t="s">
        <v>3158</v>
      </c>
      <c r="C57" s="230" t="s">
        <v>2813</v>
      </c>
      <c r="D57" s="230"/>
      <c r="E57" s="230" t="s">
        <v>160</v>
      </c>
      <c r="F57" s="230" t="s">
        <v>1339</v>
      </c>
      <c r="G57" s="230" t="s">
        <v>73</v>
      </c>
      <c r="H57" s="231" t="s">
        <v>3159</v>
      </c>
      <c r="I57" s="354" t="s">
        <v>1420</v>
      </c>
      <c r="J57" s="236">
        <v>200</v>
      </c>
      <c r="K57" s="271">
        <v>100</v>
      </c>
      <c r="L57" s="224" t="s">
        <v>147</v>
      </c>
      <c r="M57" s="224" t="s">
        <v>41</v>
      </c>
      <c r="O57" s="62">
        <f t="shared" si="0"/>
        <v>40</v>
      </c>
    </row>
    <row r="58" spans="1:19" s="62" customFormat="1" x14ac:dyDescent="0.25">
      <c r="A58" s="228">
        <v>1</v>
      </c>
      <c r="B58" s="351" t="s">
        <v>2902</v>
      </c>
      <c r="C58" s="230" t="s">
        <v>3160</v>
      </c>
      <c r="D58" s="230" t="s">
        <v>3166</v>
      </c>
      <c r="E58" s="283" t="s">
        <v>163</v>
      </c>
      <c r="F58" s="230" t="s">
        <v>2262</v>
      </c>
      <c r="G58" s="230" t="s">
        <v>62</v>
      </c>
      <c r="H58" s="231" t="s">
        <v>3161</v>
      </c>
      <c r="I58" s="463" t="s">
        <v>377</v>
      </c>
      <c r="J58" s="236">
        <v>2000</v>
      </c>
      <c r="K58" s="271">
        <v>400</v>
      </c>
      <c r="L58" s="224" t="s">
        <v>147</v>
      </c>
      <c r="M58" s="224" t="s">
        <v>41</v>
      </c>
      <c r="O58" s="62">
        <f t="shared" si="0"/>
        <v>400</v>
      </c>
    </row>
    <row r="59" spans="1:19" s="62" customFormat="1" x14ac:dyDescent="0.25">
      <c r="A59" s="228">
        <v>1</v>
      </c>
      <c r="B59" s="351" t="s">
        <v>3162</v>
      </c>
      <c r="C59" s="230" t="s">
        <v>3163</v>
      </c>
      <c r="D59" s="230"/>
      <c r="E59" s="283" t="s">
        <v>163</v>
      </c>
      <c r="F59" s="230" t="s">
        <v>58</v>
      </c>
      <c r="G59" s="230" t="s">
        <v>42</v>
      </c>
      <c r="H59" s="231" t="s">
        <v>3164</v>
      </c>
      <c r="I59" s="463" t="s">
        <v>377</v>
      </c>
      <c r="J59" s="236">
        <v>1100</v>
      </c>
      <c r="K59" s="271" t="s">
        <v>152</v>
      </c>
      <c r="L59" s="224" t="s">
        <v>147</v>
      </c>
      <c r="M59" s="224" t="s">
        <v>41</v>
      </c>
      <c r="O59" s="62">
        <f t="shared" si="0"/>
        <v>220</v>
      </c>
    </row>
    <row r="60" spans="1:19" s="62" customFormat="1" x14ac:dyDescent="0.25">
      <c r="A60" s="228">
        <v>1</v>
      </c>
      <c r="B60" s="351" t="s">
        <v>3167</v>
      </c>
      <c r="C60" s="230" t="s">
        <v>3168</v>
      </c>
      <c r="D60" s="230" t="s">
        <v>3169</v>
      </c>
      <c r="E60" s="283" t="s">
        <v>163</v>
      </c>
      <c r="F60" s="230" t="s">
        <v>58</v>
      </c>
      <c r="G60" s="230" t="s">
        <v>42</v>
      </c>
      <c r="H60" s="231" t="s">
        <v>3170</v>
      </c>
      <c r="I60" s="463" t="s">
        <v>377</v>
      </c>
      <c r="J60" s="236">
        <v>1100</v>
      </c>
      <c r="K60" s="271" t="s">
        <v>152</v>
      </c>
      <c r="L60" s="224" t="s">
        <v>147</v>
      </c>
      <c r="M60" s="224" t="s">
        <v>41</v>
      </c>
      <c r="O60" s="62">
        <f t="shared" si="0"/>
        <v>220</v>
      </c>
      <c r="R60" s="325"/>
    </row>
    <row r="61" spans="1:19" s="62" customFormat="1" x14ac:dyDescent="0.25">
      <c r="A61" s="228">
        <v>1</v>
      </c>
      <c r="B61" s="351" t="s">
        <v>3171</v>
      </c>
      <c r="C61" s="230" t="s">
        <v>3172</v>
      </c>
      <c r="D61" s="230"/>
      <c r="E61" s="230" t="s">
        <v>160</v>
      </c>
      <c r="F61" s="230"/>
      <c r="G61" s="230" t="s">
        <v>54</v>
      </c>
      <c r="H61" s="231" t="s">
        <v>3173</v>
      </c>
      <c r="I61" s="233" t="s">
        <v>40</v>
      </c>
      <c r="J61" s="236">
        <v>1500</v>
      </c>
      <c r="K61" s="271">
        <v>450</v>
      </c>
      <c r="L61" s="224" t="s">
        <v>147</v>
      </c>
      <c r="M61" s="224" t="s">
        <v>41</v>
      </c>
      <c r="O61" s="62">
        <f t="shared" si="0"/>
        <v>300</v>
      </c>
      <c r="R61" s="325"/>
    </row>
    <row r="62" spans="1:19" s="62" customFormat="1" x14ac:dyDescent="0.25">
      <c r="A62" s="228">
        <v>1</v>
      </c>
      <c r="B62" s="351" t="s">
        <v>1845</v>
      </c>
      <c r="C62" s="230" t="s">
        <v>3174</v>
      </c>
      <c r="D62" s="230" t="s">
        <v>3175</v>
      </c>
      <c r="E62" s="283" t="s">
        <v>163</v>
      </c>
      <c r="F62" s="230" t="s">
        <v>911</v>
      </c>
      <c r="G62" s="230" t="s">
        <v>49</v>
      </c>
      <c r="H62" s="231" t="s">
        <v>3176</v>
      </c>
      <c r="I62" s="230" t="s">
        <v>40</v>
      </c>
      <c r="J62" s="236">
        <v>3000</v>
      </c>
      <c r="K62" s="271">
        <v>600</v>
      </c>
      <c r="L62" s="224" t="s">
        <v>147</v>
      </c>
      <c r="M62" s="224" t="s">
        <v>41</v>
      </c>
      <c r="O62" s="62">
        <f t="shared" si="0"/>
        <v>600</v>
      </c>
      <c r="R62" s="325"/>
    </row>
    <row r="63" spans="1:19" x14ac:dyDescent="0.25">
      <c r="A63" s="228">
        <v>1</v>
      </c>
      <c r="B63" s="351" t="s">
        <v>1845</v>
      </c>
      <c r="C63" s="230" t="s">
        <v>3174</v>
      </c>
      <c r="D63" s="230" t="s">
        <v>3175</v>
      </c>
      <c r="E63" s="283" t="s">
        <v>163</v>
      </c>
      <c r="F63" s="230" t="s">
        <v>911</v>
      </c>
      <c r="G63" s="230" t="s">
        <v>49</v>
      </c>
      <c r="H63" s="231" t="s">
        <v>3176</v>
      </c>
      <c r="I63" s="354" t="s">
        <v>1420</v>
      </c>
      <c r="J63" s="236">
        <v>500</v>
      </c>
      <c r="K63" s="271">
        <v>250</v>
      </c>
      <c r="L63" s="224" t="s">
        <v>147</v>
      </c>
      <c r="M63" s="224" t="s">
        <v>41</v>
      </c>
      <c r="O63">
        <f t="shared" si="0"/>
        <v>100</v>
      </c>
    </row>
    <row r="64" spans="1:19" x14ac:dyDescent="0.25">
      <c r="A64" s="228">
        <v>2</v>
      </c>
      <c r="B64" s="351" t="s">
        <v>3177</v>
      </c>
      <c r="C64" s="230" t="s">
        <v>3178</v>
      </c>
      <c r="D64" s="230"/>
      <c r="E64" s="230" t="s">
        <v>160</v>
      </c>
      <c r="F64" s="230" t="s">
        <v>3179</v>
      </c>
      <c r="G64" s="230" t="s">
        <v>74</v>
      </c>
      <c r="H64" s="231" t="s">
        <v>3180</v>
      </c>
      <c r="I64" s="233" t="s">
        <v>40</v>
      </c>
      <c r="J64" s="236">
        <v>500</v>
      </c>
      <c r="K64" s="271">
        <v>100</v>
      </c>
      <c r="L64" s="224" t="s">
        <v>147</v>
      </c>
      <c r="M64" s="224" t="s">
        <v>41</v>
      </c>
      <c r="O64">
        <f t="shared" si="0"/>
        <v>100</v>
      </c>
    </row>
    <row r="65" spans="1:15" x14ac:dyDescent="0.25">
      <c r="A65" s="246">
        <v>2</v>
      </c>
      <c r="B65" s="352" t="s">
        <v>2456</v>
      </c>
      <c r="C65" s="233" t="s">
        <v>2839</v>
      </c>
      <c r="D65" s="233"/>
      <c r="E65" s="283" t="s">
        <v>163</v>
      </c>
      <c r="F65" s="230" t="s">
        <v>2840</v>
      </c>
      <c r="G65" s="230" t="s">
        <v>49</v>
      </c>
      <c r="H65" s="231" t="s">
        <v>2841</v>
      </c>
      <c r="I65" s="233" t="s">
        <v>40</v>
      </c>
      <c r="J65" s="236">
        <v>200</v>
      </c>
      <c r="K65" s="271">
        <v>40</v>
      </c>
      <c r="L65" s="224" t="s">
        <v>147</v>
      </c>
      <c r="M65" s="224" t="s">
        <v>41</v>
      </c>
      <c r="O65">
        <f t="shared" si="0"/>
        <v>40</v>
      </c>
    </row>
    <row r="66" spans="1:15" x14ac:dyDescent="0.25">
      <c r="A66" s="246">
        <v>2</v>
      </c>
      <c r="B66" s="352" t="s">
        <v>2456</v>
      </c>
      <c r="C66" s="233" t="s">
        <v>2839</v>
      </c>
      <c r="D66" s="233"/>
      <c r="E66" s="283" t="s">
        <v>163</v>
      </c>
      <c r="F66" s="230" t="s">
        <v>2840</v>
      </c>
      <c r="G66" s="230" t="s">
        <v>49</v>
      </c>
      <c r="H66" s="231" t="s">
        <v>2841</v>
      </c>
      <c r="I66" s="463" t="s">
        <v>377</v>
      </c>
      <c r="J66" s="236">
        <v>1000</v>
      </c>
      <c r="K66" s="271">
        <v>200</v>
      </c>
      <c r="L66" s="230" t="s">
        <v>147</v>
      </c>
      <c r="M66" s="230" t="s">
        <v>41</v>
      </c>
      <c r="O66">
        <f t="shared" si="0"/>
        <v>200</v>
      </c>
    </row>
    <row r="67" spans="1:15" x14ac:dyDescent="0.25">
      <c r="A67" s="246">
        <v>2</v>
      </c>
      <c r="B67" s="352" t="s">
        <v>3181</v>
      </c>
      <c r="C67" s="233" t="s">
        <v>1349</v>
      </c>
      <c r="D67" s="233"/>
      <c r="E67" s="230" t="s">
        <v>160</v>
      </c>
      <c r="F67" s="230" t="s">
        <v>180</v>
      </c>
      <c r="G67" s="230" t="s">
        <v>61</v>
      </c>
      <c r="H67" s="231" t="s">
        <v>3182</v>
      </c>
      <c r="I67" s="463" t="s">
        <v>377</v>
      </c>
      <c r="J67" s="236">
        <v>1500</v>
      </c>
      <c r="K67" s="271">
        <v>300</v>
      </c>
      <c r="L67" s="224" t="s">
        <v>147</v>
      </c>
      <c r="M67" s="224" t="s">
        <v>41</v>
      </c>
      <c r="O67">
        <f t="shared" si="0"/>
        <v>300</v>
      </c>
    </row>
    <row r="68" spans="1:15" x14ac:dyDescent="0.25">
      <c r="A68" s="246">
        <v>2</v>
      </c>
      <c r="B68" s="352" t="s">
        <v>3181</v>
      </c>
      <c r="C68" s="233" t="s">
        <v>1349</v>
      </c>
      <c r="D68" s="233"/>
      <c r="E68" s="230" t="s">
        <v>160</v>
      </c>
      <c r="F68" s="230" t="s">
        <v>180</v>
      </c>
      <c r="G68" s="230" t="s">
        <v>61</v>
      </c>
      <c r="H68" s="231" t="s">
        <v>3182</v>
      </c>
      <c r="I68" s="354" t="s">
        <v>1420</v>
      </c>
      <c r="J68" s="236">
        <v>500</v>
      </c>
      <c r="K68" s="271">
        <v>250</v>
      </c>
      <c r="L68" s="224" t="s">
        <v>147</v>
      </c>
      <c r="M68" s="224" t="s">
        <v>41</v>
      </c>
      <c r="O68">
        <f t="shared" si="0"/>
        <v>100</v>
      </c>
    </row>
    <row r="69" spans="1:15" x14ac:dyDescent="0.25">
      <c r="A69" s="246">
        <v>2</v>
      </c>
      <c r="B69" s="352" t="s">
        <v>3183</v>
      </c>
      <c r="C69" s="233" t="s">
        <v>3184</v>
      </c>
      <c r="D69" s="233" t="s">
        <v>3088</v>
      </c>
      <c r="E69" s="283" t="s">
        <v>163</v>
      </c>
      <c r="F69" s="230" t="s">
        <v>1173</v>
      </c>
      <c r="G69" s="230" t="s">
        <v>48</v>
      </c>
      <c r="H69" s="231" t="s">
        <v>3185</v>
      </c>
      <c r="I69" s="463" t="s">
        <v>377</v>
      </c>
      <c r="J69" s="236">
        <v>300</v>
      </c>
      <c r="K69" s="271">
        <v>60</v>
      </c>
      <c r="L69" s="224" t="s">
        <v>147</v>
      </c>
      <c r="M69" s="224" t="s">
        <v>41</v>
      </c>
      <c r="O69">
        <f t="shared" si="0"/>
        <v>60</v>
      </c>
    </row>
    <row r="70" spans="1:15" x14ac:dyDescent="0.25">
      <c r="A70" s="246">
        <v>2</v>
      </c>
      <c r="B70" s="352" t="s">
        <v>3186</v>
      </c>
      <c r="C70" s="233" t="s">
        <v>3187</v>
      </c>
      <c r="D70" s="233"/>
      <c r="E70" s="283" t="s">
        <v>163</v>
      </c>
      <c r="F70" s="230" t="s">
        <v>60</v>
      </c>
      <c r="G70" s="230" t="s">
        <v>69</v>
      </c>
      <c r="H70" s="231" t="s">
        <v>3189</v>
      </c>
      <c r="I70" s="463" t="s">
        <v>377</v>
      </c>
      <c r="J70" s="236">
        <v>1500</v>
      </c>
      <c r="K70" s="271">
        <v>300</v>
      </c>
      <c r="L70" s="224" t="s">
        <v>147</v>
      </c>
      <c r="M70" s="224" t="s">
        <v>41</v>
      </c>
      <c r="O70">
        <f t="shared" si="0"/>
        <v>300</v>
      </c>
    </row>
    <row r="71" spans="1:15" x14ac:dyDescent="0.25">
      <c r="A71" s="246">
        <v>2</v>
      </c>
      <c r="B71" s="352" t="s">
        <v>1605</v>
      </c>
      <c r="C71" s="233" t="s">
        <v>3188</v>
      </c>
      <c r="D71" s="233"/>
      <c r="E71" s="230" t="s">
        <v>160</v>
      </c>
      <c r="F71" s="230"/>
      <c r="G71" s="230" t="s">
        <v>43</v>
      </c>
      <c r="H71" s="231"/>
      <c r="I71" s="233" t="s">
        <v>40</v>
      </c>
      <c r="J71" s="236">
        <v>200</v>
      </c>
      <c r="K71" s="271">
        <v>60</v>
      </c>
      <c r="L71" s="224" t="s">
        <v>147</v>
      </c>
      <c r="M71" s="224" t="s">
        <v>41</v>
      </c>
      <c r="O71">
        <f t="shared" si="0"/>
        <v>40</v>
      </c>
    </row>
    <row r="72" spans="1:15" x14ac:dyDescent="0.25">
      <c r="A72" s="246">
        <v>2</v>
      </c>
      <c r="B72" s="352" t="s">
        <v>3190</v>
      </c>
      <c r="C72" s="233" t="s">
        <v>3191</v>
      </c>
      <c r="D72" s="233" t="s">
        <v>3192</v>
      </c>
      <c r="E72" s="230" t="s">
        <v>160</v>
      </c>
      <c r="F72" s="230" t="s">
        <v>379</v>
      </c>
      <c r="G72" s="230" t="s">
        <v>58</v>
      </c>
      <c r="H72" s="231" t="s">
        <v>3193</v>
      </c>
      <c r="I72" s="230" t="s">
        <v>40</v>
      </c>
      <c r="J72" s="236">
        <v>100</v>
      </c>
      <c r="K72" s="271">
        <v>300</v>
      </c>
      <c r="L72" s="224" t="s">
        <v>147</v>
      </c>
      <c r="M72" s="224" t="s">
        <v>41</v>
      </c>
      <c r="O72">
        <f t="shared" si="0"/>
        <v>20</v>
      </c>
    </row>
    <row r="73" spans="1:15" x14ac:dyDescent="0.25">
      <c r="A73" s="246">
        <v>2</v>
      </c>
      <c r="B73" s="352" t="s">
        <v>3190</v>
      </c>
      <c r="C73" s="233" t="s">
        <v>3191</v>
      </c>
      <c r="D73" s="233" t="s">
        <v>3192</v>
      </c>
      <c r="E73" s="230" t="s">
        <v>160</v>
      </c>
      <c r="F73" s="230" t="s">
        <v>379</v>
      </c>
      <c r="G73" s="230" t="s">
        <v>58</v>
      </c>
      <c r="H73" s="231" t="s">
        <v>3193</v>
      </c>
      <c r="I73" s="463" t="s">
        <v>377</v>
      </c>
      <c r="J73" s="236">
        <v>2000</v>
      </c>
      <c r="K73" s="271">
        <v>400</v>
      </c>
      <c r="L73" s="224" t="s">
        <v>147</v>
      </c>
      <c r="M73" s="224" t="s">
        <v>41</v>
      </c>
      <c r="O73">
        <f t="shared" si="0"/>
        <v>400</v>
      </c>
    </row>
    <row r="74" spans="1:15" x14ac:dyDescent="0.25">
      <c r="A74" s="246">
        <v>2</v>
      </c>
      <c r="B74" s="352" t="s">
        <v>3194</v>
      </c>
      <c r="C74" s="233" t="s">
        <v>3195</v>
      </c>
      <c r="D74" s="233" t="s">
        <v>3165</v>
      </c>
      <c r="E74" s="230" t="s">
        <v>160</v>
      </c>
      <c r="F74" s="230" t="s">
        <v>2191</v>
      </c>
      <c r="G74" s="230" t="s">
        <v>55</v>
      </c>
      <c r="H74" s="231" t="s">
        <v>3196</v>
      </c>
      <c r="I74" s="354" t="s">
        <v>1420</v>
      </c>
      <c r="J74" s="236">
        <v>600</v>
      </c>
      <c r="K74" s="271">
        <v>300</v>
      </c>
      <c r="L74" s="224" t="s">
        <v>147</v>
      </c>
      <c r="M74" s="224" t="s">
        <v>41</v>
      </c>
      <c r="O74">
        <f t="shared" si="0"/>
        <v>120</v>
      </c>
    </row>
    <row r="75" spans="1:15" x14ac:dyDescent="0.25">
      <c r="A75" s="246">
        <v>2</v>
      </c>
      <c r="B75" s="352" t="s">
        <v>2709</v>
      </c>
      <c r="C75" s="233" t="s">
        <v>2710</v>
      </c>
      <c r="D75" s="233"/>
      <c r="E75" s="230" t="s">
        <v>160</v>
      </c>
      <c r="F75" s="230" t="s">
        <v>519</v>
      </c>
      <c r="G75" s="230" t="s">
        <v>56</v>
      </c>
      <c r="H75" s="231" t="s">
        <v>2711</v>
      </c>
      <c r="I75" s="233" t="s">
        <v>40</v>
      </c>
      <c r="J75" s="236">
        <v>550</v>
      </c>
      <c r="K75" s="271">
        <v>110</v>
      </c>
      <c r="L75" s="224" t="s">
        <v>147</v>
      </c>
      <c r="M75" s="224" t="s">
        <v>41</v>
      </c>
      <c r="O75">
        <f t="shared" si="0"/>
        <v>110</v>
      </c>
    </row>
    <row r="76" spans="1:15" x14ac:dyDescent="0.25">
      <c r="A76" s="246">
        <v>2</v>
      </c>
      <c r="B76" s="352" t="s">
        <v>1328</v>
      </c>
      <c r="C76" s="233" t="s">
        <v>2625</v>
      </c>
      <c r="D76" s="233"/>
      <c r="E76" s="230" t="s">
        <v>160</v>
      </c>
      <c r="F76" s="230" t="s">
        <v>588</v>
      </c>
      <c r="G76" s="230" t="s">
        <v>43</v>
      </c>
      <c r="H76" s="231" t="s">
        <v>3197</v>
      </c>
      <c r="I76" s="230" t="s">
        <v>40</v>
      </c>
      <c r="J76" s="236">
        <v>300</v>
      </c>
      <c r="K76" s="271">
        <v>90</v>
      </c>
      <c r="L76" s="224" t="s">
        <v>147</v>
      </c>
      <c r="M76" s="224" t="s">
        <v>41</v>
      </c>
      <c r="O76">
        <f t="shared" si="0"/>
        <v>60</v>
      </c>
    </row>
    <row r="77" spans="1:15" x14ac:dyDescent="0.25">
      <c r="A77" s="246">
        <v>2</v>
      </c>
      <c r="B77" s="352" t="s">
        <v>1284</v>
      </c>
      <c r="C77" s="233" t="s">
        <v>2278</v>
      </c>
      <c r="D77" s="233"/>
      <c r="E77" s="230" t="s">
        <v>160</v>
      </c>
      <c r="F77" s="230" t="s">
        <v>814</v>
      </c>
      <c r="G77" s="230" t="s">
        <v>47</v>
      </c>
      <c r="H77" s="231"/>
      <c r="I77" s="230" t="s">
        <v>40</v>
      </c>
      <c r="J77" s="236">
        <v>500</v>
      </c>
      <c r="K77" s="271">
        <v>100</v>
      </c>
      <c r="L77" s="224" t="s">
        <v>147</v>
      </c>
      <c r="M77" s="224" t="s">
        <v>41</v>
      </c>
      <c r="O77">
        <f t="shared" si="0"/>
        <v>100</v>
      </c>
    </row>
    <row r="78" spans="1:15" x14ac:dyDescent="0.25">
      <c r="A78" s="246">
        <v>2</v>
      </c>
      <c r="B78" s="352" t="s">
        <v>2866</v>
      </c>
      <c r="C78" s="233" t="s">
        <v>1728</v>
      </c>
      <c r="D78" s="233"/>
      <c r="E78" s="230" t="s">
        <v>160</v>
      </c>
      <c r="F78" s="230" t="s">
        <v>483</v>
      </c>
      <c r="G78" s="230" t="s">
        <v>56</v>
      </c>
      <c r="H78" s="231"/>
      <c r="I78" s="463" t="s">
        <v>377</v>
      </c>
      <c r="J78" s="236">
        <v>1000</v>
      </c>
      <c r="K78" s="271">
        <v>200</v>
      </c>
      <c r="L78" s="224" t="s">
        <v>147</v>
      </c>
      <c r="M78" s="224" t="s">
        <v>41</v>
      </c>
      <c r="O78">
        <f t="shared" si="0"/>
        <v>200</v>
      </c>
    </row>
    <row r="79" spans="1:15" x14ac:dyDescent="0.25">
      <c r="A79" s="246">
        <v>2</v>
      </c>
      <c r="B79" s="352" t="s">
        <v>3200</v>
      </c>
      <c r="C79" s="233" t="s">
        <v>3201</v>
      </c>
      <c r="D79" s="233"/>
      <c r="E79" s="230" t="s">
        <v>160</v>
      </c>
      <c r="F79" s="230" t="s">
        <v>3202</v>
      </c>
      <c r="G79" s="230" t="s">
        <v>53</v>
      </c>
      <c r="H79" s="231" t="s">
        <v>3203</v>
      </c>
      <c r="I79" s="399" t="s">
        <v>465</v>
      </c>
      <c r="J79" s="236">
        <v>2000</v>
      </c>
      <c r="K79" s="271">
        <v>2000</v>
      </c>
      <c r="L79" s="224" t="s">
        <v>147</v>
      </c>
      <c r="M79" s="224" t="s">
        <v>41</v>
      </c>
      <c r="O79">
        <f t="shared" si="0"/>
        <v>400</v>
      </c>
    </row>
    <row r="80" spans="1:15" x14ac:dyDescent="0.25">
      <c r="A80" s="246">
        <v>2</v>
      </c>
      <c r="B80" s="352" t="s">
        <v>3200</v>
      </c>
      <c r="C80" s="233" t="s">
        <v>3201</v>
      </c>
      <c r="D80" s="233"/>
      <c r="E80" s="230" t="s">
        <v>160</v>
      </c>
      <c r="F80" s="230" t="s">
        <v>3202</v>
      </c>
      <c r="G80" s="230" t="s">
        <v>53</v>
      </c>
      <c r="H80" s="231" t="s">
        <v>3203</v>
      </c>
      <c r="I80" s="450" t="s">
        <v>1911</v>
      </c>
      <c r="J80" s="236">
        <v>200</v>
      </c>
      <c r="K80" s="271">
        <v>1000</v>
      </c>
      <c r="L80" s="224" t="s">
        <v>147</v>
      </c>
      <c r="M80" s="224" t="s">
        <v>41</v>
      </c>
      <c r="O80">
        <f t="shared" si="0"/>
        <v>40</v>
      </c>
    </row>
    <row r="81" spans="1:15" x14ac:dyDescent="0.25">
      <c r="A81" s="246">
        <v>2</v>
      </c>
      <c r="B81" s="352" t="s">
        <v>3204</v>
      </c>
      <c r="C81" s="233" t="s">
        <v>3205</v>
      </c>
      <c r="D81" s="233" t="s">
        <v>3165</v>
      </c>
      <c r="E81" s="230" t="s">
        <v>160</v>
      </c>
      <c r="F81" s="230" t="s">
        <v>2991</v>
      </c>
      <c r="G81" s="230" t="s">
        <v>44</v>
      </c>
      <c r="H81" s="231" t="s">
        <v>3206</v>
      </c>
      <c r="I81" s="463" t="s">
        <v>377</v>
      </c>
      <c r="J81" s="236">
        <v>4000</v>
      </c>
      <c r="K81" s="271">
        <v>800</v>
      </c>
      <c r="L81" s="224" t="s">
        <v>147</v>
      </c>
      <c r="M81" s="224" t="s">
        <v>41</v>
      </c>
      <c r="O81">
        <f t="shared" si="0"/>
        <v>800</v>
      </c>
    </row>
    <row r="82" spans="1:15" x14ac:dyDescent="0.25">
      <c r="A82" s="246">
        <v>2</v>
      </c>
      <c r="B82" s="352" t="s">
        <v>3204</v>
      </c>
      <c r="C82" s="233" t="s">
        <v>3205</v>
      </c>
      <c r="D82" s="233" t="s">
        <v>3165</v>
      </c>
      <c r="E82" s="230" t="s">
        <v>160</v>
      </c>
      <c r="F82" s="230" t="s">
        <v>2991</v>
      </c>
      <c r="G82" s="230" t="s">
        <v>44</v>
      </c>
      <c r="H82" s="231" t="s">
        <v>3206</v>
      </c>
      <c r="I82" s="354" t="s">
        <v>1420</v>
      </c>
      <c r="J82" s="236">
        <v>1000</v>
      </c>
      <c r="K82" s="271">
        <v>500</v>
      </c>
      <c r="L82" s="224" t="s">
        <v>147</v>
      </c>
      <c r="M82" s="224" t="s">
        <v>41</v>
      </c>
      <c r="O82">
        <f t="shared" si="0"/>
        <v>200</v>
      </c>
    </row>
    <row r="83" spans="1:15" x14ac:dyDescent="0.25">
      <c r="A83" s="246">
        <v>2</v>
      </c>
      <c r="B83" s="352" t="s">
        <v>3207</v>
      </c>
      <c r="C83" s="233" t="s">
        <v>3208</v>
      </c>
      <c r="D83" s="233"/>
      <c r="E83" s="230" t="s">
        <v>160</v>
      </c>
      <c r="F83" s="230" t="s">
        <v>3209</v>
      </c>
      <c r="G83" s="230" t="s">
        <v>64</v>
      </c>
      <c r="H83" s="231" t="s">
        <v>3210</v>
      </c>
      <c r="I83" s="463" t="s">
        <v>377</v>
      </c>
      <c r="J83" s="236">
        <v>1000</v>
      </c>
      <c r="K83" s="271">
        <v>200</v>
      </c>
      <c r="L83" s="224" t="s">
        <v>147</v>
      </c>
      <c r="M83" s="224" t="s">
        <v>41</v>
      </c>
      <c r="O83">
        <f t="shared" si="0"/>
        <v>200</v>
      </c>
    </row>
    <row r="84" spans="1:15" x14ac:dyDescent="0.25">
      <c r="A84" s="246">
        <v>2</v>
      </c>
      <c r="B84" s="352" t="s">
        <v>3207</v>
      </c>
      <c r="C84" s="233" t="s">
        <v>3208</v>
      </c>
      <c r="D84" s="233"/>
      <c r="E84" s="230" t="s">
        <v>160</v>
      </c>
      <c r="F84" s="230" t="s">
        <v>3209</v>
      </c>
      <c r="G84" s="230" t="s">
        <v>64</v>
      </c>
      <c r="H84" s="231" t="s">
        <v>3210</v>
      </c>
      <c r="I84" s="450" t="s">
        <v>1911</v>
      </c>
      <c r="J84" s="236">
        <v>100</v>
      </c>
      <c r="K84" s="271">
        <v>500</v>
      </c>
      <c r="L84" s="224" t="s">
        <v>147</v>
      </c>
      <c r="M84" s="224" t="s">
        <v>41</v>
      </c>
      <c r="O84">
        <f t="shared" si="0"/>
        <v>20</v>
      </c>
    </row>
    <row r="85" spans="1:15" x14ac:dyDescent="0.25">
      <c r="A85" s="246">
        <v>2</v>
      </c>
      <c r="B85" s="352" t="s">
        <v>2720</v>
      </c>
      <c r="C85" s="233" t="s">
        <v>1864</v>
      </c>
      <c r="D85" s="233"/>
      <c r="E85" s="230" t="s">
        <v>160</v>
      </c>
      <c r="F85" s="230" t="s">
        <v>2721</v>
      </c>
      <c r="G85" s="230" t="s">
        <v>48</v>
      </c>
      <c r="H85" s="231" t="s">
        <v>2722</v>
      </c>
      <c r="I85" s="450" t="s">
        <v>1911</v>
      </c>
      <c r="J85" s="236">
        <v>40</v>
      </c>
      <c r="K85" s="271">
        <v>200</v>
      </c>
      <c r="L85" s="224" t="s">
        <v>147</v>
      </c>
      <c r="M85" s="224" t="s">
        <v>41</v>
      </c>
      <c r="O85">
        <f t="shared" si="0"/>
        <v>8</v>
      </c>
    </row>
    <row r="86" spans="1:15" x14ac:dyDescent="0.25">
      <c r="A86" s="246">
        <v>3</v>
      </c>
      <c r="B86" s="352" t="s">
        <v>3214</v>
      </c>
      <c r="C86" s="233" t="s">
        <v>1466</v>
      </c>
      <c r="D86" s="233"/>
      <c r="E86" s="230" t="s">
        <v>160</v>
      </c>
      <c r="F86" s="230" t="s">
        <v>1173</v>
      </c>
      <c r="G86" s="230" t="s">
        <v>48</v>
      </c>
      <c r="H86" s="231" t="s">
        <v>3215</v>
      </c>
      <c r="I86" s="233" t="s">
        <v>40</v>
      </c>
      <c r="J86" s="236">
        <v>1000</v>
      </c>
      <c r="K86" s="271" t="s">
        <v>152</v>
      </c>
      <c r="L86" s="224" t="s">
        <v>147</v>
      </c>
      <c r="M86" s="224" t="s">
        <v>41</v>
      </c>
      <c r="O86">
        <f t="shared" si="0"/>
        <v>200</v>
      </c>
    </row>
    <row r="87" spans="1:15" x14ac:dyDescent="0.25">
      <c r="A87" s="246">
        <v>7</v>
      </c>
      <c r="B87" s="352" t="s">
        <v>1333</v>
      </c>
      <c r="C87" s="233" t="s">
        <v>2557</v>
      </c>
      <c r="D87" s="233"/>
      <c r="E87" s="230" t="s">
        <v>160</v>
      </c>
      <c r="F87" s="230" t="s">
        <v>523</v>
      </c>
      <c r="G87" s="230" t="s">
        <v>42</v>
      </c>
      <c r="H87" s="231"/>
      <c r="I87" s="230" t="s">
        <v>40</v>
      </c>
      <c r="J87" s="236">
        <v>500</v>
      </c>
      <c r="K87" s="271" t="s">
        <v>152</v>
      </c>
      <c r="L87" s="224" t="s">
        <v>147</v>
      </c>
      <c r="M87" s="224" t="s">
        <v>41</v>
      </c>
      <c r="O87">
        <f t="shared" si="0"/>
        <v>100</v>
      </c>
    </row>
    <row r="88" spans="1:15" x14ac:dyDescent="0.25">
      <c r="A88" s="246">
        <v>7</v>
      </c>
      <c r="B88" s="352" t="s">
        <v>1333</v>
      </c>
      <c r="C88" s="233" t="s">
        <v>2361</v>
      </c>
      <c r="D88" s="233"/>
      <c r="E88" s="230" t="s">
        <v>160</v>
      </c>
      <c r="F88" s="230" t="s">
        <v>523</v>
      </c>
      <c r="G88" s="230" t="s">
        <v>42</v>
      </c>
      <c r="H88" s="231"/>
      <c r="I88" s="233" t="s">
        <v>40</v>
      </c>
      <c r="J88" s="236">
        <v>500</v>
      </c>
      <c r="K88" s="271">
        <v>100</v>
      </c>
      <c r="L88" s="224" t="s">
        <v>147</v>
      </c>
      <c r="M88" s="224" t="s">
        <v>41</v>
      </c>
      <c r="O88">
        <f t="shared" si="0"/>
        <v>100</v>
      </c>
    </row>
    <row r="89" spans="1:15" x14ac:dyDescent="0.25">
      <c r="A89" s="246">
        <v>7</v>
      </c>
      <c r="B89" s="352" t="s">
        <v>3218</v>
      </c>
      <c r="C89" s="233" t="s">
        <v>3219</v>
      </c>
      <c r="D89" s="233"/>
      <c r="E89" s="230" t="s">
        <v>160</v>
      </c>
      <c r="F89" s="230" t="s">
        <v>3220</v>
      </c>
      <c r="G89" s="230" t="s">
        <v>85</v>
      </c>
      <c r="H89" s="231" t="s">
        <v>3221</v>
      </c>
      <c r="I89" s="233" t="s">
        <v>40</v>
      </c>
      <c r="J89" s="236">
        <v>500</v>
      </c>
      <c r="K89" s="271">
        <v>100</v>
      </c>
      <c r="L89" s="224" t="s">
        <v>147</v>
      </c>
      <c r="M89" s="224" t="s">
        <v>41</v>
      </c>
      <c r="O89">
        <f t="shared" si="0"/>
        <v>100</v>
      </c>
    </row>
    <row r="90" spans="1:15" x14ac:dyDescent="0.25">
      <c r="A90" s="246">
        <v>7</v>
      </c>
      <c r="B90" s="352" t="s">
        <v>2817</v>
      </c>
      <c r="C90" s="233" t="s">
        <v>1796</v>
      </c>
      <c r="D90" s="233"/>
      <c r="E90" s="230" t="s">
        <v>160</v>
      </c>
      <c r="F90" s="230" t="s">
        <v>3222</v>
      </c>
      <c r="G90" s="230" t="s">
        <v>45</v>
      </c>
      <c r="H90" s="231"/>
      <c r="I90" s="230" t="s">
        <v>40</v>
      </c>
      <c r="J90" s="236">
        <v>10000</v>
      </c>
      <c r="K90" s="271">
        <v>2000</v>
      </c>
      <c r="L90" s="224" t="s">
        <v>147</v>
      </c>
      <c r="M90" s="224" t="s">
        <v>41</v>
      </c>
      <c r="O90">
        <f t="shared" si="0"/>
        <v>2000</v>
      </c>
    </row>
    <row r="91" spans="1:15" x14ac:dyDescent="0.25">
      <c r="A91" s="246">
        <v>7</v>
      </c>
      <c r="B91" s="352" t="s">
        <v>3223</v>
      </c>
      <c r="C91" s="233" t="s">
        <v>3224</v>
      </c>
      <c r="D91" s="233"/>
      <c r="E91" s="230" t="s">
        <v>160</v>
      </c>
      <c r="F91" s="230" t="s">
        <v>3225</v>
      </c>
      <c r="G91" s="230" t="s">
        <v>58</v>
      </c>
      <c r="H91" s="231" t="s">
        <v>3226</v>
      </c>
      <c r="I91" s="233" t="s">
        <v>40</v>
      </c>
      <c r="J91" s="236">
        <v>1000</v>
      </c>
      <c r="K91" s="271">
        <v>200</v>
      </c>
      <c r="L91" s="224" t="s">
        <v>147</v>
      </c>
      <c r="M91" s="224" t="s">
        <v>41</v>
      </c>
      <c r="O91">
        <f t="shared" si="0"/>
        <v>200</v>
      </c>
    </row>
    <row r="92" spans="1:15" x14ac:dyDescent="0.25">
      <c r="A92" s="246">
        <v>7</v>
      </c>
      <c r="B92" s="352" t="s">
        <v>2714</v>
      </c>
      <c r="C92" s="233" t="s">
        <v>2715</v>
      </c>
      <c r="D92" s="233"/>
      <c r="E92" s="230" t="s">
        <v>160</v>
      </c>
      <c r="F92" s="230" t="s">
        <v>2716</v>
      </c>
      <c r="G92" s="230" t="s">
        <v>59</v>
      </c>
      <c r="H92" s="231" t="s">
        <v>2717</v>
      </c>
      <c r="I92" s="233" t="s">
        <v>40</v>
      </c>
      <c r="J92" s="236">
        <v>2000</v>
      </c>
      <c r="K92" s="271">
        <v>400</v>
      </c>
      <c r="L92" s="224" t="s">
        <v>147</v>
      </c>
      <c r="M92" s="224" t="s">
        <v>41</v>
      </c>
      <c r="O92">
        <f t="shared" si="0"/>
        <v>400</v>
      </c>
    </row>
    <row r="93" spans="1:15" x14ac:dyDescent="0.25">
      <c r="A93" s="246">
        <v>7</v>
      </c>
      <c r="B93" s="352" t="s">
        <v>3227</v>
      </c>
      <c r="C93" s="233" t="s">
        <v>2009</v>
      </c>
      <c r="D93" s="233"/>
      <c r="E93" s="230" t="s">
        <v>160</v>
      </c>
      <c r="F93" s="230" t="s">
        <v>180</v>
      </c>
      <c r="G93" s="230" t="s">
        <v>57</v>
      </c>
      <c r="H93" s="231"/>
      <c r="I93" s="233" t="s">
        <v>40</v>
      </c>
      <c r="J93" s="236">
        <v>500</v>
      </c>
      <c r="K93" s="271">
        <v>100</v>
      </c>
      <c r="L93" s="224" t="s">
        <v>147</v>
      </c>
      <c r="M93" s="224" t="s">
        <v>41</v>
      </c>
      <c r="O93">
        <f t="shared" si="0"/>
        <v>100</v>
      </c>
    </row>
    <row r="94" spans="1:15" x14ac:dyDescent="0.25">
      <c r="A94" s="246">
        <v>7</v>
      </c>
      <c r="B94" s="352" t="s">
        <v>3227</v>
      </c>
      <c r="C94" s="233" t="s">
        <v>2009</v>
      </c>
      <c r="D94" s="233"/>
      <c r="E94" s="230" t="s">
        <v>160</v>
      </c>
      <c r="F94" s="230" t="s">
        <v>180</v>
      </c>
      <c r="G94" s="230" t="s">
        <v>57</v>
      </c>
      <c r="H94" s="231"/>
      <c r="I94" s="354" t="s">
        <v>1420</v>
      </c>
      <c r="J94" s="236">
        <v>100</v>
      </c>
      <c r="K94" s="271">
        <v>50</v>
      </c>
      <c r="L94" s="224" t="s">
        <v>147</v>
      </c>
      <c r="M94" s="224" t="s">
        <v>41</v>
      </c>
      <c r="O94">
        <f t="shared" si="0"/>
        <v>20</v>
      </c>
    </row>
    <row r="95" spans="1:15" x14ac:dyDescent="0.25">
      <c r="A95" s="246">
        <v>7</v>
      </c>
      <c r="B95" s="352" t="s">
        <v>1973</v>
      </c>
      <c r="C95" s="233" t="s">
        <v>3228</v>
      </c>
      <c r="D95" s="233"/>
      <c r="E95" s="230" t="s">
        <v>160</v>
      </c>
      <c r="F95" s="230"/>
      <c r="G95" s="230" t="s">
        <v>49</v>
      </c>
      <c r="H95" s="231"/>
      <c r="I95" s="233" t="s">
        <v>40</v>
      </c>
      <c r="J95" s="236">
        <v>500</v>
      </c>
      <c r="K95" s="271">
        <v>100</v>
      </c>
      <c r="L95" s="224" t="s">
        <v>147</v>
      </c>
      <c r="M95" s="224" t="s">
        <v>41</v>
      </c>
      <c r="O95">
        <f t="shared" si="0"/>
        <v>100</v>
      </c>
    </row>
    <row r="96" spans="1:15" x14ac:dyDescent="0.25">
      <c r="A96" s="246">
        <v>7</v>
      </c>
      <c r="B96" s="352" t="s">
        <v>2204</v>
      </c>
      <c r="C96" s="233" t="s">
        <v>1974</v>
      </c>
      <c r="D96" s="233"/>
      <c r="E96" s="230" t="s">
        <v>160</v>
      </c>
      <c r="F96" s="230"/>
      <c r="G96" s="230" t="s">
        <v>54</v>
      </c>
      <c r="H96" s="231" t="s">
        <v>3229</v>
      </c>
      <c r="I96" s="233" t="s">
        <v>40</v>
      </c>
      <c r="J96" s="236">
        <v>300</v>
      </c>
      <c r="K96" s="271">
        <v>60</v>
      </c>
      <c r="L96" s="224" t="s">
        <v>147</v>
      </c>
      <c r="M96" s="224" t="s">
        <v>41</v>
      </c>
      <c r="O96">
        <f t="shared" si="0"/>
        <v>60</v>
      </c>
    </row>
    <row r="97" spans="1:18" x14ac:dyDescent="0.25">
      <c r="A97" s="246">
        <v>7</v>
      </c>
      <c r="B97" s="352" t="s">
        <v>3230</v>
      </c>
      <c r="C97" s="233" t="s">
        <v>3231</v>
      </c>
      <c r="D97" s="233"/>
      <c r="E97" s="283" t="s">
        <v>163</v>
      </c>
      <c r="F97" s="230" t="s">
        <v>3220</v>
      </c>
      <c r="G97" s="230" t="s">
        <v>85</v>
      </c>
      <c r="H97" s="231" t="s">
        <v>3216</v>
      </c>
      <c r="I97" s="399" t="s">
        <v>465</v>
      </c>
      <c r="J97" s="236">
        <v>150</v>
      </c>
      <c r="K97" s="271">
        <v>150</v>
      </c>
      <c r="L97" s="224" t="s">
        <v>147</v>
      </c>
      <c r="M97" s="224" t="s">
        <v>41</v>
      </c>
      <c r="O97">
        <f t="shared" si="0"/>
        <v>30</v>
      </c>
      <c r="R97" s="69"/>
    </row>
    <row r="98" spans="1:18" x14ac:dyDescent="0.25">
      <c r="A98" s="246">
        <v>7</v>
      </c>
      <c r="B98" s="352" t="s">
        <v>3232</v>
      </c>
      <c r="C98" s="233" t="s">
        <v>3233</v>
      </c>
      <c r="D98" s="233" t="s">
        <v>3175</v>
      </c>
      <c r="E98" s="230" t="s">
        <v>160</v>
      </c>
      <c r="F98" s="230" t="s">
        <v>3234</v>
      </c>
      <c r="G98" s="230" t="s">
        <v>55</v>
      </c>
      <c r="H98" s="231" t="s">
        <v>3235</v>
      </c>
      <c r="I98" s="233" t="s">
        <v>40</v>
      </c>
      <c r="J98" s="236">
        <v>300</v>
      </c>
      <c r="K98" s="271">
        <v>60</v>
      </c>
      <c r="L98" s="224" t="s">
        <v>147</v>
      </c>
      <c r="M98" s="224" t="s">
        <v>41</v>
      </c>
      <c r="O98">
        <f t="shared" si="0"/>
        <v>60</v>
      </c>
    </row>
    <row r="99" spans="1:18" x14ac:dyDescent="0.25">
      <c r="A99" s="246">
        <v>7</v>
      </c>
      <c r="B99" s="352" t="s">
        <v>3236</v>
      </c>
      <c r="C99" s="233" t="s">
        <v>3237</v>
      </c>
      <c r="D99" s="233"/>
      <c r="E99" s="230" t="s">
        <v>160</v>
      </c>
      <c r="F99" s="230" t="s">
        <v>459</v>
      </c>
      <c r="G99" s="230" t="s">
        <v>59</v>
      </c>
      <c r="H99" s="231" t="s">
        <v>3238</v>
      </c>
      <c r="I99" s="233" t="s">
        <v>40</v>
      </c>
      <c r="J99" s="236">
        <v>3500</v>
      </c>
      <c r="K99" s="271">
        <v>700</v>
      </c>
      <c r="L99" s="224" t="s">
        <v>147</v>
      </c>
      <c r="M99" s="224" t="s">
        <v>41</v>
      </c>
      <c r="O99">
        <f t="shared" si="0"/>
        <v>700</v>
      </c>
    </row>
    <row r="100" spans="1:18" x14ac:dyDescent="0.25">
      <c r="A100" s="246">
        <v>7</v>
      </c>
      <c r="B100" s="352" t="s">
        <v>3236</v>
      </c>
      <c r="C100" s="233" t="s">
        <v>3237</v>
      </c>
      <c r="D100" s="233"/>
      <c r="E100" s="230" t="s">
        <v>160</v>
      </c>
      <c r="F100" s="230" t="s">
        <v>459</v>
      </c>
      <c r="G100" s="230" t="s">
        <v>59</v>
      </c>
      <c r="H100" s="231" t="s">
        <v>3238</v>
      </c>
      <c r="I100" s="399" t="s">
        <v>465</v>
      </c>
      <c r="J100" s="236">
        <v>100</v>
      </c>
      <c r="K100" s="271">
        <v>100</v>
      </c>
      <c r="L100" s="224" t="s">
        <v>147</v>
      </c>
      <c r="M100" s="224" t="s">
        <v>41</v>
      </c>
      <c r="O100">
        <f t="shared" si="0"/>
        <v>20</v>
      </c>
    </row>
    <row r="101" spans="1:18" x14ac:dyDescent="0.25">
      <c r="A101" s="246">
        <v>7</v>
      </c>
      <c r="B101" s="352" t="s">
        <v>3239</v>
      </c>
      <c r="C101" s="233" t="s">
        <v>3240</v>
      </c>
      <c r="D101" s="233"/>
      <c r="E101" s="230" t="s">
        <v>160</v>
      </c>
      <c r="F101" s="230" t="s">
        <v>3241</v>
      </c>
      <c r="G101" s="230" t="s">
        <v>88</v>
      </c>
      <c r="H101" s="231" t="s">
        <v>3242</v>
      </c>
      <c r="I101" s="463" t="s">
        <v>377</v>
      </c>
      <c r="J101" s="236">
        <v>500</v>
      </c>
      <c r="K101" s="271">
        <v>100</v>
      </c>
      <c r="L101" s="224" t="s">
        <v>147</v>
      </c>
      <c r="M101" s="224" t="s">
        <v>41</v>
      </c>
      <c r="O101">
        <f t="shared" si="0"/>
        <v>100</v>
      </c>
    </row>
    <row r="102" spans="1:18" x14ac:dyDescent="0.25">
      <c r="A102" s="246">
        <v>7</v>
      </c>
      <c r="B102" s="352" t="s">
        <v>3243</v>
      </c>
      <c r="C102" s="233" t="s">
        <v>2779</v>
      </c>
      <c r="D102" s="233"/>
      <c r="E102" s="230" t="s">
        <v>160</v>
      </c>
      <c r="F102" s="230" t="s">
        <v>1766</v>
      </c>
      <c r="G102" s="230" t="s">
        <v>49</v>
      </c>
      <c r="H102" s="231" t="s">
        <v>3244</v>
      </c>
      <c r="I102" s="463" t="s">
        <v>377</v>
      </c>
      <c r="J102" s="236">
        <v>500</v>
      </c>
      <c r="K102" s="271">
        <v>100</v>
      </c>
      <c r="L102" s="224" t="s">
        <v>147</v>
      </c>
      <c r="M102" s="224" t="s">
        <v>41</v>
      </c>
      <c r="O102">
        <f t="shared" si="0"/>
        <v>100</v>
      </c>
    </row>
    <row r="103" spans="1:18" x14ac:dyDescent="0.25">
      <c r="A103" s="246">
        <v>7</v>
      </c>
      <c r="B103" s="352" t="s">
        <v>1891</v>
      </c>
      <c r="C103" s="233" t="s">
        <v>1778</v>
      </c>
      <c r="D103" s="233"/>
      <c r="E103" s="230" t="s">
        <v>160</v>
      </c>
      <c r="F103" s="230" t="s">
        <v>814</v>
      </c>
      <c r="G103" s="230" t="s">
        <v>47</v>
      </c>
      <c r="H103" s="231"/>
      <c r="I103" s="354" t="s">
        <v>1420</v>
      </c>
      <c r="J103" s="236">
        <v>1000</v>
      </c>
      <c r="K103" s="271">
        <v>500</v>
      </c>
      <c r="L103" s="224" t="s">
        <v>147</v>
      </c>
      <c r="M103" s="224" t="s">
        <v>41</v>
      </c>
      <c r="O103">
        <f t="shared" si="0"/>
        <v>200</v>
      </c>
    </row>
    <row r="104" spans="1:18" x14ac:dyDescent="0.25">
      <c r="A104" s="246">
        <v>7</v>
      </c>
      <c r="B104" s="352" t="s">
        <v>3245</v>
      </c>
      <c r="C104" s="233" t="s">
        <v>1447</v>
      </c>
      <c r="D104" s="233"/>
      <c r="E104" s="230" t="s">
        <v>160</v>
      </c>
      <c r="F104" s="230" t="s">
        <v>3246</v>
      </c>
      <c r="G104" s="230" t="s">
        <v>47</v>
      </c>
      <c r="H104" s="231" t="s">
        <v>3247</v>
      </c>
      <c r="I104" s="233" t="s">
        <v>40</v>
      </c>
      <c r="J104" s="236">
        <v>1000</v>
      </c>
      <c r="K104" s="271">
        <v>200</v>
      </c>
      <c r="L104" s="224" t="s">
        <v>147</v>
      </c>
      <c r="M104" s="224" t="s">
        <v>41</v>
      </c>
      <c r="O104">
        <f t="shared" si="0"/>
        <v>200</v>
      </c>
    </row>
    <row r="105" spans="1:18" x14ac:dyDescent="0.25">
      <c r="A105" s="246">
        <v>7</v>
      </c>
      <c r="B105" s="352" t="s">
        <v>3245</v>
      </c>
      <c r="C105" s="233" t="s">
        <v>1447</v>
      </c>
      <c r="D105" s="233"/>
      <c r="E105" s="230" t="s">
        <v>160</v>
      </c>
      <c r="F105" s="230" t="s">
        <v>3246</v>
      </c>
      <c r="G105" s="230" t="s">
        <v>47</v>
      </c>
      <c r="H105" s="231" t="s">
        <v>3247</v>
      </c>
      <c r="I105" s="354" t="s">
        <v>1420</v>
      </c>
      <c r="J105" s="236">
        <v>100</v>
      </c>
      <c r="K105" s="271">
        <v>500</v>
      </c>
      <c r="L105" s="224" t="s">
        <v>147</v>
      </c>
      <c r="M105" s="224" t="s">
        <v>41</v>
      </c>
      <c r="O105">
        <f t="shared" si="0"/>
        <v>20</v>
      </c>
    </row>
    <row r="106" spans="1:18" x14ac:dyDescent="0.25">
      <c r="A106" s="273">
        <v>7</v>
      </c>
      <c r="B106" s="352" t="s">
        <v>3248</v>
      </c>
      <c r="C106" s="233" t="s">
        <v>3249</v>
      </c>
      <c r="D106" s="233"/>
      <c r="E106" s="230" t="s">
        <v>160</v>
      </c>
      <c r="F106" s="230" t="s">
        <v>259</v>
      </c>
      <c r="G106" s="230" t="s">
        <v>49</v>
      </c>
      <c r="H106" s="231" t="s">
        <v>3250</v>
      </c>
      <c r="I106" s="354" t="s">
        <v>1420</v>
      </c>
      <c r="J106" s="236">
        <v>1000</v>
      </c>
      <c r="K106" s="271">
        <v>500</v>
      </c>
      <c r="L106" s="224" t="s">
        <v>147</v>
      </c>
      <c r="M106" s="224" t="s">
        <v>41</v>
      </c>
      <c r="O106">
        <f t="shared" si="0"/>
        <v>200</v>
      </c>
    </row>
    <row r="107" spans="1:18" x14ac:dyDescent="0.25">
      <c r="A107" s="246">
        <v>8</v>
      </c>
      <c r="B107" s="352" t="s">
        <v>3254</v>
      </c>
      <c r="C107" s="233" t="s">
        <v>1005</v>
      </c>
      <c r="D107" s="233" t="s">
        <v>3255</v>
      </c>
      <c r="E107" s="283" t="s">
        <v>163</v>
      </c>
      <c r="F107" s="230" t="s">
        <v>2378</v>
      </c>
      <c r="G107" s="230" t="s">
        <v>61</v>
      </c>
      <c r="H107" s="231" t="s">
        <v>3257</v>
      </c>
      <c r="I107" s="233" t="s">
        <v>40</v>
      </c>
      <c r="J107" s="236">
        <v>500</v>
      </c>
      <c r="K107" s="271" t="s">
        <v>152</v>
      </c>
      <c r="L107" s="224" t="s">
        <v>147</v>
      </c>
      <c r="M107" s="224" t="s">
        <v>41</v>
      </c>
      <c r="O107">
        <f t="shared" si="0"/>
        <v>100</v>
      </c>
    </row>
    <row r="108" spans="1:18" x14ac:dyDescent="0.25">
      <c r="A108" s="246">
        <v>8</v>
      </c>
      <c r="B108" s="352" t="s">
        <v>3256</v>
      </c>
      <c r="C108" s="233" t="s">
        <v>2176</v>
      </c>
      <c r="D108" s="233"/>
      <c r="E108" s="230" t="s">
        <v>160</v>
      </c>
      <c r="F108" s="230" t="s">
        <v>2378</v>
      </c>
      <c r="G108" s="230" t="s">
        <v>61</v>
      </c>
      <c r="H108" s="231"/>
      <c r="I108" s="230" t="s">
        <v>40</v>
      </c>
      <c r="J108" s="236">
        <v>500</v>
      </c>
      <c r="K108" s="271" t="s">
        <v>152</v>
      </c>
      <c r="L108" s="224" t="s">
        <v>147</v>
      </c>
      <c r="M108" s="224" t="s">
        <v>41</v>
      </c>
      <c r="O108">
        <f t="shared" si="0"/>
        <v>100</v>
      </c>
    </row>
    <row r="109" spans="1:18" x14ac:dyDescent="0.25">
      <c r="A109" s="246">
        <v>8</v>
      </c>
      <c r="B109" s="352" t="s">
        <v>3258</v>
      </c>
      <c r="C109" s="233" t="s">
        <v>3259</v>
      </c>
      <c r="D109" s="233" t="s">
        <v>3260</v>
      </c>
      <c r="E109" s="283" t="s">
        <v>163</v>
      </c>
      <c r="F109" s="230" t="s">
        <v>1157</v>
      </c>
      <c r="G109" s="230" t="s">
        <v>42</v>
      </c>
      <c r="H109" s="231" t="s">
        <v>3261</v>
      </c>
      <c r="I109" s="230" t="s">
        <v>40</v>
      </c>
      <c r="J109" s="236">
        <v>1500</v>
      </c>
      <c r="K109" s="271" t="s">
        <v>152</v>
      </c>
      <c r="L109" s="224" t="s">
        <v>147</v>
      </c>
      <c r="M109" s="224" t="s">
        <v>41</v>
      </c>
      <c r="O109">
        <f t="shared" si="0"/>
        <v>300</v>
      </c>
      <c r="R109" s="69"/>
    </row>
    <row r="110" spans="1:18" x14ac:dyDescent="0.25">
      <c r="A110" s="246">
        <v>9</v>
      </c>
      <c r="B110" s="352" t="s">
        <v>3254</v>
      </c>
      <c r="C110" s="233" t="s">
        <v>1546</v>
      </c>
      <c r="D110" s="233" t="s">
        <v>3165</v>
      </c>
      <c r="E110" s="230" t="s">
        <v>160</v>
      </c>
      <c r="F110" s="230" t="s">
        <v>2378</v>
      </c>
      <c r="G110" s="230" t="s">
        <v>61</v>
      </c>
      <c r="H110" s="231"/>
      <c r="I110" s="354" t="s">
        <v>1420</v>
      </c>
      <c r="J110" s="236">
        <v>300</v>
      </c>
      <c r="K110" s="271">
        <v>150</v>
      </c>
      <c r="L110" s="224" t="s">
        <v>147</v>
      </c>
      <c r="M110" s="224" t="s">
        <v>41</v>
      </c>
      <c r="O110">
        <f t="shared" si="0"/>
        <v>60</v>
      </c>
    </row>
    <row r="111" spans="1:18" x14ac:dyDescent="0.25">
      <c r="A111" s="246">
        <v>9</v>
      </c>
      <c r="B111" s="352" t="s">
        <v>3254</v>
      </c>
      <c r="C111" s="233" t="s">
        <v>1546</v>
      </c>
      <c r="D111" s="233" t="s">
        <v>3165</v>
      </c>
      <c r="E111" s="230" t="s">
        <v>160</v>
      </c>
      <c r="F111" s="230" t="s">
        <v>2378</v>
      </c>
      <c r="G111" s="230" t="s">
        <v>61</v>
      </c>
      <c r="H111" s="231"/>
      <c r="I111" s="230" t="s">
        <v>40</v>
      </c>
      <c r="J111" s="236">
        <v>500</v>
      </c>
      <c r="K111" s="271" t="s">
        <v>152</v>
      </c>
      <c r="L111" s="224" t="s">
        <v>147</v>
      </c>
      <c r="M111" s="224" t="s">
        <v>41</v>
      </c>
      <c r="O111">
        <f t="shared" si="0"/>
        <v>100</v>
      </c>
    </row>
    <row r="112" spans="1:18" x14ac:dyDescent="0.25">
      <c r="A112" s="246">
        <v>9</v>
      </c>
      <c r="B112" s="352" t="s">
        <v>3262</v>
      </c>
      <c r="C112" s="233" t="s">
        <v>3263</v>
      </c>
      <c r="D112" s="233"/>
      <c r="E112" s="230" t="s">
        <v>160</v>
      </c>
      <c r="F112" s="230" t="s">
        <v>483</v>
      </c>
      <c r="G112" s="230" t="s">
        <v>56</v>
      </c>
      <c r="H112" s="231" t="s">
        <v>3264</v>
      </c>
      <c r="I112" s="354" t="s">
        <v>1420</v>
      </c>
      <c r="J112" s="236">
        <v>400</v>
      </c>
      <c r="K112" s="271">
        <v>200</v>
      </c>
      <c r="L112" s="224" t="s">
        <v>147</v>
      </c>
      <c r="M112" s="224" t="s">
        <v>41</v>
      </c>
      <c r="O112">
        <f t="shared" si="0"/>
        <v>80</v>
      </c>
    </row>
    <row r="113" spans="1:19" x14ac:dyDescent="0.25">
      <c r="A113" s="246">
        <v>9</v>
      </c>
      <c r="B113" s="352" t="s">
        <v>3265</v>
      </c>
      <c r="C113" s="233" t="s">
        <v>3266</v>
      </c>
      <c r="D113" s="233"/>
      <c r="E113" s="230" t="s">
        <v>160</v>
      </c>
      <c r="F113" s="230" t="s">
        <v>3267</v>
      </c>
      <c r="G113" s="230" t="s">
        <v>54</v>
      </c>
      <c r="H113" s="231"/>
      <c r="I113" s="354" t="s">
        <v>1420</v>
      </c>
      <c r="J113" s="236">
        <v>200</v>
      </c>
      <c r="K113" s="271">
        <v>100</v>
      </c>
      <c r="L113" s="224" t="s">
        <v>147</v>
      </c>
      <c r="M113" s="224" t="s">
        <v>41</v>
      </c>
      <c r="O113">
        <f t="shared" si="0"/>
        <v>40</v>
      </c>
    </row>
    <row r="114" spans="1:19" x14ac:dyDescent="0.25">
      <c r="A114" s="246">
        <v>9</v>
      </c>
      <c r="B114" s="352" t="s">
        <v>3268</v>
      </c>
      <c r="C114" s="233" t="s">
        <v>3269</v>
      </c>
      <c r="D114" s="233"/>
      <c r="E114" s="230" t="s">
        <v>160</v>
      </c>
      <c r="F114" s="230" t="s">
        <v>814</v>
      </c>
      <c r="G114" s="230" t="s">
        <v>47</v>
      </c>
      <c r="H114" s="231" t="s">
        <v>3270</v>
      </c>
      <c r="I114" s="354" t="s">
        <v>1420</v>
      </c>
      <c r="J114" s="236">
        <v>1000</v>
      </c>
      <c r="K114" s="271">
        <v>500</v>
      </c>
      <c r="L114" s="224" t="s">
        <v>147</v>
      </c>
      <c r="M114" s="224" t="s">
        <v>41</v>
      </c>
      <c r="O114">
        <f t="shared" si="0"/>
        <v>200</v>
      </c>
    </row>
    <row r="115" spans="1:19" x14ac:dyDescent="0.25">
      <c r="A115" s="246">
        <v>9</v>
      </c>
      <c r="B115" s="352" t="s">
        <v>3271</v>
      </c>
      <c r="C115" s="233" t="s">
        <v>3272</v>
      </c>
      <c r="D115" s="233"/>
      <c r="E115" s="230" t="s">
        <v>160</v>
      </c>
      <c r="F115" s="230" t="s">
        <v>3273</v>
      </c>
      <c r="G115" s="230" t="s">
        <v>67</v>
      </c>
      <c r="H115" s="231"/>
      <c r="I115" s="450" t="s">
        <v>1911</v>
      </c>
      <c r="J115" s="236">
        <v>60</v>
      </c>
      <c r="K115" s="271">
        <v>600</v>
      </c>
      <c r="L115" s="224" t="s">
        <v>147</v>
      </c>
      <c r="M115" s="224" t="s">
        <v>41</v>
      </c>
      <c r="O115">
        <f t="shared" si="0"/>
        <v>12</v>
      </c>
    </row>
    <row r="116" spans="1:19" x14ac:dyDescent="0.25">
      <c r="A116" s="246">
        <v>9</v>
      </c>
      <c r="B116" s="352" t="s">
        <v>3274</v>
      </c>
      <c r="C116" s="233" t="s">
        <v>3275</v>
      </c>
      <c r="D116" s="233" t="s">
        <v>3165</v>
      </c>
      <c r="E116" s="230" t="s">
        <v>160</v>
      </c>
      <c r="F116" s="230" t="s">
        <v>1001</v>
      </c>
      <c r="G116" s="230" t="s">
        <v>42</v>
      </c>
      <c r="H116" s="231" t="s">
        <v>3276</v>
      </c>
      <c r="I116" s="233" t="s">
        <v>40</v>
      </c>
      <c r="J116" s="236">
        <v>450</v>
      </c>
      <c r="K116" s="271" t="s">
        <v>152</v>
      </c>
      <c r="L116" s="224" t="s">
        <v>147</v>
      </c>
      <c r="M116" s="224" t="s">
        <v>41</v>
      </c>
      <c r="O116">
        <f t="shared" si="0"/>
        <v>90</v>
      </c>
    </row>
    <row r="117" spans="1:19" x14ac:dyDescent="0.25">
      <c r="A117" s="246">
        <v>9</v>
      </c>
      <c r="B117" s="352" t="s">
        <v>3281</v>
      </c>
      <c r="C117" s="233" t="s">
        <v>3282</v>
      </c>
      <c r="D117" s="233"/>
      <c r="E117" s="283" t="s">
        <v>163</v>
      </c>
      <c r="F117" s="230" t="s">
        <v>3283</v>
      </c>
      <c r="G117" s="230" t="s">
        <v>74</v>
      </c>
      <c r="H117" s="231" t="s">
        <v>3278</v>
      </c>
      <c r="I117" s="233" t="s">
        <v>40</v>
      </c>
      <c r="J117" s="236">
        <v>1000</v>
      </c>
      <c r="K117" s="271">
        <v>200</v>
      </c>
      <c r="L117" s="224" t="s">
        <v>147</v>
      </c>
      <c r="M117" s="224" t="s">
        <v>41</v>
      </c>
      <c r="O117">
        <f t="shared" si="0"/>
        <v>200</v>
      </c>
    </row>
    <row r="118" spans="1:19" x14ac:dyDescent="0.25">
      <c r="A118" s="246">
        <v>9</v>
      </c>
      <c r="B118" s="352" t="s">
        <v>3284</v>
      </c>
      <c r="C118" s="233" t="s">
        <v>1669</v>
      </c>
      <c r="D118" s="233" t="s">
        <v>3118</v>
      </c>
      <c r="E118" s="230" t="s">
        <v>160</v>
      </c>
      <c r="F118" s="230" t="s">
        <v>60</v>
      </c>
      <c r="G118" s="230" t="s">
        <v>50</v>
      </c>
      <c r="H118" s="231"/>
      <c r="I118" s="354" t="s">
        <v>1420</v>
      </c>
      <c r="J118" s="464">
        <v>1000</v>
      </c>
      <c r="K118" s="236">
        <v>500</v>
      </c>
      <c r="L118" s="224" t="s">
        <v>147</v>
      </c>
      <c r="M118" s="224" t="s">
        <v>41</v>
      </c>
      <c r="O118">
        <f t="shared" si="0"/>
        <v>200</v>
      </c>
    </row>
    <row r="119" spans="1:19" x14ac:dyDescent="0.25">
      <c r="A119" s="246">
        <v>14</v>
      </c>
      <c r="B119" s="352" t="s">
        <v>3285</v>
      </c>
      <c r="C119" s="233" t="s">
        <v>3286</v>
      </c>
      <c r="D119" s="233"/>
      <c r="E119" s="230" t="s">
        <v>160</v>
      </c>
      <c r="F119" s="230" t="s">
        <v>180</v>
      </c>
      <c r="G119" s="230" t="s">
        <v>72</v>
      </c>
      <c r="H119" s="231" t="s">
        <v>3287</v>
      </c>
      <c r="I119" s="230" t="s">
        <v>40</v>
      </c>
      <c r="J119" s="236">
        <v>100</v>
      </c>
      <c r="K119" s="271">
        <v>20</v>
      </c>
      <c r="L119" s="224" t="s">
        <v>147</v>
      </c>
      <c r="M119" s="224" t="s">
        <v>41</v>
      </c>
      <c r="O119">
        <f t="shared" si="0"/>
        <v>20</v>
      </c>
    </row>
    <row r="120" spans="1:19" x14ac:dyDescent="0.25">
      <c r="A120" s="246">
        <v>14</v>
      </c>
      <c r="B120" s="352" t="s">
        <v>3288</v>
      </c>
      <c r="C120" s="233" t="s">
        <v>3289</v>
      </c>
      <c r="D120" s="233"/>
      <c r="E120" s="230" t="s">
        <v>160</v>
      </c>
      <c r="F120" s="230" t="s">
        <v>3290</v>
      </c>
      <c r="G120" s="230" t="s">
        <v>47</v>
      </c>
      <c r="H120" s="231" t="s">
        <v>3291</v>
      </c>
      <c r="I120" s="233" t="s">
        <v>40</v>
      </c>
      <c r="J120" s="236">
        <v>500</v>
      </c>
      <c r="K120" s="271">
        <v>100</v>
      </c>
      <c r="L120" s="224" t="s">
        <v>147</v>
      </c>
      <c r="M120" s="224" t="s">
        <v>41</v>
      </c>
      <c r="O120">
        <f t="shared" si="0"/>
        <v>100</v>
      </c>
    </row>
    <row r="121" spans="1:19" x14ac:dyDescent="0.25">
      <c r="A121" s="246">
        <v>14</v>
      </c>
      <c r="B121" s="352" t="s">
        <v>3292</v>
      </c>
      <c r="C121" s="233" t="s">
        <v>3293</v>
      </c>
      <c r="D121" s="233"/>
      <c r="E121" s="230" t="s">
        <v>160</v>
      </c>
      <c r="F121" s="230" t="s">
        <v>3294</v>
      </c>
      <c r="G121" s="230" t="s">
        <v>43</v>
      </c>
      <c r="H121" s="231" t="s">
        <v>3295</v>
      </c>
      <c r="I121" s="230" t="s">
        <v>40</v>
      </c>
      <c r="J121" s="236">
        <v>100</v>
      </c>
      <c r="K121" s="271">
        <v>20</v>
      </c>
      <c r="L121" s="224" t="s">
        <v>147</v>
      </c>
      <c r="M121" s="224" t="s">
        <v>41</v>
      </c>
      <c r="O121">
        <f t="shared" si="0"/>
        <v>20</v>
      </c>
    </row>
    <row r="122" spans="1:19" x14ac:dyDescent="0.25">
      <c r="A122" s="246">
        <v>14</v>
      </c>
      <c r="B122" s="352" t="s">
        <v>3296</v>
      </c>
      <c r="C122" s="233" t="s">
        <v>3297</v>
      </c>
      <c r="D122" s="233"/>
      <c r="E122" s="283" t="s">
        <v>163</v>
      </c>
      <c r="F122" s="230" t="s">
        <v>523</v>
      </c>
      <c r="G122" s="230" t="s">
        <v>42</v>
      </c>
      <c r="H122" s="231" t="s">
        <v>3298</v>
      </c>
      <c r="I122" s="230" t="s">
        <v>40</v>
      </c>
      <c r="J122" s="236">
        <v>1000</v>
      </c>
      <c r="K122" s="271">
        <v>200</v>
      </c>
      <c r="L122" s="224" t="s">
        <v>147</v>
      </c>
      <c r="M122" s="224" t="s">
        <v>41</v>
      </c>
      <c r="O122">
        <f t="shared" si="0"/>
        <v>200</v>
      </c>
    </row>
    <row r="123" spans="1:19" x14ac:dyDescent="0.25">
      <c r="A123" s="246">
        <v>14</v>
      </c>
      <c r="B123" s="352" t="s">
        <v>3299</v>
      </c>
      <c r="C123" s="233" t="s">
        <v>1582</v>
      </c>
      <c r="D123" s="233"/>
      <c r="E123" s="230" t="s">
        <v>160</v>
      </c>
      <c r="F123" s="230" t="s">
        <v>1125</v>
      </c>
      <c r="G123" s="230" t="s">
        <v>54</v>
      </c>
      <c r="H123" s="231"/>
      <c r="I123" s="450" t="s">
        <v>1911</v>
      </c>
      <c r="J123" s="236">
        <v>60</v>
      </c>
      <c r="K123" s="271">
        <v>300</v>
      </c>
      <c r="L123" s="224" t="s">
        <v>147</v>
      </c>
      <c r="M123" s="224" t="s">
        <v>41</v>
      </c>
      <c r="O123">
        <f t="shared" si="0"/>
        <v>12</v>
      </c>
    </row>
    <row r="124" spans="1:19" x14ac:dyDescent="0.25">
      <c r="A124" s="246">
        <v>14</v>
      </c>
      <c r="B124" s="352" t="s">
        <v>3300</v>
      </c>
      <c r="C124" s="233" t="s">
        <v>1505</v>
      </c>
      <c r="D124" s="233"/>
      <c r="E124" s="230" t="s">
        <v>160</v>
      </c>
      <c r="F124" s="230" t="s">
        <v>423</v>
      </c>
      <c r="G124" s="230" t="s">
        <v>43</v>
      </c>
      <c r="H124" s="231" t="s">
        <v>3301</v>
      </c>
      <c r="I124" s="230" t="s">
        <v>40</v>
      </c>
      <c r="J124" s="236">
        <v>5000</v>
      </c>
      <c r="K124" s="271">
        <v>1500</v>
      </c>
      <c r="L124" s="224" t="s">
        <v>147</v>
      </c>
      <c r="M124" s="224" t="s">
        <v>41</v>
      </c>
      <c r="O124">
        <f t="shared" si="0"/>
        <v>1000</v>
      </c>
    </row>
    <row r="125" spans="1:19" x14ac:dyDescent="0.25">
      <c r="A125" s="273">
        <v>14</v>
      </c>
      <c r="B125" s="352" t="s">
        <v>3300</v>
      </c>
      <c r="C125" s="233" t="s">
        <v>1505</v>
      </c>
      <c r="D125" s="233"/>
      <c r="E125" s="230" t="s">
        <v>160</v>
      </c>
      <c r="F125" s="230" t="s">
        <v>423</v>
      </c>
      <c r="G125" s="230" t="s">
        <v>43</v>
      </c>
      <c r="H125" s="231" t="s">
        <v>3301</v>
      </c>
      <c r="I125" s="230" t="s">
        <v>40</v>
      </c>
      <c r="J125" s="236">
        <v>5000</v>
      </c>
      <c r="K125" s="271">
        <v>1000</v>
      </c>
      <c r="L125" s="224" t="s">
        <v>147</v>
      </c>
      <c r="M125" s="224" t="s">
        <v>41</v>
      </c>
      <c r="O125">
        <f t="shared" si="0"/>
        <v>1000</v>
      </c>
    </row>
    <row r="126" spans="1:19" x14ac:dyDescent="0.25">
      <c r="A126" s="246">
        <v>16</v>
      </c>
      <c r="B126" s="352" t="s">
        <v>3304</v>
      </c>
      <c r="C126" s="233" t="s">
        <v>1373</v>
      </c>
      <c r="D126" s="233"/>
      <c r="E126" s="230" t="s">
        <v>160</v>
      </c>
      <c r="F126" s="230" t="s">
        <v>180</v>
      </c>
      <c r="G126" s="230" t="s">
        <v>64</v>
      </c>
      <c r="H126" s="231" t="s">
        <v>1374</v>
      </c>
      <c r="I126" s="230" t="s">
        <v>40</v>
      </c>
      <c r="J126" s="236">
        <v>1000</v>
      </c>
      <c r="K126" s="271" t="s">
        <v>152</v>
      </c>
      <c r="L126" s="224" t="s">
        <v>147</v>
      </c>
      <c r="M126" s="224" t="s">
        <v>41</v>
      </c>
      <c r="O126">
        <f t="shared" si="0"/>
        <v>200</v>
      </c>
      <c r="R126" s="69"/>
      <c r="S126" s="69"/>
    </row>
    <row r="127" spans="1:19" x14ac:dyDescent="0.25">
      <c r="A127" s="246">
        <v>16</v>
      </c>
      <c r="B127" s="352" t="s">
        <v>3305</v>
      </c>
      <c r="C127" s="233" t="s">
        <v>1376</v>
      </c>
      <c r="D127" s="233"/>
      <c r="E127" s="230" t="s">
        <v>160</v>
      </c>
      <c r="F127" s="230" t="s">
        <v>1371</v>
      </c>
      <c r="G127" s="230" t="s">
        <v>64</v>
      </c>
      <c r="H127" s="231"/>
      <c r="I127" s="233" t="s">
        <v>40</v>
      </c>
      <c r="J127" s="236">
        <v>1000</v>
      </c>
      <c r="K127" s="271" t="s">
        <v>152</v>
      </c>
      <c r="L127" s="224" t="s">
        <v>147</v>
      </c>
      <c r="M127" s="224" t="s">
        <v>41</v>
      </c>
      <c r="O127">
        <f t="shared" si="0"/>
        <v>200</v>
      </c>
    </row>
    <row r="128" spans="1:19" x14ac:dyDescent="0.25">
      <c r="A128" s="246">
        <v>16</v>
      </c>
      <c r="B128" s="352" t="s">
        <v>3306</v>
      </c>
      <c r="C128" s="233" t="s">
        <v>3308</v>
      </c>
      <c r="D128" s="233"/>
      <c r="E128" s="230" t="s">
        <v>160</v>
      </c>
      <c r="F128" s="230" t="s">
        <v>529</v>
      </c>
      <c r="G128" s="230" t="s">
        <v>57</v>
      </c>
      <c r="H128" s="231" t="s">
        <v>536</v>
      </c>
      <c r="I128" s="230" t="s">
        <v>40</v>
      </c>
      <c r="J128" s="236">
        <v>1000</v>
      </c>
      <c r="K128" s="271" t="s">
        <v>152</v>
      </c>
      <c r="L128" s="224" t="s">
        <v>147</v>
      </c>
      <c r="M128" s="224" t="s">
        <v>41</v>
      </c>
      <c r="O128">
        <f t="shared" si="0"/>
        <v>200</v>
      </c>
      <c r="S128" s="69"/>
    </row>
    <row r="129" spans="1:15" x14ac:dyDescent="0.25">
      <c r="A129" s="246">
        <v>16</v>
      </c>
      <c r="B129" s="352" t="s">
        <v>1871</v>
      </c>
      <c r="C129" s="233" t="s">
        <v>1872</v>
      </c>
      <c r="D129" s="233"/>
      <c r="E129" s="230" t="s">
        <v>160</v>
      </c>
      <c r="F129" s="230" t="s">
        <v>529</v>
      </c>
      <c r="G129" s="230" t="s">
        <v>57</v>
      </c>
      <c r="H129" s="231" t="s">
        <v>536</v>
      </c>
      <c r="I129" s="230" t="s">
        <v>40</v>
      </c>
      <c r="J129" s="236">
        <v>1000</v>
      </c>
      <c r="K129" s="271" t="s">
        <v>152</v>
      </c>
      <c r="L129" s="224" t="s">
        <v>147</v>
      </c>
      <c r="M129" s="224" t="s">
        <v>41</v>
      </c>
      <c r="O129">
        <f t="shared" si="0"/>
        <v>200</v>
      </c>
    </row>
    <row r="130" spans="1:15" x14ac:dyDescent="0.25">
      <c r="A130" s="246">
        <v>16</v>
      </c>
      <c r="B130" s="352" t="s">
        <v>3307</v>
      </c>
      <c r="C130" s="233" t="s">
        <v>3263</v>
      </c>
      <c r="D130" s="233"/>
      <c r="E130" s="230" t="s">
        <v>160</v>
      </c>
      <c r="F130" s="230" t="s">
        <v>1623</v>
      </c>
      <c r="G130" s="230" t="s">
        <v>64</v>
      </c>
      <c r="H130" s="231"/>
      <c r="I130" s="233" t="s">
        <v>40</v>
      </c>
      <c r="J130" s="236">
        <v>1000</v>
      </c>
      <c r="K130" s="271" t="s">
        <v>152</v>
      </c>
      <c r="L130" s="224" t="s">
        <v>147</v>
      </c>
      <c r="M130" s="224" t="s">
        <v>41</v>
      </c>
      <c r="O130">
        <f t="shared" si="0"/>
        <v>200</v>
      </c>
    </row>
    <row r="131" spans="1:15" x14ac:dyDescent="0.25">
      <c r="A131" s="246">
        <v>16</v>
      </c>
      <c r="B131" s="352" t="s">
        <v>3309</v>
      </c>
      <c r="C131" s="233" t="s">
        <v>1809</v>
      </c>
      <c r="D131" s="233"/>
      <c r="E131" s="230" t="s">
        <v>160</v>
      </c>
      <c r="F131" s="230" t="s">
        <v>441</v>
      </c>
      <c r="G131" s="230" t="s">
        <v>64</v>
      </c>
      <c r="H131" s="231"/>
      <c r="I131" s="233" t="s">
        <v>40</v>
      </c>
      <c r="J131" s="236">
        <v>1000</v>
      </c>
      <c r="K131" s="271" t="s">
        <v>152</v>
      </c>
      <c r="L131" s="224" t="s">
        <v>147</v>
      </c>
      <c r="M131" s="224" t="s">
        <v>41</v>
      </c>
      <c r="O131">
        <f t="shared" si="0"/>
        <v>200</v>
      </c>
    </row>
    <row r="132" spans="1:15" x14ac:dyDescent="0.25">
      <c r="A132" s="246">
        <v>17</v>
      </c>
      <c r="B132" s="352" t="s">
        <v>1631</v>
      </c>
      <c r="C132" s="233" t="s">
        <v>1632</v>
      </c>
      <c r="D132" s="233"/>
      <c r="E132" s="230" t="s">
        <v>160</v>
      </c>
      <c r="F132" s="230" t="s">
        <v>907</v>
      </c>
      <c r="G132" s="230" t="s">
        <v>47</v>
      </c>
      <c r="H132" s="231" t="s">
        <v>1633</v>
      </c>
      <c r="I132" s="230" t="s">
        <v>40</v>
      </c>
      <c r="J132" s="236">
        <v>100</v>
      </c>
      <c r="K132" s="271">
        <v>20</v>
      </c>
      <c r="L132" s="224" t="s">
        <v>147</v>
      </c>
      <c r="M132" s="224" t="s">
        <v>41</v>
      </c>
      <c r="O132">
        <f t="shared" si="0"/>
        <v>20</v>
      </c>
    </row>
    <row r="133" spans="1:15" x14ac:dyDescent="0.25">
      <c r="A133" s="246">
        <v>17</v>
      </c>
      <c r="B133" s="352" t="s">
        <v>3310</v>
      </c>
      <c r="C133" s="233" t="s">
        <v>3259</v>
      </c>
      <c r="D133" s="233" t="s">
        <v>3088</v>
      </c>
      <c r="E133" s="283" t="s">
        <v>163</v>
      </c>
      <c r="F133" s="230" t="s">
        <v>3311</v>
      </c>
      <c r="G133" s="230" t="s">
        <v>76</v>
      </c>
      <c r="H133" s="231" t="s">
        <v>3312</v>
      </c>
      <c r="I133" s="230" t="s">
        <v>40</v>
      </c>
      <c r="J133" s="236">
        <v>3300</v>
      </c>
      <c r="K133" s="271">
        <v>990</v>
      </c>
      <c r="L133" s="224" t="s">
        <v>147</v>
      </c>
      <c r="M133" s="224" t="s">
        <v>41</v>
      </c>
      <c r="O133">
        <f t="shared" si="0"/>
        <v>660</v>
      </c>
    </row>
    <row r="134" spans="1:15" x14ac:dyDescent="0.25">
      <c r="A134" s="246">
        <v>17</v>
      </c>
      <c r="B134" s="352" t="s">
        <v>3318</v>
      </c>
      <c r="C134" s="233" t="s">
        <v>2356</v>
      </c>
      <c r="D134" s="233" t="s">
        <v>3319</v>
      </c>
      <c r="E134" s="230" t="s">
        <v>160</v>
      </c>
      <c r="F134" s="230" t="s">
        <v>180</v>
      </c>
      <c r="G134" s="230" t="s">
        <v>64</v>
      </c>
      <c r="H134" s="231" t="s">
        <v>3320</v>
      </c>
      <c r="I134" s="230" t="s">
        <v>40</v>
      </c>
      <c r="J134" s="236">
        <v>3300</v>
      </c>
      <c r="K134" s="271" t="s">
        <v>152</v>
      </c>
      <c r="L134" s="224" t="s">
        <v>147</v>
      </c>
      <c r="M134" s="224" t="s">
        <v>41</v>
      </c>
      <c r="O134">
        <f t="shared" si="0"/>
        <v>660</v>
      </c>
    </row>
    <row r="135" spans="1:15" x14ac:dyDescent="0.25">
      <c r="A135" s="246">
        <v>17</v>
      </c>
      <c r="B135" s="352" t="s">
        <v>3321</v>
      </c>
      <c r="C135" s="233" t="s">
        <v>3322</v>
      </c>
      <c r="D135" s="233"/>
      <c r="E135" s="230" t="s">
        <v>160</v>
      </c>
      <c r="F135" s="230"/>
      <c r="G135" s="230" t="s">
        <v>56</v>
      </c>
      <c r="H135" s="231" t="s">
        <v>3323</v>
      </c>
      <c r="I135" s="450" t="s">
        <v>1911</v>
      </c>
      <c r="J135" s="236">
        <v>50</v>
      </c>
      <c r="K135" s="271">
        <v>250</v>
      </c>
      <c r="L135" s="224" t="s">
        <v>147</v>
      </c>
      <c r="M135" s="224" t="s">
        <v>41</v>
      </c>
      <c r="O135">
        <f t="shared" si="0"/>
        <v>10</v>
      </c>
    </row>
    <row r="136" spans="1:15" x14ac:dyDescent="0.25">
      <c r="A136" s="246">
        <v>17</v>
      </c>
      <c r="B136" s="352" t="s">
        <v>1605</v>
      </c>
      <c r="C136" s="233" t="s">
        <v>1606</v>
      </c>
      <c r="D136" s="233"/>
      <c r="E136" s="230" t="s">
        <v>160</v>
      </c>
      <c r="F136" s="230" t="s">
        <v>1089</v>
      </c>
      <c r="G136" s="230" t="s">
        <v>61</v>
      </c>
      <c r="H136" s="231" t="s">
        <v>1607</v>
      </c>
      <c r="I136" s="233" t="s">
        <v>40</v>
      </c>
      <c r="J136" s="236">
        <v>1000</v>
      </c>
      <c r="K136" s="271">
        <v>200</v>
      </c>
      <c r="L136" s="224" t="s">
        <v>147</v>
      </c>
      <c r="M136" s="224" t="s">
        <v>41</v>
      </c>
      <c r="O136">
        <f t="shared" si="0"/>
        <v>200</v>
      </c>
    </row>
    <row r="137" spans="1:15" x14ac:dyDescent="0.25">
      <c r="A137" s="246">
        <v>17</v>
      </c>
      <c r="B137" s="352" t="s">
        <v>1527</v>
      </c>
      <c r="C137" s="233" t="s">
        <v>1528</v>
      </c>
      <c r="D137" s="233"/>
      <c r="E137" s="230" t="s">
        <v>160</v>
      </c>
      <c r="F137" s="230" t="s">
        <v>226</v>
      </c>
      <c r="G137" s="230" t="s">
        <v>43</v>
      </c>
      <c r="H137" s="231"/>
      <c r="I137" s="230" t="s">
        <v>40</v>
      </c>
      <c r="J137" s="236">
        <v>1000</v>
      </c>
      <c r="K137" s="271">
        <v>200</v>
      </c>
      <c r="L137" s="224" t="s">
        <v>147</v>
      </c>
      <c r="M137" s="224" t="s">
        <v>41</v>
      </c>
      <c r="O137">
        <f t="shared" si="0"/>
        <v>200</v>
      </c>
    </row>
    <row r="138" spans="1:15" x14ac:dyDescent="0.25">
      <c r="A138" s="246">
        <v>17</v>
      </c>
      <c r="B138" s="352" t="s">
        <v>3053</v>
      </c>
      <c r="C138" s="233" t="s">
        <v>3054</v>
      </c>
      <c r="D138" s="230"/>
      <c r="E138" s="230" t="s">
        <v>160</v>
      </c>
      <c r="F138" s="230"/>
      <c r="G138" s="230" t="s">
        <v>53</v>
      </c>
      <c r="H138" s="231"/>
      <c r="I138" s="233" t="s">
        <v>40</v>
      </c>
      <c r="J138" s="236">
        <v>600</v>
      </c>
      <c r="K138" s="271">
        <v>180</v>
      </c>
      <c r="L138" s="224" t="s">
        <v>147</v>
      </c>
      <c r="M138" s="224" t="s">
        <v>41</v>
      </c>
      <c r="O138">
        <f t="shared" si="0"/>
        <v>120</v>
      </c>
    </row>
    <row r="139" spans="1:15" x14ac:dyDescent="0.25">
      <c r="A139" s="246">
        <v>18</v>
      </c>
      <c r="B139" s="352" t="s">
        <v>3324</v>
      </c>
      <c r="C139" s="233" t="s">
        <v>3325</v>
      </c>
      <c r="D139" s="233"/>
      <c r="E139" s="230" t="s">
        <v>160</v>
      </c>
      <c r="F139" s="230" t="s">
        <v>264</v>
      </c>
      <c r="G139" s="230" t="s">
        <v>43</v>
      </c>
      <c r="H139" s="231" t="s">
        <v>3326</v>
      </c>
      <c r="I139" s="230" t="s">
        <v>40</v>
      </c>
      <c r="J139" s="236">
        <v>500</v>
      </c>
      <c r="K139" s="271">
        <v>150</v>
      </c>
      <c r="L139" s="224" t="s">
        <v>147</v>
      </c>
      <c r="M139" s="224" t="s">
        <v>41</v>
      </c>
      <c r="O139">
        <f t="shared" si="0"/>
        <v>100</v>
      </c>
    </row>
    <row r="140" spans="1:15" x14ac:dyDescent="0.25">
      <c r="A140" s="246">
        <v>18</v>
      </c>
      <c r="B140" s="352" t="s">
        <v>1847</v>
      </c>
      <c r="C140" s="233" t="s">
        <v>3327</v>
      </c>
      <c r="D140" s="233"/>
      <c r="E140" s="230" t="s">
        <v>160</v>
      </c>
      <c r="F140" s="230" t="s">
        <v>2333</v>
      </c>
      <c r="G140" s="230" t="s">
        <v>64</v>
      </c>
      <c r="H140" s="231" t="s">
        <v>3328</v>
      </c>
      <c r="I140" s="233" t="s">
        <v>40</v>
      </c>
      <c r="J140" s="236">
        <v>1000</v>
      </c>
      <c r="K140" s="271" t="s">
        <v>152</v>
      </c>
      <c r="L140" s="224" t="s">
        <v>147</v>
      </c>
      <c r="M140" s="224" t="s">
        <v>41</v>
      </c>
      <c r="O140">
        <f t="shared" si="0"/>
        <v>200</v>
      </c>
    </row>
    <row r="141" spans="1:15" x14ac:dyDescent="0.25">
      <c r="A141" s="246">
        <v>18</v>
      </c>
      <c r="B141" s="352" t="s">
        <v>3329</v>
      </c>
      <c r="C141" s="233" t="s">
        <v>3330</v>
      </c>
      <c r="D141" s="233"/>
      <c r="E141" s="283" t="s">
        <v>163</v>
      </c>
      <c r="F141" s="230" t="s">
        <v>2333</v>
      </c>
      <c r="G141" s="230" t="s">
        <v>64</v>
      </c>
      <c r="H141" s="231"/>
      <c r="I141" s="230" t="s">
        <v>40</v>
      </c>
      <c r="J141" s="236">
        <v>1000</v>
      </c>
      <c r="K141" s="271" t="s">
        <v>152</v>
      </c>
      <c r="L141" s="224" t="s">
        <v>147</v>
      </c>
      <c r="M141" s="224" t="s">
        <v>41</v>
      </c>
      <c r="O141">
        <f t="shared" si="0"/>
        <v>200</v>
      </c>
    </row>
    <row r="142" spans="1:15" x14ac:dyDescent="0.25">
      <c r="A142" s="246">
        <v>18</v>
      </c>
      <c r="B142" s="352" t="s">
        <v>1288</v>
      </c>
      <c r="C142" s="233" t="s">
        <v>1887</v>
      </c>
      <c r="D142" s="233" t="s">
        <v>3260</v>
      </c>
      <c r="E142" s="283" t="s">
        <v>163</v>
      </c>
      <c r="F142" s="230" t="s">
        <v>164</v>
      </c>
      <c r="G142" s="230" t="s">
        <v>44</v>
      </c>
      <c r="H142" s="231" t="s">
        <v>295</v>
      </c>
      <c r="I142" s="233" t="s">
        <v>40</v>
      </c>
      <c r="J142" s="236">
        <v>5000</v>
      </c>
      <c r="K142" s="271" t="s">
        <v>152</v>
      </c>
      <c r="L142" s="224" t="s">
        <v>147</v>
      </c>
      <c r="M142" s="224" t="s">
        <v>41</v>
      </c>
      <c r="O142">
        <f t="shared" si="0"/>
        <v>1000</v>
      </c>
    </row>
    <row r="143" spans="1:15" x14ac:dyDescent="0.25">
      <c r="A143" s="246">
        <v>21</v>
      </c>
      <c r="B143" s="352" t="s">
        <v>1288</v>
      </c>
      <c r="C143" s="233" t="s">
        <v>1887</v>
      </c>
      <c r="D143" s="233" t="s">
        <v>3260</v>
      </c>
      <c r="E143" s="283" t="s">
        <v>163</v>
      </c>
      <c r="F143" s="230" t="s">
        <v>164</v>
      </c>
      <c r="G143" s="230" t="s">
        <v>44</v>
      </c>
      <c r="H143" s="231" t="s">
        <v>295</v>
      </c>
      <c r="I143" s="233" t="s">
        <v>40</v>
      </c>
      <c r="J143" s="236">
        <v>3000</v>
      </c>
      <c r="K143" s="271">
        <v>900</v>
      </c>
      <c r="L143" s="224" t="s">
        <v>147</v>
      </c>
      <c r="M143" s="224" t="s">
        <v>41</v>
      </c>
      <c r="O143">
        <f t="shared" si="0"/>
        <v>600</v>
      </c>
    </row>
    <row r="144" spans="1:15" x14ac:dyDescent="0.25">
      <c r="A144" s="246">
        <v>21</v>
      </c>
      <c r="B144" s="352" t="s">
        <v>3337</v>
      </c>
      <c r="C144" s="233" t="s">
        <v>3338</v>
      </c>
      <c r="D144" s="233" t="s">
        <v>3165</v>
      </c>
      <c r="E144" s="230" t="s">
        <v>160</v>
      </c>
      <c r="F144" s="230" t="s">
        <v>2752</v>
      </c>
      <c r="G144" s="230" t="s">
        <v>55</v>
      </c>
      <c r="H144" s="231" t="s">
        <v>3339</v>
      </c>
      <c r="I144" s="230" t="s">
        <v>40</v>
      </c>
      <c r="J144" s="236">
        <v>700</v>
      </c>
      <c r="K144" s="271">
        <v>140</v>
      </c>
      <c r="L144" s="224" t="s">
        <v>147</v>
      </c>
      <c r="M144" s="224" t="s">
        <v>41</v>
      </c>
      <c r="O144">
        <f t="shared" si="0"/>
        <v>140</v>
      </c>
    </row>
    <row r="145" spans="1:15" x14ac:dyDescent="0.25">
      <c r="A145" s="246">
        <v>21</v>
      </c>
      <c r="B145" s="352" t="s">
        <v>2902</v>
      </c>
      <c r="C145" s="233" t="s">
        <v>3340</v>
      </c>
      <c r="D145" s="233" t="s">
        <v>3175</v>
      </c>
      <c r="E145" s="230" t="s">
        <v>160</v>
      </c>
      <c r="F145" s="230" t="s">
        <v>211</v>
      </c>
      <c r="G145" s="230" t="s">
        <v>47</v>
      </c>
      <c r="H145" s="231" t="s">
        <v>3346</v>
      </c>
      <c r="I145" s="230" t="s">
        <v>40</v>
      </c>
      <c r="J145" s="236">
        <v>500</v>
      </c>
      <c r="K145" s="271">
        <v>100</v>
      </c>
      <c r="L145" s="224" t="s">
        <v>147</v>
      </c>
      <c r="M145" s="224" t="s">
        <v>41</v>
      </c>
      <c r="O145">
        <f t="shared" si="0"/>
        <v>100</v>
      </c>
    </row>
    <row r="146" spans="1:15" x14ac:dyDescent="0.25">
      <c r="A146" s="246">
        <v>21</v>
      </c>
      <c r="B146" s="352" t="s">
        <v>1821</v>
      </c>
      <c r="C146" s="233" t="s">
        <v>1887</v>
      </c>
      <c r="D146" s="233" t="s">
        <v>3319</v>
      </c>
      <c r="E146" s="230" t="s">
        <v>160</v>
      </c>
      <c r="F146" s="230" t="s">
        <v>523</v>
      </c>
      <c r="G146" s="230" t="s">
        <v>42</v>
      </c>
      <c r="H146" s="231" t="s">
        <v>3341</v>
      </c>
      <c r="I146" s="230" t="s">
        <v>40</v>
      </c>
      <c r="J146" s="236">
        <v>1200</v>
      </c>
      <c r="K146" s="271" t="s">
        <v>152</v>
      </c>
      <c r="L146" s="224" t="s">
        <v>147</v>
      </c>
      <c r="M146" s="224" t="s">
        <v>41</v>
      </c>
      <c r="O146">
        <f t="shared" si="0"/>
        <v>240</v>
      </c>
    </row>
    <row r="147" spans="1:15" x14ac:dyDescent="0.25">
      <c r="A147" s="246">
        <v>21</v>
      </c>
      <c r="B147" s="352" t="s">
        <v>3342</v>
      </c>
      <c r="C147" s="233" t="s">
        <v>1618</v>
      </c>
      <c r="D147" s="233"/>
      <c r="E147" s="230" t="s">
        <v>160</v>
      </c>
      <c r="F147" s="230" t="s">
        <v>189</v>
      </c>
      <c r="G147" s="230" t="s">
        <v>54</v>
      </c>
      <c r="H147" s="231"/>
      <c r="I147" s="230" t="s">
        <v>40</v>
      </c>
      <c r="J147" s="236">
        <v>100</v>
      </c>
      <c r="K147" s="271">
        <v>30</v>
      </c>
      <c r="L147" s="224" t="s">
        <v>147</v>
      </c>
      <c r="M147" s="224" t="s">
        <v>41</v>
      </c>
      <c r="O147">
        <f t="shared" si="0"/>
        <v>20</v>
      </c>
    </row>
    <row r="148" spans="1:15" x14ac:dyDescent="0.25">
      <c r="A148" s="246">
        <v>22</v>
      </c>
      <c r="B148" s="352" t="s">
        <v>3343</v>
      </c>
      <c r="C148" s="233" t="s">
        <v>3195</v>
      </c>
      <c r="D148" s="233"/>
      <c r="E148" s="230" t="s">
        <v>160</v>
      </c>
      <c r="F148" s="230" t="s">
        <v>3344</v>
      </c>
      <c r="G148" s="230" t="s">
        <v>55</v>
      </c>
      <c r="H148" s="231" t="s">
        <v>3345</v>
      </c>
      <c r="I148" s="233" t="s">
        <v>40</v>
      </c>
      <c r="J148" s="236">
        <v>1000</v>
      </c>
      <c r="K148" s="271" t="s">
        <v>152</v>
      </c>
      <c r="L148" s="224" t="s">
        <v>147</v>
      </c>
      <c r="M148" s="224" t="s">
        <v>41</v>
      </c>
      <c r="O148">
        <f t="shared" si="0"/>
        <v>200</v>
      </c>
    </row>
    <row r="149" spans="1:15" x14ac:dyDescent="0.25">
      <c r="A149" s="246">
        <v>25</v>
      </c>
      <c r="B149" s="352" t="s">
        <v>1288</v>
      </c>
      <c r="C149" s="233" t="s">
        <v>1289</v>
      </c>
      <c r="D149" s="233"/>
      <c r="E149" s="283" t="s">
        <v>163</v>
      </c>
      <c r="F149" s="230" t="s">
        <v>164</v>
      </c>
      <c r="G149" s="230" t="s">
        <v>44</v>
      </c>
      <c r="H149" s="231" t="s">
        <v>165</v>
      </c>
      <c r="I149" s="426" t="s">
        <v>1912</v>
      </c>
      <c r="J149" s="236">
        <v>280</v>
      </c>
      <c r="K149" s="271" t="s">
        <v>152</v>
      </c>
      <c r="L149" s="224" t="s">
        <v>147</v>
      </c>
      <c r="M149" s="224" t="s">
        <v>41</v>
      </c>
      <c r="O149">
        <f t="shared" si="0"/>
        <v>56</v>
      </c>
    </row>
    <row r="150" spans="1:15" x14ac:dyDescent="0.25">
      <c r="A150" s="246">
        <v>28</v>
      </c>
      <c r="B150" s="352" t="s">
        <v>1925</v>
      </c>
      <c r="C150" s="233" t="s">
        <v>2988</v>
      </c>
      <c r="D150" s="233" t="s">
        <v>3348</v>
      </c>
      <c r="E150" s="230" t="s">
        <v>160</v>
      </c>
      <c r="F150" s="230" t="s">
        <v>1792</v>
      </c>
      <c r="G150" s="230" t="s">
        <v>42</v>
      </c>
      <c r="H150" s="231" t="s">
        <v>2989</v>
      </c>
      <c r="I150" s="230" t="s">
        <v>40</v>
      </c>
      <c r="J150" s="236">
        <v>500</v>
      </c>
      <c r="K150" s="271">
        <v>100</v>
      </c>
      <c r="L150" s="224" t="s">
        <v>147</v>
      </c>
      <c r="M150" s="224" t="s">
        <v>41</v>
      </c>
      <c r="O150">
        <f t="shared" si="0"/>
        <v>100</v>
      </c>
    </row>
    <row r="151" spans="1:15" x14ac:dyDescent="0.25">
      <c r="A151" s="246">
        <v>28</v>
      </c>
      <c r="B151" s="352" t="s">
        <v>3349</v>
      </c>
      <c r="C151" s="233" t="s">
        <v>3350</v>
      </c>
      <c r="D151" s="233" t="s">
        <v>3348</v>
      </c>
      <c r="E151" s="230" t="s">
        <v>160</v>
      </c>
      <c r="F151" s="230" t="s">
        <v>1120</v>
      </c>
      <c r="G151" s="230" t="s">
        <v>60</v>
      </c>
      <c r="H151" s="231" t="s">
        <v>3351</v>
      </c>
      <c r="I151" s="230" t="s">
        <v>40</v>
      </c>
      <c r="J151" s="236">
        <v>500</v>
      </c>
      <c r="K151" s="271">
        <v>150</v>
      </c>
      <c r="L151" s="224" t="s">
        <v>147</v>
      </c>
      <c r="M151" s="224" t="s">
        <v>41</v>
      </c>
      <c r="O151">
        <f t="shared" si="0"/>
        <v>100</v>
      </c>
    </row>
    <row r="152" spans="1:15" x14ac:dyDescent="0.25">
      <c r="A152" s="246">
        <v>28</v>
      </c>
      <c r="B152" s="352" t="s">
        <v>2089</v>
      </c>
      <c r="C152" s="233" t="s">
        <v>2090</v>
      </c>
      <c r="D152" s="233"/>
      <c r="E152" s="283" t="s">
        <v>163</v>
      </c>
      <c r="F152" s="230" t="s">
        <v>167</v>
      </c>
      <c r="G152" s="230" t="s">
        <v>43</v>
      </c>
      <c r="H152" s="231" t="s">
        <v>3352</v>
      </c>
      <c r="I152" s="233" t="s">
        <v>40</v>
      </c>
      <c r="J152" s="236">
        <v>12000</v>
      </c>
      <c r="K152" s="271">
        <v>3600</v>
      </c>
      <c r="L152" s="224" t="s">
        <v>147</v>
      </c>
      <c r="M152" s="224" t="s">
        <v>41</v>
      </c>
      <c r="O152">
        <f t="shared" si="0"/>
        <v>2400</v>
      </c>
    </row>
    <row r="153" spans="1:15" x14ac:dyDescent="0.25">
      <c r="A153" s="246">
        <v>28</v>
      </c>
      <c r="B153" s="352" t="s">
        <v>3353</v>
      </c>
      <c r="C153" s="233" t="s">
        <v>3354</v>
      </c>
      <c r="D153" s="233" t="s">
        <v>3175</v>
      </c>
      <c r="E153" s="230" t="s">
        <v>160</v>
      </c>
      <c r="F153" s="230" t="s">
        <v>3355</v>
      </c>
      <c r="G153" s="230" t="s">
        <v>62</v>
      </c>
      <c r="H153" s="231" t="s">
        <v>3356</v>
      </c>
      <c r="I153" s="233" t="s">
        <v>40</v>
      </c>
      <c r="J153" s="236">
        <v>1000</v>
      </c>
      <c r="K153" s="271">
        <v>300</v>
      </c>
      <c r="L153" s="224" t="s">
        <v>147</v>
      </c>
      <c r="M153" s="224" t="s">
        <v>41</v>
      </c>
      <c r="O153">
        <f t="shared" si="0"/>
        <v>200</v>
      </c>
    </row>
    <row r="154" spans="1:15" x14ac:dyDescent="0.25">
      <c r="A154" s="246">
        <v>28</v>
      </c>
      <c r="B154" s="352" t="s">
        <v>3353</v>
      </c>
      <c r="C154" s="233" t="s">
        <v>3354</v>
      </c>
      <c r="D154" s="233" t="s">
        <v>3175</v>
      </c>
      <c r="E154" s="230" t="s">
        <v>160</v>
      </c>
      <c r="F154" s="230" t="s">
        <v>3355</v>
      </c>
      <c r="G154" s="230" t="s">
        <v>62</v>
      </c>
      <c r="H154" s="231" t="s">
        <v>3356</v>
      </c>
      <c r="I154" s="450" t="s">
        <v>1911</v>
      </c>
      <c r="J154" s="236">
        <v>100</v>
      </c>
      <c r="K154" s="271">
        <v>1000</v>
      </c>
      <c r="L154" s="224" t="s">
        <v>147</v>
      </c>
      <c r="M154" s="224" t="s">
        <v>41</v>
      </c>
      <c r="O154">
        <f t="shared" si="0"/>
        <v>20</v>
      </c>
    </row>
    <row r="155" spans="1:15" x14ac:dyDescent="0.25">
      <c r="A155" s="246">
        <v>28</v>
      </c>
      <c r="B155" s="352" t="s">
        <v>2574</v>
      </c>
      <c r="C155" s="233" t="s">
        <v>3357</v>
      </c>
      <c r="D155" s="233"/>
      <c r="E155" s="230" t="s">
        <v>160</v>
      </c>
      <c r="F155" s="230" t="s">
        <v>1770</v>
      </c>
      <c r="G155" s="230" t="s">
        <v>42</v>
      </c>
      <c r="H155" s="231"/>
      <c r="I155" s="230" t="s">
        <v>40</v>
      </c>
      <c r="J155" s="236">
        <v>1000</v>
      </c>
      <c r="K155" s="271">
        <v>300</v>
      </c>
      <c r="L155" s="224" t="s">
        <v>147</v>
      </c>
      <c r="M155" s="224" t="s">
        <v>41</v>
      </c>
      <c r="O155">
        <f t="shared" si="0"/>
        <v>200</v>
      </c>
    </row>
    <row r="156" spans="1:15" x14ac:dyDescent="0.25">
      <c r="A156" s="246">
        <v>28</v>
      </c>
      <c r="B156" s="352" t="s">
        <v>3358</v>
      </c>
      <c r="C156" s="233" t="s">
        <v>3359</v>
      </c>
      <c r="D156" s="233" t="s">
        <v>3088</v>
      </c>
      <c r="E156" s="230" t="s">
        <v>160</v>
      </c>
      <c r="F156" s="230" t="s">
        <v>929</v>
      </c>
      <c r="G156" s="230" t="s">
        <v>50</v>
      </c>
      <c r="H156" s="231" t="s">
        <v>3360</v>
      </c>
      <c r="I156" s="233" t="s">
        <v>40</v>
      </c>
      <c r="J156" s="236">
        <v>500</v>
      </c>
      <c r="K156" s="271">
        <v>100</v>
      </c>
      <c r="L156" s="224" t="s">
        <v>147</v>
      </c>
      <c r="M156" s="224" t="s">
        <v>41</v>
      </c>
      <c r="O156">
        <f t="shared" si="0"/>
        <v>100</v>
      </c>
    </row>
    <row r="157" spans="1:15" x14ac:dyDescent="0.25">
      <c r="A157" s="246">
        <v>28</v>
      </c>
      <c r="B157" s="352" t="s">
        <v>3361</v>
      </c>
      <c r="C157" s="233" t="s">
        <v>3362</v>
      </c>
      <c r="D157" s="233"/>
      <c r="E157" s="230" t="s">
        <v>160</v>
      </c>
      <c r="F157" s="230" t="s">
        <v>483</v>
      </c>
      <c r="G157" s="230" t="s">
        <v>56</v>
      </c>
      <c r="H157" s="231"/>
      <c r="I157" s="230" t="s">
        <v>40</v>
      </c>
      <c r="J157" s="236">
        <v>500</v>
      </c>
      <c r="K157" s="271">
        <v>100</v>
      </c>
      <c r="L157" s="224" t="s">
        <v>147</v>
      </c>
      <c r="M157" s="224" t="s">
        <v>41</v>
      </c>
      <c r="O157">
        <f t="shared" si="0"/>
        <v>100</v>
      </c>
    </row>
    <row r="158" spans="1:15" x14ac:dyDescent="0.25">
      <c r="A158" s="246">
        <v>28</v>
      </c>
      <c r="B158" s="352" t="s">
        <v>1333</v>
      </c>
      <c r="C158" s="233" t="s">
        <v>1669</v>
      </c>
      <c r="D158" s="233"/>
      <c r="E158" s="230" t="s">
        <v>160</v>
      </c>
      <c r="F158" s="230" t="s">
        <v>3363</v>
      </c>
      <c r="G158" s="230" t="s">
        <v>56</v>
      </c>
      <c r="H158" s="231" t="s">
        <v>3364</v>
      </c>
      <c r="I158" s="233" t="s">
        <v>40</v>
      </c>
      <c r="J158" s="236">
        <v>500</v>
      </c>
      <c r="K158" s="271">
        <v>100</v>
      </c>
      <c r="L158" s="224" t="s">
        <v>147</v>
      </c>
      <c r="M158" s="224" t="s">
        <v>41</v>
      </c>
      <c r="O158">
        <f t="shared" si="0"/>
        <v>100</v>
      </c>
    </row>
    <row r="159" spans="1:15" x14ac:dyDescent="0.25">
      <c r="A159" s="273">
        <v>29</v>
      </c>
      <c r="B159" s="352" t="s">
        <v>3365</v>
      </c>
      <c r="C159" s="233" t="s">
        <v>1005</v>
      </c>
      <c r="D159" s="233" t="s">
        <v>3165</v>
      </c>
      <c r="E159" s="283" t="s">
        <v>163</v>
      </c>
      <c r="F159" s="230" t="s">
        <v>60</v>
      </c>
      <c r="G159" s="230" t="s">
        <v>55</v>
      </c>
      <c r="H159" s="231"/>
      <c r="I159" s="233" t="s">
        <v>40</v>
      </c>
      <c r="J159" s="236">
        <v>1000</v>
      </c>
      <c r="K159" s="271" t="s">
        <v>152</v>
      </c>
      <c r="L159" s="224" t="s">
        <v>147</v>
      </c>
      <c r="M159" s="224" t="s">
        <v>41</v>
      </c>
      <c r="O159">
        <f t="shared" si="0"/>
        <v>200</v>
      </c>
    </row>
    <row r="160" spans="1:15" x14ac:dyDescent="0.25">
      <c r="A160" s="246"/>
      <c r="B160" s="352"/>
      <c r="C160" s="233"/>
      <c r="D160" s="233"/>
      <c r="E160" s="230"/>
      <c r="F160" s="230"/>
      <c r="G160" s="230"/>
      <c r="H160" s="231"/>
      <c r="I160" s="233"/>
      <c r="J160" s="236"/>
      <c r="K160" s="271"/>
      <c r="L160" s="224" t="s">
        <v>147</v>
      </c>
      <c r="M160" s="224" t="s">
        <v>41</v>
      </c>
      <c r="O160">
        <f t="shared" si="0"/>
        <v>0</v>
      </c>
    </row>
    <row r="161" spans="1:15" x14ac:dyDescent="0.25">
      <c r="A161" s="246"/>
      <c r="B161" s="352"/>
      <c r="C161" s="233"/>
      <c r="D161" s="233"/>
      <c r="E161" s="230"/>
      <c r="F161" s="230"/>
      <c r="G161" s="230"/>
      <c r="H161" s="231"/>
      <c r="I161" s="233"/>
      <c r="J161" s="236"/>
      <c r="K161" s="271"/>
      <c r="L161" s="224" t="s">
        <v>147</v>
      </c>
      <c r="M161" s="224" t="s">
        <v>41</v>
      </c>
      <c r="O161">
        <f t="shared" si="0"/>
        <v>0</v>
      </c>
    </row>
    <row r="162" spans="1:15" x14ac:dyDescent="0.25">
      <c r="A162" s="246"/>
      <c r="B162" s="352"/>
      <c r="C162" s="233"/>
      <c r="D162" s="233"/>
      <c r="E162" s="230"/>
      <c r="F162" s="230"/>
      <c r="G162" s="230"/>
      <c r="H162" s="231"/>
      <c r="I162" s="230"/>
      <c r="J162" s="236"/>
      <c r="K162" s="271"/>
      <c r="L162" s="224" t="s">
        <v>147</v>
      </c>
      <c r="M162" s="224" t="s">
        <v>41</v>
      </c>
      <c r="O162">
        <f t="shared" si="0"/>
        <v>0</v>
      </c>
    </row>
    <row r="163" spans="1:15" x14ac:dyDescent="0.25">
      <c r="A163" s="246"/>
      <c r="B163" s="352"/>
      <c r="C163" s="233"/>
      <c r="D163" s="233"/>
      <c r="E163" s="230"/>
      <c r="F163" s="230"/>
      <c r="G163" s="230"/>
      <c r="H163" s="231"/>
      <c r="I163" s="233"/>
      <c r="J163" s="236"/>
      <c r="K163" s="271"/>
      <c r="L163" s="224" t="s">
        <v>147</v>
      </c>
      <c r="M163" s="224" t="s">
        <v>41</v>
      </c>
      <c r="O163">
        <f t="shared" si="0"/>
        <v>0</v>
      </c>
    </row>
    <row r="164" spans="1:15" x14ac:dyDescent="0.25">
      <c r="A164" s="246"/>
      <c r="B164" s="352"/>
      <c r="C164" s="233"/>
      <c r="D164" s="233"/>
      <c r="E164" s="230"/>
      <c r="F164" s="230"/>
      <c r="G164" s="230"/>
      <c r="H164" s="231"/>
      <c r="I164" s="233"/>
      <c r="J164" s="236"/>
      <c r="K164" s="271"/>
      <c r="L164" s="224" t="s">
        <v>147</v>
      </c>
      <c r="M164" s="224" t="s">
        <v>41</v>
      </c>
      <c r="O164">
        <f t="shared" si="0"/>
        <v>0</v>
      </c>
    </row>
    <row r="165" spans="1:15" x14ac:dyDescent="0.25">
      <c r="A165" s="246"/>
      <c r="B165" s="352"/>
      <c r="C165" s="233"/>
      <c r="D165" s="233"/>
      <c r="E165" s="230"/>
      <c r="F165" s="230"/>
      <c r="G165" s="230"/>
      <c r="H165" s="231"/>
      <c r="I165" s="230"/>
      <c r="J165" s="236"/>
      <c r="K165" s="271"/>
      <c r="L165" s="224" t="s">
        <v>147</v>
      </c>
      <c r="M165" s="224" t="s">
        <v>41</v>
      </c>
      <c r="O165">
        <f t="shared" si="0"/>
        <v>0</v>
      </c>
    </row>
    <row r="166" spans="1:15" x14ac:dyDescent="0.25">
      <c r="A166" s="246"/>
      <c r="B166" s="352"/>
      <c r="C166" s="233"/>
      <c r="D166" s="233"/>
      <c r="E166" s="230"/>
      <c r="F166" s="230"/>
      <c r="G166" s="230"/>
      <c r="H166" s="231"/>
      <c r="I166" s="233"/>
      <c r="J166" s="236"/>
      <c r="K166" s="271"/>
      <c r="L166" s="224" t="s">
        <v>147</v>
      </c>
      <c r="M166" s="224" t="s">
        <v>41</v>
      </c>
      <c r="O166">
        <f t="shared" si="0"/>
        <v>0</v>
      </c>
    </row>
    <row r="167" spans="1:15" x14ac:dyDescent="0.25">
      <c r="A167" s="246"/>
      <c r="B167" s="352"/>
      <c r="C167" s="233"/>
      <c r="D167" s="233"/>
      <c r="E167" s="230"/>
      <c r="F167" s="230"/>
      <c r="G167" s="230"/>
      <c r="H167" s="231"/>
      <c r="I167" s="233"/>
      <c r="J167" s="236"/>
      <c r="K167" s="271"/>
      <c r="L167" s="224" t="s">
        <v>147</v>
      </c>
      <c r="M167" s="224" t="s">
        <v>41</v>
      </c>
      <c r="O167">
        <f t="shared" si="0"/>
        <v>0</v>
      </c>
    </row>
    <row r="168" spans="1:15" x14ac:dyDescent="0.25">
      <c r="A168" s="246"/>
      <c r="B168" s="352"/>
      <c r="C168" s="233"/>
      <c r="D168" s="233"/>
      <c r="E168" s="230"/>
      <c r="F168" s="230"/>
      <c r="G168" s="230"/>
      <c r="H168" s="231"/>
      <c r="I168" s="233"/>
      <c r="J168" s="236"/>
      <c r="K168" s="271"/>
      <c r="L168" s="224" t="s">
        <v>147</v>
      </c>
      <c r="M168" s="224" t="s">
        <v>41</v>
      </c>
      <c r="O168">
        <f t="shared" si="0"/>
        <v>0</v>
      </c>
    </row>
    <row r="169" spans="1:15" x14ac:dyDescent="0.25">
      <c r="A169" s="246"/>
      <c r="B169" s="352"/>
      <c r="C169" s="233"/>
      <c r="D169" s="233"/>
      <c r="E169" s="230"/>
      <c r="F169" s="230"/>
      <c r="G169" s="230"/>
      <c r="H169" s="231"/>
      <c r="I169" s="230"/>
      <c r="J169" s="236"/>
      <c r="K169" s="271"/>
      <c r="L169" s="224" t="s">
        <v>147</v>
      </c>
      <c r="M169" s="224" t="s">
        <v>41</v>
      </c>
      <c r="O169">
        <f t="shared" si="0"/>
        <v>0</v>
      </c>
    </row>
    <row r="170" spans="1:15" x14ac:dyDescent="0.25">
      <c r="A170" s="246"/>
      <c r="B170" s="352"/>
      <c r="C170" s="233"/>
      <c r="D170" s="233"/>
      <c r="E170" s="230"/>
      <c r="F170" s="230"/>
      <c r="G170" s="230"/>
      <c r="H170" s="231"/>
      <c r="I170" s="233"/>
      <c r="J170" s="236"/>
      <c r="K170" s="271"/>
      <c r="L170" s="224" t="s">
        <v>147</v>
      </c>
      <c r="M170" s="224" t="s">
        <v>41</v>
      </c>
      <c r="O170">
        <f t="shared" si="0"/>
        <v>0</v>
      </c>
    </row>
    <row r="171" spans="1:15" x14ac:dyDescent="0.25">
      <c r="A171" s="246"/>
      <c r="B171" s="352"/>
      <c r="C171" s="233"/>
      <c r="D171" s="233"/>
      <c r="E171" s="230"/>
      <c r="F171" s="230"/>
      <c r="G171" s="230"/>
      <c r="H171" s="231"/>
      <c r="I171" s="230"/>
      <c r="J171" s="236"/>
      <c r="K171" s="271"/>
      <c r="L171" s="224" t="s">
        <v>147</v>
      </c>
      <c r="M171" s="224" t="s">
        <v>41</v>
      </c>
      <c r="O171">
        <f t="shared" si="0"/>
        <v>0</v>
      </c>
    </row>
    <row r="172" spans="1:15" x14ac:dyDescent="0.25">
      <c r="A172" s="246"/>
      <c r="B172" s="352"/>
      <c r="C172" s="233"/>
      <c r="D172" s="233"/>
      <c r="E172" s="230"/>
      <c r="F172" s="230"/>
      <c r="G172" s="230"/>
      <c r="H172" s="231"/>
      <c r="I172" s="233"/>
      <c r="J172" s="236"/>
      <c r="K172" s="271"/>
      <c r="L172" s="224" t="s">
        <v>147</v>
      </c>
      <c r="M172" s="224" t="s">
        <v>41</v>
      </c>
      <c r="O172">
        <f t="shared" si="0"/>
        <v>0</v>
      </c>
    </row>
    <row r="173" spans="1:15" x14ac:dyDescent="0.25">
      <c r="A173" s="246"/>
      <c r="B173" s="352"/>
      <c r="C173" s="233"/>
      <c r="D173" s="233"/>
      <c r="E173" s="230"/>
      <c r="F173" s="230"/>
      <c r="G173" s="230"/>
      <c r="H173" s="231"/>
      <c r="I173" s="233"/>
      <c r="J173" s="236"/>
      <c r="K173" s="271"/>
      <c r="L173" s="224" t="s">
        <v>147</v>
      </c>
      <c r="M173" s="224" t="s">
        <v>41</v>
      </c>
      <c r="O173">
        <f t="shared" si="0"/>
        <v>0</v>
      </c>
    </row>
    <row r="174" spans="1:15" x14ac:dyDescent="0.25">
      <c r="A174" s="246"/>
      <c r="B174" s="352"/>
      <c r="C174" s="233"/>
      <c r="D174" s="233"/>
      <c r="E174" s="230"/>
      <c r="F174" s="230"/>
      <c r="G174" s="230"/>
      <c r="H174" s="231"/>
      <c r="I174" s="230"/>
      <c r="J174" s="236"/>
      <c r="K174" s="271"/>
      <c r="L174" s="224" t="s">
        <v>147</v>
      </c>
      <c r="M174" s="224" t="s">
        <v>41</v>
      </c>
      <c r="O174">
        <f t="shared" si="0"/>
        <v>0</v>
      </c>
    </row>
    <row r="175" spans="1:15" x14ac:dyDescent="0.25">
      <c r="A175" s="246"/>
      <c r="B175" s="352"/>
      <c r="C175" s="233"/>
      <c r="D175" s="233"/>
      <c r="E175" s="230"/>
      <c r="F175" s="230"/>
      <c r="G175" s="230"/>
      <c r="H175" s="231"/>
      <c r="I175" s="230"/>
      <c r="J175" s="236"/>
      <c r="K175" s="271"/>
      <c r="L175" s="224" t="s">
        <v>147</v>
      </c>
      <c r="M175" s="224" t="s">
        <v>41</v>
      </c>
      <c r="O175">
        <f t="shared" si="0"/>
        <v>0</v>
      </c>
    </row>
    <row r="176" spans="1:15" x14ac:dyDescent="0.25">
      <c r="A176" s="246"/>
      <c r="B176" s="352"/>
      <c r="C176" s="233"/>
      <c r="D176" s="233"/>
      <c r="E176" s="230"/>
      <c r="F176" s="230"/>
      <c r="G176" s="230"/>
      <c r="H176" s="231"/>
      <c r="I176" s="233"/>
      <c r="J176" s="236"/>
      <c r="K176" s="271"/>
      <c r="L176" s="224" t="s">
        <v>147</v>
      </c>
      <c r="M176" s="224" t="s">
        <v>41</v>
      </c>
      <c r="O176">
        <f t="shared" si="0"/>
        <v>0</v>
      </c>
    </row>
    <row r="177" spans="1:15" x14ac:dyDescent="0.25">
      <c r="A177" s="246"/>
      <c r="B177" s="352"/>
      <c r="C177" s="233"/>
      <c r="D177" s="233"/>
      <c r="E177" s="230"/>
      <c r="F177" s="230"/>
      <c r="G177" s="230"/>
      <c r="H177" s="231"/>
      <c r="I177" s="230"/>
      <c r="J177" s="236"/>
      <c r="K177" s="271"/>
      <c r="L177" s="224" t="s">
        <v>147</v>
      </c>
      <c r="M177" s="224" t="s">
        <v>41</v>
      </c>
      <c r="O177">
        <f t="shared" si="0"/>
        <v>0</v>
      </c>
    </row>
    <row r="178" spans="1:15" x14ac:dyDescent="0.25">
      <c r="A178" s="246"/>
      <c r="B178" s="352"/>
      <c r="C178" s="233"/>
      <c r="D178" s="233"/>
      <c r="E178" s="230"/>
      <c r="F178" s="230"/>
      <c r="G178" s="230"/>
      <c r="H178" s="231"/>
      <c r="I178" s="233"/>
      <c r="J178" s="236"/>
      <c r="K178" s="271"/>
      <c r="L178" s="224" t="s">
        <v>147</v>
      </c>
      <c r="M178" s="224" t="s">
        <v>41</v>
      </c>
      <c r="O178">
        <f t="shared" si="0"/>
        <v>0</v>
      </c>
    </row>
    <row r="179" spans="1:15" x14ac:dyDescent="0.25">
      <c r="A179" s="246"/>
      <c r="B179" s="352"/>
      <c r="C179" s="233"/>
      <c r="D179" s="233"/>
      <c r="E179" s="230"/>
      <c r="F179" s="230"/>
      <c r="G179" s="230"/>
      <c r="H179" s="231"/>
      <c r="I179" s="230"/>
      <c r="J179" s="236"/>
      <c r="K179" s="271"/>
      <c r="L179" s="224" t="s">
        <v>147</v>
      </c>
      <c r="M179" s="224" t="s">
        <v>41</v>
      </c>
      <c r="O179">
        <f t="shared" si="0"/>
        <v>0</v>
      </c>
    </row>
    <row r="180" spans="1:15" x14ac:dyDescent="0.25">
      <c r="A180" s="246"/>
      <c r="B180" s="352"/>
      <c r="C180" s="233"/>
      <c r="D180" s="233"/>
      <c r="E180" s="230"/>
      <c r="F180" s="230"/>
      <c r="G180" s="230"/>
      <c r="H180" s="231"/>
      <c r="I180" s="230"/>
      <c r="J180" s="236"/>
      <c r="K180" s="271"/>
      <c r="L180" s="224" t="s">
        <v>147</v>
      </c>
      <c r="M180" s="224" t="s">
        <v>41</v>
      </c>
      <c r="O180">
        <f t="shared" si="0"/>
        <v>0</v>
      </c>
    </row>
    <row r="181" spans="1:15" x14ac:dyDescent="0.25">
      <c r="A181" s="246"/>
      <c r="B181" s="352"/>
      <c r="C181" s="233"/>
      <c r="D181" s="233"/>
      <c r="E181" s="230"/>
      <c r="F181" s="230"/>
      <c r="G181" s="230"/>
      <c r="H181" s="231"/>
      <c r="I181" s="230"/>
      <c r="J181" s="236"/>
      <c r="K181" s="271"/>
      <c r="L181" s="224" t="s">
        <v>147</v>
      </c>
      <c r="M181" s="224" t="s">
        <v>41</v>
      </c>
      <c r="O181">
        <f t="shared" si="0"/>
        <v>0</v>
      </c>
    </row>
    <row r="182" spans="1:15" x14ac:dyDescent="0.25">
      <c r="A182" s="246"/>
      <c r="B182" s="352"/>
      <c r="C182" s="233"/>
      <c r="D182" s="233"/>
      <c r="E182" s="230"/>
      <c r="F182" s="230"/>
      <c r="G182" s="230"/>
      <c r="H182" s="231"/>
      <c r="I182" s="230"/>
      <c r="J182" s="236"/>
      <c r="K182" s="271"/>
      <c r="L182" s="224" t="s">
        <v>147</v>
      </c>
      <c r="M182" s="224" t="s">
        <v>41</v>
      </c>
      <c r="O182">
        <f t="shared" si="0"/>
        <v>0</v>
      </c>
    </row>
    <row r="183" spans="1:15" x14ac:dyDescent="0.25">
      <c r="A183" s="246"/>
      <c r="B183" s="352"/>
      <c r="C183" s="233"/>
      <c r="D183" s="233"/>
      <c r="E183" s="230"/>
      <c r="F183" s="230"/>
      <c r="G183" s="230"/>
      <c r="H183" s="231"/>
      <c r="I183" s="230"/>
      <c r="J183" s="236"/>
      <c r="K183" s="271"/>
      <c r="L183" s="224" t="s">
        <v>147</v>
      </c>
      <c r="M183" s="224" t="s">
        <v>41</v>
      </c>
      <c r="O183">
        <f t="shared" si="0"/>
        <v>0</v>
      </c>
    </row>
    <row r="184" spans="1:15" x14ac:dyDescent="0.25">
      <c r="A184" s="246"/>
      <c r="B184" s="352"/>
      <c r="C184" s="233"/>
      <c r="D184" s="233"/>
      <c r="E184" s="230"/>
      <c r="F184" s="230"/>
      <c r="G184" s="230"/>
      <c r="H184" s="231"/>
      <c r="I184" s="230"/>
      <c r="J184" s="236"/>
      <c r="K184" s="271"/>
      <c r="L184" s="224" t="s">
        <v>147</v>
      </c>
      <c r="M184" s="224" t="s">
        <v>41</v>
      </c>
      <c r="O184">
        <f t="shared" si="0"/>
        <v>0</v>
      </c>
    </row>
    <row r="185" spans="1:15" x14ac:dyDescent="0.25">
      <c r="A185" s="246"/>
      <c r="B185" s="352"/>
      <c r="C185" s="233"/>
      <c r="D185" s="233"/>
      <c r="E185" s="230"/>
      <c r="F185" s="230"/>
      <c r="G185" s="230"/>
      <c r="H185" s="231"/>
      <c r="I185" s="233"/>
      <c r="J185" s="236"/>
      <c r="K185" s="271"/>
      <c r="L185" s="224" t="s">
        <v>147</v>
      </c>
      <c r="M185" s="224" t="s">
        <v>41</v>
      </c>
      <c r="O185">
        <f t="shared" si="0"/>
        <v>0</v>
      </c>
    </row>
    <row r="186" spans="1:15" x14ac:dyDescent="0.25">
      <c r="A186" s="246"/>
      <c r="B186" s="352"/>
      <c r="C186" s="233"/>
      <c r="D186" s="233"/>
      <c r="E186" s="230"/>
      <c r="F186" s="230"/>
      <c r="G186" s="230"/>
      <c r="H186" s="231"/>
      <c r="I186" s="230"/>
      <c r="J186" s="236"/>
      <c r="K186" s="271"/>
      <c r="L186" s="224" t="s">
        <v>147</v>
      </c>
      <c r="M186" s="224" t="s">
        <v>41</v>
      </c>
      <c r="O186">
        <f t="shared" si="0"/>
        <v>0</v>
      </c>
    </row>
    <row r="187" spans="1:15" x14ac:dyDescent="0.25">
      <c r="A187" s="246"/>
      <c r="B187" s="352"/>
      <c r="C187" s="233"/>
      <c r="D187" s="233"/>
      <c r="E187" s="230"/>
      <c r="F187" s="230"/>
      <c r="G187" s="230"/>
      <c r="H187" s="231"/>
      <c r="I187" s="233"/>
      <c r="J187" s="236"/>
      <c r="K187" s="271"/>
      <c r="L187" s="224" t="s">
        <v>147</v>
      </c>
      <c r="M187" s="224" t="s">
        <v>41</v>
      </c>
      <c r="O187">
        <f t="shared" si="0"/>
        <v>0</v>
      </c>
    </row>
    <row r="188" spans="1:15" x14ac:dyDescent="0.25">
      <c r="A188" s="246"/>
      <c r="B188" s="352"/>
      <c r="C188" s="233"/>
      <c r="D188" s="233"/>
      <c r="E188" s="230"/>
      <c r="F188" s="230"/>
      <c r="G188" s="230"/>
      <c r="H188" s="231"/>
      <c r="I188" s="233"/>
      <c r="J188" s="236"/>
      <c r="K188" s="271"/>
      <c r="L188" s="224" t="s">
        <v>147</v>
      </c>
      <c r="M188" s="224" t="s">
        <v>41</v>
      </c>
      <c r="O188">
        <f t="shared" si="0"/>
        <v>0</v>
      </c>
    </row>
    <row r="189" spans="1:15" x14ac:dyDescent="0.25">
      <c r="A189" s="246"/>
      <c r="B189" s="352"/>
      <c r="C189" s="233"/>
      <c r="D189" s="233"/>
      <c r="E189" s="230"/>
      <c r="F189" s="230"/>
      <c r="G189" s="230"/>
      <c r="H189" s="231"/>
      <c r="I189" s="230"/>
      <c r="J189" s="236"/>
      <c r="K189" s="271"/>
      <c r="L189" s="224" t="s">
        <v>147</v>
      </c>
      <c r="M189" s="224" t="s">
        <v>41</v>
      </c>
      <c r="O189">
        <f t="shared" si="0"/>
        <v>0</v>
      </c>
    </row>
    <row r="190" spans="1:15" x14ac:dyDescent="0.25">
      <c r="A190" s="246"/>
      <c r="B190" s="352"/>
      <c r="C190" s="233"/>
      <c r="D190" s="233"/>
      <c r="E190" s="230"/>
      <c r="F190" s="230"/>
      <c r="G190" s="230"/>
      <c r="H190" s="231"/>
      <c r="I190" s="233"/>
      <c r="J190" s="236"/>
      <c r="K190" s="271"/>
      <c r="L190" s="224" t="s">
        <v>147</v>
      </c>
      <c r="M190" s="224" t="s">
        <v>41</v>
      </c>
      <c r="O190">
        <f t="shared" si="0"/>
        <v>0</v>
      </c>
    </row>
    <row r="191" spans="1:15" x14ac:dyDescent="0.25">
      <c r="A191" s="246"/>
      <c r="B191" s="352"/>
      <c r="C191" s="233"/>
      <c r="D191" s="233"/>
      <c r="E191" s="230"/>
      <c r="F191" s="230"/>
      <c r="G191" s="230"/>
      <c r="H191" s="231"/>
      <c r="I191" s="230"/>
      <c r="J191" s="236"/>
      <c r="K191" s="271"/>
      <c r="L191" s="224" t="s">
        <v>147</v>
      </c>
      <c r="M191" s="224" t="s">
        <v>41</v>
      </c>
      <c r="O191">
        <f t="shared" si="0"/>
        <v>0</v>
      </c>
    </row>
    <row r="192" spans="1:15" x14ac:dyDescent="0.25">
      <c r="A192" s="246"/>
      <c r="B192" s="352"/>
      <c r="C192" s="233"/>
      <c r="D192" s="233"/>
      <c r="E192" s="230"/>
      <c r="F192" s="230"/>
      <c r="G192" s="230"/>
      <c r="H192" s="231"/>
      <c r="I192" s="233"/>
      <c r="J192" s="236"/>
      <c r="K192" s="271"/>
      <c r="L192" s="224" t="s">
        <v>147</v>
      </c>
      <c r="M192" s="224" t="s">
        <v>41</v>
      </c>
      <c r="O192">
        <f t="shared" si="0"/>
        <v>0</v>
      </c>
    </row>
    <row r="193" spans="1:15" x14ac:dyDescent="0.25">
      <c r="A193" s="246"/>
      <c r="B193" s="352"/>
      <c r="C193" s="233"/>
      <c r="D193" s="233"/>
      <c r="E193" s="230"/>
      <c r="F193" s="230"/>
      <c r="G193" s="230"/>
      <c r="H193" s="231"/>
      <c r="I193" s="233"/>
      <c r="J193" s="236"/>
      <c r="K193" s="271"/>
      <c r="L193" s="224" t="s">
        <v>147</v>
      </c>
      <c r="M193" s="224" t="s">
        <v>41</v>
      </c>
      <c r="O193">
        <f t="shared" si="0"/>
        <v>0</v>
      </c>
    </row>
    <row r="194" spans="1:15" x14ac:dyDescent="0.25">
      <c r="A194" s="246"/>
      <c r="B194" s="352"/>
      <c r="C194" s="233"/>
      <c r="D194" s="233"/>
      <c r="E194" s="230"/>
      <c r="F194" s="230"/>
      <c r="G194" s="230"/>
      <c r="H194" s="231"/>
      <c r="I194" s="230"/>
      <c r="J194" s="236"/>
      <c r="K194" s="271"/>
      <c r="L194" s="224" t="s">
        <v>147</v>
      </c>
      <c r="M194" s="224" t="s">
        <v>41</v>
      </c>
      <c r="O194">
        <f t="shared" si="0"/>
        <v>0</v>
      </c>
    </row>
    <row r="195" spans="1:15" x14ac:dyDescent="0.25">
      <c r="A195" s="246"/>
      <c r="B195" s="352"/>
      <c r="C195" s="233"/>
      <c r="D195" s="233"/>
      <c r="E195" s="230"/>
      <c r="F195" s="230"/>
      <c r="G195" s="230"/>
      <c r="H195" s="231"/>
      <c r="I195" s="233"/>
      <c r="J195" s="236"/>
      <c r="K195" s="271"/>
      <c r="L195" s="224" t="s">
        <v>147</v>
      </c>
      <c r="M195" s="224" t="s">
        <v>41</v>
      </c>
      <c r="O195">
        <f t="shared" si="0"/>
        <v>0</v>
      </c>
    </row>
    <row r="196" spans="1:15" x14ac:dyDescent="0.25">
      <c r="A196" s="246"/>
      <c r="B196" s="352"/>
      <c r="C196" s="233"/>
      <c r="D196" s="233"/>
      <c r="E196" s="230"/>
      <c r="F196" s="230"/>
      <c r="G196" s="230"/>
      <c r="H196" s="231"/>
      <c r="I196" s="230"/>
      <c r="J196" s="236"/>
      <c r="K196" s="271"/>
      <c r="L196" s="224" t="s">
        <v>147</v>
      </c>
      <c r="M196" s="224" t="s">
        <v>41</v>
      </c>
      <c r="O196">
        <f t="shared" si="0"/>
        <v>0</v>
      </c>
    </row>
    <row r="197" spans="1:15" x14ac:dyDescent="0.25">
      <c r="A197" s="246"/>
      <c r="B197" s="352"/>
      <c r="C197" s="233"/>
      <c r="D197" s="233"/>
      <c r="E197" s="230"/>
      <c r="F197" s="230"/>
      <c r="G197" s="230"/>
      <c r="H197" s="231"/>
      <c r="I197" s="233"/>
      <c r="J197" s="236"/>
      <c r="K197" s="271"/>
      <c r="L197" s="224" t="s">
        <v>147</v>
      </c>
      <c r="M197" s="224" t="s">
        <v>41</v>
      </c>
      <c r="O197">
        <f t="shared" si="0"/>
        <v>0</v>
      </c>
    </row>
    <row r="198" spans="1:15" x14ac:dyDescent="0.25">
      <c r="A198" s="246"/>
      <c r="B198" s="352"/>
      <c r="C198" s="233"/>
      <c r="D198" s="233"/>
      <c r="E198" s="230"/>
      <c r="F198" s="230"/>
      <c r="G198" s="230"/>
      <c r="H198" s="231"/>
      <c r="I198" s="233"/>
      <c r="J198" s="236"/>
      <c r="K198" s="271"/>
      <c r="L198" s="224" t="s">
        <v>147</v>
      </c>
      <c r="M198" s="224" t="s">
        <v>41</v>
      </c>
      <c r="O198">
        <f t="shared" si="0"/>
        <v>0</v>
      </c>
    </row>
    <row r="199" spans="1:15" x14ac:dyDescent="0.25">
      <c r="A199" s="246"/>
      <c r="B199" s="352"/>
      <c r="C199" s="233"/>
      <c r="D199" s="233"/>
      <c r="E199" s="230"/>
      <c r="F199" s="230"/>
      <c r="G199" s="230"/>
      <c r="H199" s="231"/>
      <c r="I199" s="230"/>
      <c r="J199" s="236"/>
      <c r="K199" s="271"/>
      <c r="L199" s="224" t="s">
        <v>147</v>
      </c>
      <c r="M199" s="224" t="s">
        <v>41</v>
      </c>
      <c r="O199">
        <f t="shared" si="0"/>
        <v>0</v>
      </c>
    </row>
    <row r="200" spans="1:15" x14ac:dyDescent="0.25">
      <c r="A200" s="246"/>
      <c r="B200" s="352"/>
      <c r="C200" s="233"/>
      <c r="D200" s="233"/>
      <c r="E200" s="230"/>
      <c r="F200" s="230"/>
      <c r="G200" s="230"/>
      <c r="H200" s="231"/>
      <c r="I200" s="230"/>
      <c r="J200" s="236"/>
      <c r="K200" s="271"/>
      <c r="L200" s="224" t="s">
        <v>147</v>
      </c>
      <c r="M200" s="224" t="s">
        <v>41</v>
      </c>
      <c r="O200">
        <f t="shared" si="0"/>
        <v>0</v>
      </c>
    </row>
    <row r="201" spans="1:15" x14ac:dyDescent="0.25">
      <c r="A201" s="246"/>
      <c r="B201" s="352"/>
      <c r="C201" s="233"/>
      <c r="D201" s="233"/>
      <c r="E201" s="230"/>
      <c r="F201" s="230"/>
      <c r="G201" s="230"/>
      <c r="H201" s="231"/>
      <c r="I201" s="233"/>
      <c r="J201" s="236"/>
      <c r="K201" s="271"/>
      <c r="L201" s="224" t="s">
        <v>147</v>
      </c>
      <c r="M201" s="224" t="s">
        <v>41</v>
      </c>
      <c r="O201">
        <f t="shared" si="0"/>
        <v>0</v>
      </c>
    </row>
    <row r="202" spans="1:15" x14ac:dyDescent="0.25">
      <c r="A202" s="246"/>
      <c r="B202" s="352"/>
      <c r="C202" s="233"/>
      <c r="D202" s="233"/>
      <c r="E202" s="230"/>
      <c r="F202" s="230"/>
      <c r="G202" s="230"/>
      <c r="H202" s="231"/>
      <c r="I202" s="230"/>
      <c r="J202" s="236"/>
      <c r="K202" s="271"/>
      <c r="L202" s="224" t="s">
        <v>147</v>
      </c>
      <c r="M202" s="224" t="s">
        <v>41</v>
      </c>
      <c r="O202">
        <f t="shared" si="0"/>
        <v>0</v>
      </c>
    </row>
    <row r="203" spans="1:15" x14ac:dyDescent="0.25">
      <c r="A203" s="246"/>
      <c r="B203" s="352"/>
      <c r="C203" s="233"/>
      <c r="D203" s="233"/>
      <c r="E203" s="230"/>
      <c r="F203" s="230"/>
      <c r="G203" s="230"/>
      <c r="H203" s="231"/>
      <c r="I203" s="233"/>
      <c r="J203" s="236"/>
      <c r="K203" s="271"/>
      <c r="L203" s="224" t="s">
        <v>147</v>
      </c>
      <c r="M203" s="224" t="s">
        <v>41</v>
      </c>
      <c r="O203">
        <f t="shared" si="0"/>
        <v>0</v>
      </c>
    </row>
    <row r="204" spans="1:15" x14ac:dyDescent="0.25">
      <c r="A204" s="246"/>
      <c r="B204" s="352"/>
      <c r="C204" s="233"/>
      <c r="D204" s="233"/>
      <c r="E204" s="230"/>
      <c r="F204" s="230"/>
      <c r="G204" s="230"/>
      <c r="H204" s="231"/>
      <c r="I204" s="233"/>
      <c r="J204" s="236"/>
      <c r="K204" s="271"/>
      <c r="L204" s="224" t="s">
        <v>147</v>
      </c>
      <c r="M204" s="224" t="s">
        <v>41</v>
      </c>
    </row>
    <row r="205" spans="1:15" x14ac:dyDescent="0.25">
      <c r="A205" s="246"/>
      <c r="B205" s="352"/>
      <c r="C205" s="233"/>
      <c r="D205" s="233"/>
      <c r="E205" s="230"/>
      <c r="F205" s="230"/>
      <c r="G205" s="230"/>
      <c r="H205" s="231"/>
      <c r="I205" s="230"/>
      <c r="J205" s="236"/>
      <c r="K205" s="271"/>
      <c r="L205" s="224" t="s">
        <v>147</v>
      </c>
      <c r="M205" s="224" t="s">
        <v>41</v>
      </c>
    </row>
    <row r="206" spans="1:15" x14ac:dyDescent="0.25">
      <c r="A206" s="246"/>
      <c r="B206" s="352"/>
      <c r="C206" s="233"/>
      <c r="D206" s="233"/>
      <c r="E206" s="230"/>
      <c r="F206" s="230"/>
      <c r="G206" s="230"/>
      <c r="H206" s="231"/>
      <c r="I206" s="233"/>
      <c r="J206" s="236"/>
      <c r="K206" s="271"/>
      <c r="L206" s="224" t="s">
        <v>147</v>
      </c>
      <c r="M206" s="224" t="s">
        <v>41</v>
      </c>
    </row>
    <row r="207" spans="1:15" x14ac:dyDescent="0.25">
      <c r="A207" s="246"/>
      <c r="B207" s="352"/>
      <c r="C207" s="233"/>
      <c r="D207" s="233"/>
      <c r="E207" s="230"/>
      <c r="F207" s="230"/>
      <c r="G207" s="230"/>
      <c r="H207" s="231"/>
      <c r="I207" s="230"/>
      <c r="J207" s="236"/>
      <c r="K207" s="271"/>
      <c r="L207" s="224" t="s">
        <v>147</v>
      </c>
      <c r="M207" s="224" t="s">
        <v>41</v>
      </c>
    </row>
    <row r="208" spans="1:15" x14ac:dyDescent="0.25">
      <c r="A208" s="246"/>
      <c r="B208" s="352"/>
      <c r="C208" s="233"/>
      <c r="D208" s="233"/>
      <c r="E208" s="230"/>
      <c r="F208" s="230"/>
      <c r="G208" s="230"/>
      <c r="H208" s="231"/>
      <c r="I208" s="230"/>
      <c r="J208" s="236"/>
      <c r="K208" s="271"/>
      <c r="L208" s="224" t="s">
        <v>147</v>
      </c>
      <c r="M208" s="224" t="s">
        <v>41</v>
      </c>
    </row>
    <row r="209" spans="1:13" x14ac:dyDescent="0.25">
      <c r="A209" s="246"/>
      <c r="B209" s="352"/>
      <c r="C209" s="233"/>
      <c r="D209" s="233"/>
      <c r="E209" s="230"/>
      <c r="F209" s="230"/>
      <c r="G209" s="230"/>
      <c r="H209" s="231"/>
      <c r="I209" s="233"/>
      <c r="J209" s="236"/>
      <c r="K209" s="271"/>
      <c r="L209" s="224" t="s">
        <v>147</v>
      </c>
      <c r="M209" s="224" t="s">
        <v>41</v>
      </c>
    </row>
    <row r="210" spans="1:13" x14ac:dyDescent="0.25">
      <c r="A210" s="246"/>
      <c r="B210" s="352"/>
      <c r="C210" s="233"/>
      <c r="D210" s="233"/>
      <c r="E210" s="230"/>
      <c r="F210" s="230"/>
      <c r="G210" s="230"/>
      <c r="H210" s="231"/>
      <c r="I210" s="233"/>
      <c r="J210" s="236"/>
      <c r="K210" s="271"/>
      <c r="L210" s="224" t="s">
        <v>147</v>
      </c>
      <c r="M210" s="224" t="s">
        <v>41</v>
      </c>
    </row>
    <row r="211" spans="1:13" x14ac:dyDescent="0.25">
      <c r="A211" s="246"/>
      <c r="B211" s="352"/>
      <c r="C211" s="233"/>
      <c r="D211" s="233"/>
      <c r="E211" s="230"/>
      <c r="F211" s="230"/>
      <c r="G211" s="230"/>
      <c r="H211" s="231"/>
      <c r="I211" s="230"/>
      <c r="J211" s="236"/>
      <c r="K211" s="271"/>
      <c r="L211" s="224" t="s">
        <v>147</v>
      </c>
      <c r="M211" s="224" t="s">
        <v>41</v>
      </c>
    </row>
    <row r="212" spans="1:13" x14ac:dyDescent="0.25">
      <c r="A212" s="246"/>
      <c r="B212" s="352"/>
      <c r="C212" s="233"/>
      <c r="D212" s="233"/>
      <c r="E212" s="230"/>
      <c r="F212" s="230"/>
      <c r="G212" s="230"/>
      <c r="H212" s="231"/>
      <c r="I212" s="230"/>
      <c r="J212" s="236"/>
      <c r="K212" s="271"/>
      <c r="L212" s="224" t="s">
        <v>147</v>
      </c>
      <c r="M212" s="224" t="s">
        <v>41</v>
      </c>
    </row>
    <row r="213" spans="1:13" x14ac:dyDescent="0.25">
      <c r="A213" s="246"/>
      <c r="B213" s="352"/>
      <c r="C213" s="233"/>
      <c r="D213" s="233"/>
      <c r="E213" s="230"/>
      <c r="F213" s="230"/>
      <c r="G213" s="230"/>
      <c r="H213" s="231"/>
      <c r="I213" s="230"/>
      <c r="J213" s="236"/>
      <c r="K213" s="271"/>
      <c r="L213" s="224" t="s">
        <v>147</v>
      </c>
      <c r="M213" s="224" t="s">
        <v>41</v>
      </c>
    </row>
    <row r="214" spans="1:13" x14ac:dyDescent="0.25">
      <c r="A214" s="246"/>
      <c r="B214" s="352"/>
      <c r="C214" s="233"/>
      <c r="D214" s="233"/>
      <c r="E214" s="230"/>
      <c r="F214" s="230"/>
      <c r="G214" s="230"/>
      <c r="H214" s="231"/>
      <c r="I214" s="233"/>
      <c r="J214" s="236"/>
      <c r="K214" s="271"/>
      <c r="L214" s="224" t="s">
        <v>147</v>
      </c>
      <c r="M214" s="224" t="s">
        <v>41</v>
      </c>
    </row>
    <row r="215" spans="1:13" x14ac:dyDescent="0.25">
      <c r="A215" s="246"/>
      <c r="B215" s="352"/>
      <c r="C215" s="233"/>
      <c r="D215" s="233"/>
      <c r="E215" s="230"/>
      <c r="F215" s="230"/>
      <c r="G215" s="230"/>
      <c r="H215" s="231"/>
      <c r="I215" s="230"/>
      <c r="J215" s="236"/>
      <c r="K215" s="271"/>
      <c r="L215" s="224" t="s">
        <v>147</v>
      </c>
      <c r="M215" s="224" t="s">
        <v>41</v>
      </c>
    </row>
    <row r="216" spans="1:13" x14ac:dyDescent="0.25">
      <c r="A216" s="246"/>
      <c r="B216" s="352"/>
      <c r="C216" s="233"/>
      <c r="D216" s="233"/>
      <c r="E216" s="230"/>
      <c r="F216" s="230"/>
      <c r="G216" s="230"/>
      <c r="H216" s="231"/>
      <c r="I216" s="230"/>
      <c r="J216" s="236"/>
      <c r="K216" s="271"/>
      <c r="L216" s="224" t="s">
        <v>147</v>
      </c>
      <c r="M216" s="224" t="s">
        <v>41</v>
      </c>
    </row>
    <row r="217" spans="1:13" x14ac:dyDescent="0.25">
      <c r="A217" s="246"/>
      <c r="B217" s="352"/>
      <c r="C217" s="233"/>
      <c r="D217" s="233"/>
      <c r="E217" s="230"/>
      <c r="F217" s="230"/>
      <c r="G217" s="230"/>
      <c r="H217" s="231"/>
      <c r="I217" s="230"/>
      <c r="J217" s="236"/>
      <c r="K217" s="271"/>
      <c r="L217" s="224" t="s">
        <v>147</v>
      </c>
      <c r="M217" s="224" t="s">
        <v>41</v>
      </c>
    </row>
    <row r="218" spans="1:13" x14ac:dyDescent="0.25">
      <c r="A218" s="246"/>
      <c r="B218" s="352"/>
      <c r="C218" s="233"/>
      <c r="D218" s="233"/>
      <c r="E218" s="230"/>
      <c r="F218" s="230"/>
      <c r="G218" s="230"/>
      <c r="H218" s="231"/>
      <c r="I218" s="230"/>
      <c r="J218" s="236"/>
      <c r="K218" s="271"/>
      <c r="L218" s="224" t="s">
        <v>147</v>
      </c>
      <c r="M218" s="224" t="s">
        <v>41</v>
      </c>
    </row>
    <row r="219" spans="1:13" x14ac:dyDescent="0.25">
      <c r="A219" s="246"/>
      <c r="B219" s="352"/>
      <c r="C219" s="233"/>
      <c r="D219" s="233"/>
      <c r="E219" s="230"/>
      <c r="F219" s="230"/>
      <c r="G219" s="230"/>
      <c r="H219" s="231"/>
      <c r="I219" s="230"/>
      <c r="J219" s="236"/>
      <c r="K219" s="271"/>
      <c r="L219" s="224" t="s">
        <v>147</v>
      </c>
      <c r="M219" s="224" t="s">
        <v>41</v>
      </c>
    </row>
    <row r="220" spans="1:13" x14ac:dyDescent="0.25">
      <c r="A220" s="246"/>
      <c r="B220" s="352"/>
      <c r="C220" s="233"/>
      <c r="D220" s="233"/>
      <c r="E220" s="230"/>
      <c r="F220" s="230"/>
      <c r="G220" s="230"/>
      <c r="H220" s="231"/>
      <c r="I220" s="230"/>
      <c r="J220" s="236"/>
      <c r="K220" s="271"/>
      <c r="L220" s="224" t="s">
        <v>147</v>
      </c>
      <c r="M220" s="224" t="s">
        <v>41</v>
      </c>
    </row>
    <row r="221" spans="1:13" x14ac:dyDescent="0.25">
      <c r="A221" s="246"/>
      <c r="B221" s="352"/>
      <c r="C221" s="233"/>
      <c r="D221" s="233"/>
      <c r="E221" s="230"/>
      <c r="F221" s="230"/>
      <c r="G221" s="230"/>
      <c r="H221" s="231"/>
      <c r="I221" s="230"/>
      <c r="J221" s="236"/>
      <c r="K221" s="271"/>
      <c r="L221" s="224" t="s">
        <v>147</v>
      </c>
      <c r="M221" s="224" t="s">
        <v>41</v>
      </c>
    </row>
    <row r="222" spans="1:13" x14ac:dyDescent="0.25">
      <c r="A222" s="246"/>
      <c r="B222" s="352"/>
      <c r="C222" s="233"/>
      <c r="D222" s="233"/>
      <c r="E222" s="230"/>
      <c r="F222" s="230"/>
      <c r="G222" s="230"/>
      <c r="H222" s="231"/>
      <c r="I222" s="230"/>
      <c r="J222" s="236"/>
      <c r="K222" s="271"/>
      <c r="L222" s="224" t="s">
        <v>147</v>
      </c>
      <c r="M222" s="224" t="s">
        <v>41</v>
      </c>
    </row>
    <row r="223" spans="1:13" x14ac:dyDescent="0.25">
      <c r="A223" s="246"/>
      <c r="B223" s="352"/>
      <c r="C223" s="233"/>
      <c r="D223" s="233"/>
      <c r="E223" s="230"/>
      <c r="F223" s="230"/>
      <c r="G223" s="230"/>
      <c r="H223" s="231"/>
      <c r="I223" s="230"/>
      <c r="J223" s="236"/>
      <c r="K223" s="271"/>
      <c r="L223" s="224" t="s">
        <v>147</v>
      </c>
      <c r="M223" s="224" t="s">
        <v>41</v>
      </c>
    </row>
    <row r="224" spans="1:13" x14ac:dyDescent="0.25">
      <c r="A224" s="246"/>
      <c r="B224" s="352"/>
      <c r="C224" s="233"/>
      <c r="D224" s="233"/>
      <c r="E224" s="230"/>
      <c r="F224" s="230"/>
      <c r="G224" s="230"/>
      <c r="H224" s="231"/>
      <c r="I224" s="230"/>
      <c r="J224" s="236"/>
      <c r="K224" s="271"/>
      <c r="L224" s="224" t="s">
        <v>147</v>
      </c>
      <c r="M224" s="224" t="s">
        <v>41</v>
      </c>
    </row>
    <row r="225" spans="1:18" x14ac:dyDescent="0.25">
      <c r="A225" s="246"/>
      <c r="B225" s="352"/>
      <c r="C225" s="233"/>
      <c r="D225" s="233"/>
      <c r="E225" s="230"/>
      <c r="F225" s="230"/>
      <c r="G225" s="230"/>
      <c r="H225" s="231"/>
      <c r="I225" s="230"/>
      <c r="J225" s="236"/>
      <c r="K225" s="271"/>
      <c r="L225" s="224" t="s">
        <v>147</v>
      </c>
      <c r="M225" s="224" t="s">
        <v>41</v>
      </c>
    </row>
    <row r="226" spans="1:18" x14ac:dyDescent="0.25">
      <c r="A226" s="246"/>
      <c r="B226" s="352"/>
      <c r="C226" s="233"/>
      <c r="D226" s="233"/>
      <c r="E226" s="230"/>
      <c r="F226" s="230"/>
      <c r="G226" s="230"/>
      <c r="H226" s="231"/>
      <c r="I226" s="230"/>
      <c r="J226" s="236"/>
      <c r="K226" s="271"/>
      <c r="L226" s="224" t="s">
        <v>147</v>
      </c>
      <c r="M226" s="224" t="s">
        <v>41</v>
      </c>
    </row>
    <row r="227" spans="1:18" x14ac:dyDescent="0.25">
      <c r="A227" s="246"/>
      <c r="B227" s="352"/>
      <c r="C227" s="233"/>
      <c r="D227" s="233"/>
      <c r="E227" s="230"/>
      <c r="F227" s="230"/>
      <c r="G227" s="230"/>
      <c r="H227" s="231"/>
      <c r="I227" s="230"/>
      <c r="J227" s="236"/>
      <c r="K227" s="271"/>
      <c r="L227" s="224" t="s">
        <v>147</v>
      </c>
      <c r="M227" s="224" t="s">
        <v>41</v>
      </c>
    </row>
    <row r="228" spans="1:18" x14ac:dyDescent="0.25">
      <c r="A228" s="246"/>
      <c r="B228" s="352"/>
      <c r="C228" s="233"/>
      <c r="D228" s="233"/>
      <c r="E228" s="230"/>
      <c r="F228" s="230"/>
      <c r="G228" s="230"/>
      <c r="H228" s="231"/>
      <c r="I228" s="230"/>
      <c r="J228" s="236"/>
      <c r="K228" s="271"/>
      <c r="L228" s="224" t="s">
        <v>147</v>
      </c>
      <c r="M228" s="224" t="s">
        <v>41</v>
      </c>
    </row>
    <row r="229" spans="1:18" x14ac:dyDescent="0.25">
      <c r="A229" s="246"/>
      <c r="B229" s="352"/>
      <c r="C229" s="233"/>
      <c r="D229" s="233"/>
      <c r="E229" s="230"/>
      <c r="F229" s="230"/>
      <c r="G229" s="230"/>
      <c r="H229" s="231"/>
      <c r="I229" s="233"/>
      <c r="J229" s="236"/>
      <c r="K229" s="271"/>
      <c r="L229" s="224" t="s">
        <v>147</v>
      </c>
      <c r="M229" s="224" t="s">
        <v>41</v>
      </c>
    </row>
    <row r="230" spans="1:18" x14ac:dyDescent="0.25">
      <c r="A230" s="246"/>
      <c r="B230" s="352"/>
      <c r="C230" s="233"/>
      <c r="D230" s="233"/>
      <c r="E230" s="230"/>
      <c r="F230" s="230"/>
      <c r="G230" s="230"/>
      <c r="H230" s="231"/>
      <c r="I230" s="230"/>
      <c r="J230" s="236"/>
      <c r="K230" s="271"/>
      <c r="L230" s="224" t="s">
        <v>147</v>
      </c>
      <c r="M230" s="224" t="s">
        <v>41</v>
      </c>
      <c r="R230" s="69">
        <f>SUM(J230:J232,J228,J237:J238,J240:J242,J245:J248,J250:J251,J254:J257,J259:J262,J264:J266,J268,J270:J273)</f>
        <v>0</v>
      </c>
    </row>
    <row r="231" spans="1:18" x14ac:dyDescent="0.25">
      <c r="A231" s="246"/>
      <c r="B231" s="352"/>
      <c r="C231" s="233"/>
      <c r="D231" s="233"/>
      <c r="E231" s="230"/>
      <c r="F231" s="230"/>
      <c r="G231" s="230"/>
      <c r="H231" s="231"/>
      <c r="I231" s="230"/>
      <c r="J231" s="236"/>
      <c r="K231" s="271"/>
      <c r="L231" s="224" t="s">
        <v>147</v>
      </c>
      <c r="M231" s="224" t="s">
        <v>41</v>
      </c>
    </row>
    <row r="232" spans="1:18" x14ac:dyDescent="0.25">
      <c r="A232" s="246"/>
      <c r="B232" s="352"/>
      <c r="C232" s="233"/>
      <c r="D232" s="233"/>
      <c r="E232" s="230"/>
      <c r="F232" s="230"/>
      <c r="G232" s="230"/>
      <c r="H232" s="231"/>
      <c r="I232" s="230"/>
      <c r="J232" s="236"/>
      <c r="K232" s="271"/>
      <c r="L232" s="224" t="s">
        <v>147</v>
      </c>
      <c r="M232" s="224" t="s">
        <v>41</v>
      </c>
    </row>
    <row r="233" spans="1:18" x14ac:dyDescent="0.25">
      <c r="A233" s="246"/>
      <c r="B233" s="352"/>
      <c r="C233" s="233"/>
      <c r="D233" s="233"/>
      <c r="E233" s="230"/>
      <c r="F233" s="230"/>
      <c r="G233" s="230"/>
      <c r="H233" s="231"/>
      <c r="I233" s="233"/>
      <c r="J233" s="236"/>
      <c r="K233" s="271"/>
      <c r="L233" s="224" t="s">
        <v>147</v>
      </c>
      <c r="M233" s="224" t="s">
        <v>41</v>
      </c>
    </row>
    <row r="234" spans="1:18" x14ac:dyDescent="0.25">
      <c r="A234" s="246"/>
      <c r="B234" s="352"/>
      <c r="C234" s="233"/>
      <c r="D234" s="233"/>
      <c r="E234" s="230"/>
      <c r="F234" s="230"/>
      <c r="G234" s="230"/>
      <c r="H234" s="231"/>
      <c r="I234" s="230"/>
      <c r="J234" s="236"/>
      <c r="K234" s="271"/>
      <c r="L234" s="224" t="s">
        <v>147</v>
      </c>
      <c r="M234" s="224" t="s">
        <v>41</v>
      </c>
    </row>
    <row r="235" spans="1:18" x14ac:dyDescent="0.25">
      <c r="A235" s="246"/>
      <c r="B235" s="352"/>
      <c r="C235" s="233"/>
      <c r="D235" s="233"/>
      <c r="E235" s="230"/>
      <c r="F235" s="230"/>
      <c r="G235" s="230"/>
      <c r="H235" s="231"/>
      <c r="I235" s="230"/>
      <c r="J235" s="236"/>
      <c r="K235" s="271"/>
      <c r="L235" s="224" t="s">
        <v>147</v>
      </c>
      <c r="M235" s="224" t="s">
        <v>41</v>
      </c>
    </row>
    <row r="236" spans="1:18" x14ac:dyDescent="0.25">
      <c r="A236" s="246"/>
      <c r="B236" s="352"/>
      <c r="C236" s="233"/>
      <c r="D236" s="233"/>
      <c r="E236" s="230"/>
      <c r="F236" s="230"/>
      <c r="G236" s="230"/>
      <c r="H236" s="231"/>
      <c r="I236" s="230"/>
      <c r="J236" s="236"/>
      <c r="K236" s="271"/>
      <c r="L236" s="224" t="s">
        <v>147</v>
      </c>
      <c r="M236" s="224" t="s">
        <v>41</v>
      </c>
    </row>
    <row r="237" spans="1:18" x14ac:dyDescent="0.25">
      <c r="A237" s="246"/>
      <c r="B237" s="352"/>
      <c r="C237" s="233"/>
      <c r="D237" s="233"/>
      <c r="E237" s="230"/>
      <c r="F237" s="230"/>
      <c r="G237" s="230"/>
      <c r="H237" s="231"/>
      <c r="I237" s="230"/>
      <c r="J237" s="236"/>
      <c r="K237" s="271"/>
      <c r="L237" s="224" t="s">
        <v>147</v>
      </c>
      <c r="M237" s="224" t="s">
        <v>41</v>
      </c>
    </row>
    <row r="238" spans="1:18" x14ac:dyDescent="0.25">
      <c r="A238" s="246"/>
      <c r="B238" s="352"/>
      <c r="C238" s="233"/>
      <c r="D238" s="233"/>
      <c r="E238" s="230"/>
      <c r="F238" s="230"/>
      <c r="G238" s="230"/>
      <c r="H238" s="231"/>
      <c r="I238" s="230"/>
      <c r="J238" s="236"/>
      <c r="K238" s="271"/>
      <c r="L238" s="224" t="s">
        <v>147</v>
      </c>
      <c r="M238" s="224" t="s">
        <v>41</v>
      </c>
    </row>
    <row r="239" spans="1:18" x14ac:dyDescent="0.25">
      <c r="A239" s="246"/>
      <c r="B239" s="352"/>
      <c r="C239" s="233"/>
      <c r="D239" s="233"/>
      <c r="E239" s="230"/>
      <c r="F239" s="230"/>
      <c r="G239" s="230"/>
      <c r="H239" s="231"/>
      <c r="I239" s="233"/>
      <c r="J239" s="236"/>
      <c r="K239" s="271"/>
      <c r="L239" s="224" t="s">
        <v>147</v>
      </c>
      <c r="M239" s="224" t="s">
        <v>41</v>
      </c>
    </row>
    <row r="240" spans="1:18" x14ac:dyDescent="0.25">
      <c r="A240" s="246"/>
      <c r="B240" s="352"/>
      <c r="C240" s="233"/>
      <c r="D240" s="233"/>
      <c r="E240" s="230"/>
      <c r="F240" s="230"/>
      <c r="G240" s="230"/>
      <c r="H240" s="231"/>
      <c r="I240" s="230"/>
      <c r="J240" s="236"/>
      <c r="K240" s="271"/>
      <c r="L240" s="224" t="s">
        <v>147</v>
      </c>
      <c r="M240" s="224" t="s">
        <v>41</v>
      </c>
    </row>
    <row r="241" spans="1:13" x14ac:dyDescent="0.25">
      <c r="A241" s="246"/>
      <c r="B241" s="352"/>
      <c r="C241" s="233"/>
      <c r="D241" s="233"/>
      <c r="E241" s="230"/>
      <c r="F241" s="230"/>
      <c r="G241" s="230"/>
      <c r="H241" s="231"/>
      <c r="I241" s="230"/>
      <c r="J241" s="236"/>
      <c r="K241" s="271"/>
      <c r="L241" s="224" t="s">
        <v>147</v>
      </c>
      <c r="M241" s="224" t="s">
        <v>41</v>
      </c>
    </row>
    <row r="242" spans="1:13" x14ac:dyDescent="0.25">
      <c r="A242" s="246"/>
      <c r="B242" s="352"/>
      <c r="C242" s="233"/>
      <c r="D242" s="233"/>
      <c r="E242" s="230"/>
      <c r="F242" s="230"/>
      <c r="G242" s="230"/>
      <c r="H242" s="231"/>
      <c r="I242" s="230"/>
      <c r="J242" s="236"/>
      <c r="K242" s="271"/>
      <c r="L242" s="224" t="s">
        <v>147</v>
      </c>
      <c r="M242" s="224" t="s">
        <v>41</v>
      </c>
    </row>
    <row r="243" spans="1:13" x14ac:dyDescent="0.25">
      <c r="A243" s="246"/>
      <c r="B243" s="352"/>
      <c r="C243" s="233"/>
      <c r="D243" s="233"/>
      <c r="E243" s="230"/>
      <c r="F243" s="230"/>
      <c r="G243" s="230"/>
      <c r="H243" s="231"/>
      <c r="I243" s="233"/>
      <c r="J243" s="236"/>
      <c r="K243" s="271"/>
      <c r="L243" s="224" t="s">
        <v>147</v>
      </c>
      <c r="M243" s="224" t="s">
        <v>41</v>
      </c>
    </row>
    <row r="244" spans="1:13" x14ac:dyDescent="0.25">
      <c r="A244" s="246"/>
      <c r="B244" s="352"/>
      <c r="C244" s="233"/>
      <c r="D244" s="233"/>
      <c r="E244" s="230"/>
      <c r="F244" s="230"/>
      <c r="G244" s="230"/>
      <c r="H244" s="231"/>
      <c r="I244" s="230"/>
      <c r="J244" s="236"/>
      <c r="K244" s="271"/>
      <c r="L244" s="224" t="s">
        <v>147</v>
      </c>
      <c r="M244" s="224" t="s">
        <v>41</v>
      </c>
    </row>
    <row r="245" spans="1:13" x14ac:dyDescent="0.25">
      <c r="A245" s="246"/>
      <c r="B245" s="352"/>
      <c r="C245" s="233"/>
      <c r="D245" s="233"/>
      <c r="E245" s="230"/>
      <c r="F245" s="230"/>
      <c r="G245" s="230"/>
      <c r="H245" s="231"/>
      <c r="I245" s="230"/>
      <c r="J245" s="236"/>
      <c r="K245" s="271"/>
      <c r="L245" s="224" t="s">
        <v>147</v>
      </c>
      <c r="M245" s="224" t="s">
        <v>41</v>
      </c>
    </row>
    <row r="246" spans="1:13" x14ac:dyDescent="0.25">
      <c r="A246" s="246"/>
      <c r="B246" s="352"/>
      <c r="C246" s="233"/>
      <c r="D246" s="233"/>
      <c r="E246" s="230"/>
      <c r="F246" s="230"/>
      <c r="G246" s="230"/>
      <c r="H246" s="231"/>
      <c r="I246" s="230"/>
      <c r="J246" s="236"/>
      <c r="K246" s="271"/>
      <c r="L246" s="224" t="s">
        <v>147</v>
      </c>
      <c r="M246" s="224" t="s">
        <v>41</v>
      </c>
    </row>
    <row r="247" spans="1:13" x14ac:dyDescent="0.25">
      <c r="A247" s="246"/>
      <c r="B247" s="352"/>
      <c r="C247" s="233"/>
      <c r="D247" s="233"/>
      <c r="E247" s="230"/>
      <c r="F247" s="230"/>
      <c r="G247" s="230"/>
      <c r="H247" s="231"/>
      <c r="I247" s="230"/>
      <c r="J247" s="236"/>
      <c r="K247" s="271"/>
      <c r="L247" s="224" t="s">
        <v>147</v>
      </c>
      <c r="M247" s="224" t="s">
        <v>41</v>
      </c>
    </row>
    <row r="248" spans="1:13" x14ac:dyDescent="0.25">
      <c r="A248" s="246"/>
      <c r="B248" s="352"/>
      <c r="C248" s="233"/>
      <c r="D248" s="233"/>
      <c r="E248" s="230"/>
      <c r="F248" s="230"/>
      <c r="G248" s="230"/>
      <c r="H248" s="231"/>
      <c r="I248" s="230"/>
      <c r="J248" s="236"/>
      <c r="K248" s="271"/>
      <c r="L248" s="224" t="s">
        <v>147</v>
      </c>
      <c r="M248" s="224" t="s">
        <v>41</v>
      </c>
    </row>
    <row r="249" spans="1:13" x14ac:dyDescent="0.25">
      <c r="A249" s="246"/>
      <c r="B249" s="352"/>
      <c r="C249" s="233"/>
      <c r="D249" s="233"/>
      <c r="E249" s="230"/>
      <c r="F249" s="230"/>
      <c r="G249" s="230"/>
      <c r="H249" s="231"/>
      <c r="I249" s="233"/>
      <c r="J249" s="236"/>
      <c r="K249" s="271"/>
      <c r="L249" s="224" t="s">
        <v>147</v>
      </c>
      <c r="M249" s="224" t="s">
        <v>41</v>
      </c>
    </row>
    <row r="250" spans="1:13" x14ac:dyDescent="0.25">
      <c r="A250" s="246"/>
      <c r="B250" s="352"/>
      <c r="C250" s="233"/>
      <c r="D250" s="233"/>
      <c r="E250" s="230"/>
      <c r="F250" s="230"/>
      <c r="G250" s="230"/>
      <c r="H250" s="231"/>
      <c r="I250" s="230"/>
      <c r="J250" s="236"/>
      <c r="K250" s="271"/>
      <c r="L250" s="224" t="s">
        <v>147</v>
      </c>
      <c r="M250" s="224" t="s">
        <v>41</v>
      </c>
    </row>
    <row r="251" spans="1:13" x14ac:dyDescent="0.25">
      <c r="A251" s="246"/>
      <c r="B251" s="352"/>
      <c r="C251" s="233"/>
      <c r="D251" s="233"/>
      <c r="E251" s="230"/>
      <c r="F251" s="230"/>
      <c r="G251" s="230"/>
      <c r="H251" s="231"/>
      <c r="I251" s="230"/>
      <c r="J251" s="236"/>
      <c r="K251" s="271"/>
      <c r="L251" s="224" t="s">
        <v>147</v>
      </c>
      <c r="M251" s="224" t="s">
        <v>41</v>
      </c>
    </row>
    <row r="252" spans="1:13" x14ac:dyDescent="0.25">
      <c r="A252" s="246"/>
      <c r="B252" s="352"/>
      <c r="C252" s="233"/>
      <c r="D252" s="233"/>
      <c r="E252" s="230"/>
      <c r="F252" s="230"/>
      <c r="G252" s="230"/>
      <c r="H252" s="231"/>
      <c r="I252" s="233"/>
      <c r="J252" s="236"/>
      <c r="K252" s="271"/>
      <c r="L252" s="224" t="s">
        <v>147</v>
      </c>
      <c r="M252" s="224" t="s">
        <v>41</v>
      </c>
    </row>
    <row r="253" spans="1:13" x14ac:dyDescent="0.25">
      <c r="A253" s="246"/>
      <c r="B253" s="352"/>
      <c r="C253" s="233"/>
      <c r="D253" s="233"/>
      <c r="E253" s="230"/>
      <c r="F253" s="230"/>
      <c r="G253" s="230"/>
      <c r="H253" s="231"/>
      <c r="I253" s="230"/>
      <c r="J253" s="236"/>
      <c r="K253" s="271"/>
      <c r="L253" s="224" t="s">
        <v>147</v>
      </c>
      <c r="M253" s="224" t="s">
        <v>41</v>
      </c>
    </row>
    <row r="254" spans="1:13" x14ac:dyDescent="0.25">
      <c r="A254" s="246"/>
      <c r="B254" s="352"/>
      <c r="C254" s="233"/>
      <c r="D254" s="233"/>
      <c r="E254" s="230"/>
      <c r="F254" s="230"/>
      <c r="G254" s="230"/>
      <c r="H254" s="231"/>
      <c r="I254" s="230"/>
      <c r="J254" s="236"/>
      <c r="K254" s="271"/>
      <c r="L254" s="224" t="s">
        <v>147</v>
      </c>
      <c r="M254" s="224" t="s">
        <v>41</v>
      </c>
    </row>
    <row r="255" spans="1:13" x14ac:dyDescent="0.25">
      <c r="A255" s="246"/>
      <c r="B255" s="352"/>
      <c r="C255" s="233"/>
      <c r="D255" s="233"/>
      <c r="E255" s="230"/>
      <c r="F255" s="230"/>
      <c r="G255" s="230"/>
      <c r="H255" s="231"/>
      <c r="I255" s="230"/>
      <c r="J255" s="236"/>
      <c r="K255" s="271"/>
      <c r="L255" s="224" t="s">
        <v>147</v>
      </c>
      <c r="M255" s="224" t="s">
        <v>41</v>
      </c>
    </row>
    <row r="256" spans="1:13" x14ac:dyDescent="0.25">
      <c r="A256" s="246"/>
      <c r="B256" s="352"/>
      <c r="C256" s="233"/>
      <c r="D256" s="233"/>
      <c r="E256" s="230"/>
      <c r="F256" s="230"/>
      <c r="G256" s="230"/>
      <c r="H256" s="231"/>
      <c r="I256" s="230"/>
      <c r="J256" s="236"/>
      <c r="K256" s="271"/>
      <c r="L256" s="224" t="s">
        <v>147</v>
      </c>
      <c r="M256" s="224" t="s">
        <v>41</v>
      </c>
    </row>
    <row r="257" spans="1:13" x14ac:dyDescent="0.25">
      <c r="A257" s="246"/>
      <c r="B257" s="352"/>
      <c r="C257" s="233"/>
      <c r="D257" s="233"/>
      <c r="E257" s="230"/>
      <c r="F257" s="230"/>
      <c r="G257" s="230"/>
      <c r="H257" s="231"/>
      <c r="I257" s="230"/>
      <c r="J257" s="236"/>
      <c r="K257" s="271"/>
      <c r="L257" s="224" t="s">
        <v>147</v>
      </c>
      <c r="M257" s="224" t="s">
        <v>41</v>
      </c>
    </row>
    <row r="258" spans="1:13" x14ac:dyDescent="0.25">
      <c r="A258" s="246"/>
      <c r="B258" s="352"/>
      <c r="C258" s="233"/>
      <c r="D258" s="233"/>
      <c r="E258" s="230"/>
      <c r="F258" s="230"/>
      <c r="G258" s="230"/>
      <c r="H258" s="231"/>
      <c r="I258" s="233"/>
      <c r="J258" s="236"/>
      <c r="K258" s="271"/>
      <c r="L258" s="224" t="s">
        <v>147</v>
      </c>
      <c r="M258" s="224" t="s">
        <v>41</v>
      </c>
    </row>
    <row r="259" spans="1:13" x14ac:dyDescent="0.25">
      <c r="A259" s="246"/>
      <c r="B259" s="352"/>
      <c r="C259" s="233"/>
      <c r="D259" s="233"/>
      <c r="E259" s="230"/>
      <c r="F259" s="230"/>
      <c r="G259" s="230"/>
      <c r="H259" s="231"/>
      <c r="I259" s="230"/>
      <c r="J259" s="236"/>
      <c r="K259" s="271"/>
      <c r="L259" s="224" t="s">
        <v>147</v>
      </c>
      <c r="M259" s="224" t="s">
        <v>41</v>
      </c>
    </row>
    <row r="260" spans="1:13" x14ac:dyDescent="0.25">
      <c r="A260" s="246"/>
      <c r="B260" s="352"/>
      <c r="C260" s="233"/>
      <c r="D260" s="233"/>
      <c r="E260" s="230"/>
      <c r="F260" s="230"/>
      <c r="G260" s="230"/>
      <c r="H260" s="231"/>
      <c r="I260" s="230"/>
      <c r="J260" s="236"/>
      <c r="K260" s="271"/>
      <c r="L260" s="224" t="s">
        <v>147</v>
      </c>
      <c r="M260" s="224" t="s">
        <v>41</v>
      </c>
    </row>
    <row r="261" spans="1:13" x14ac:dyDescent="0.25">
      <c r="A261" s="246"/>
      <c r="B261" s="352"/>
      <c r="C261" s="233"/>
      <c r="D261" s="233"/>
      <c r="E261" s="230"/>
      <c r="F261" s="230"/>
      <c r="G261" s="230"/>
      <c r="H261" s="231"/>
      <c r="I261" s="230"/>
      <c r="J261" s="236"/>
      <c r="K261" s="271"/>
      <c r="L261" s="224" t="s">
        <v>147</v>
      </c>
      <c r="M261" s="224" t="s">
        <v>41</v>
      </c>
    </row>
    <row r="262" spans="1:13" x14ac:dyDescent="0.25">
      <c r="A262" s="246"/>
      <c r="B262" s="352"/>
      <c r="C262" s="233"/>
      <c r="D262" s="233"/>
      <c r="E262" s="230"/>
      <c r="F262" s="230"/>
      <c r="G262" s="230"/>
      <c r="H262" s="231"/>
      <c r="I262" s="230"/>
      <c r="J262" s="236"/>
      <c r="K262" s="271"/>
      <c r="L262" s="224" t="s">
        <v>147</v>
      </c>
      <c r="M262" s="224" t="s">
        <v>41</v>
      </c>
    </row>
    <row r="263" spans="1:13" x14ac:dyDescent="0.25">
      <c r="A263" s="246"/>
      <c r="B263" s="352"/>
      <c r="C263" s="233"/>
      <c r="D263" s="233"/>
      <c r="E263" s="230"/>
      <c r="F263" s="230"/>
      <c r="G263" s="230"/>
      <c r="H263" s="231"/>
      <c r="I263" s="230"/>
      <c r="J263" s="236"/>
      <c r="K263" s="271"/>
      <c r="L263" s="224" t="s">
        <v>147</v>
      </c>
      <c r="M263" s="224" t="s">
        <v>41</v>
      </c>
    </row>
    <row r="264" spans="1:13" x14ac:dyDescent="0.25">
      <c r="A264" s="246"/>
      <c r="B264" s="352"/>
      <c r="C264" s="233"/>
      <c r="D264" s="233"/>
      <c r="E264" s="230"/>
      <c r="F264" s="230"/>
      <c r="G264" s="230"/>
      <c r="H264" s="231"/>
      <c r="I264" s="230"/>
      <c r="J264" s="236"/>
      <c r="K264" s="271"/>
      <c r="L264" s="224" t="s">
        <v>147</v>
      </c>
      <c r="M264" s="224" t="s">
        <v>41</v>
      </c>
    </row>
    <row r="265" spans="1:13" x14ac:dyDescent="0.25">
      <c r="A265" s="246"/>
      <c r="B265" s="352"/>
      <c r="C265" s="233"/>
      <c r="D265" s="233"/>
      <c r="E265" s="230"/>
      <c r="F265" s="230"/>
      <c r="G265" s="230"/>
      <c r="H265" s="231"/>
      <c r="I265" s="230"/>
      <c r="J265" s="236"/>
      <c r="K265" s="271"/>
      <c r="L265" s="224" t="s">
        <v>147</v>
      </c>
      <c r="M265" s="224" t="s">
        <v>41</v>
      </c>
    </row>
    <row r="266" spans="1:13" x14ac:dyDescent="0.25">
      <c r="A266" s="246"/>
      <c r="B266" s="352"/>
      <c r="C266" s="233"/>
      <c r="D266" s="233"/>
      <c r="E266" s="230"/>
      <c r="F266" s="230"/>
      <c r="G266" s="230"/>
      <c r="H266" s="231"/>
      <c r="I266" s="230"/>
      <c r="J266" s="236"/>
      <c r="K266" s="271"/>
      <c r="L266" s="224" t="s">
        <v>147</v>
      </c>
      <c r="M266" s="224" t="s">
        <v>41</v>
      </c>
    </row>
    <row r="267" spans="1:13" x14ac:dyDescent="0.25">
      <c r="A267" s="246"/>
      <c r="B267" s="352"/>
      <c r="C267" s="233"/>
      <c r="D267" s="233"/>
      <c r="E267" s="230"/>
      <c r="F267" s="230"/>
      <c r="G267" s="230"/>
      <c r="H267" s="231"/>
      <c r="I267" s="233"/>
      <c r="J267" s="236"/>
      <c r="K267" s="271"/>
      <c r="L267" s="224" t="s">
        <v>147</v>
      </c>
      <c r="M267" s="224" t="s">
        <v>41</v>
      </c>
    </row>
    <row r="268" spans="1:13" x14ac:dyDescent="0.25">
      <c r="A268" s="246"/>
      <c r="B268" s="352"/>
      <c r="C268" s="233"/>
      <c r="D268" s="233"/>
      <c r="E268" s="230"/>
      <c r="F268" s="230"/>
      <c r="G268" s="230"/>
      <c r="H268" s="231"/>
      <c r="I268" s="230"/>
      <c r="J268" s="236"/>
      <c r="K268" s="271"/>
      <c r="L268" s="224" t="s">
        <v>147</v>
      </c>
      <c r="M268" s="224" t="s">
        <v>41</v>
      </c>
    </row>
    <row r="269" spans="1:13" x14ac:dyDescent="0.25">
      <c r="A269" s="246"/>
      <c r="B269" s="352"/>
      <c r="C269" s="233"/>
      <c r="D269" s="233"/>
      <c r="E269" s="230"/>
      <c r="F269" s="230"/>
      <c r="G269" s="230"/>
      <c r="H269" s="231"/>
      <c r="I269" s="230"/>
      <c r="J269" s="236"/>
      <c r="K269" s="271"/>
      <c r="L269" s="224" t="s">
        <v>147</v>
      </c>
      <c r="M269" s="224" t="s">
        <v>41</v>
      </c>
    </row>
    <row r="270" spans="1:13" x14ac:dyDescent="0.25">
      <c r="A270" s="246"/>
      <c r="B270" s="352"/>
      <c r="C270" s="233"/>
      <c r="D270" s="233"/>
      <c r="E270" s="230"/>
      <c r="F270" s="230"/>
      <c r="G270" s="230"/>
      <c r="H270" s="231"/>
      <c r="I270" s="230"/>
      <c r="J270" s="236"/>
      <c r="K270" s="271"/>
      <c r="L270" s="224" t="s">
        <v>147</v>
      </c>
      <c r="M270" s="224" t="s">
        <v>41</v>
      </c>
    </row>
    <row r="271" spans="1:13" x14ac:dyDescent="0.25">
      <c r="A271" s="246"/>
      <c r="B271" s="352"/>
      <c r="C271" s="233"/>
      <c r="D271" s="233"/>
      <c r="E271" s="230"/>
      <c r="F271" s="230"/>
      <c r="G271" s="230"/>
      <c r="H271" s="231"/>
      <c r="I271" s="230"/>
      <c r="J271" s="236"/>
      <c r="K271" s="271"/>
      <c r="L271" s="224" t="s">
        <v>147</v>
      </c>
      <c r="M271" s="224" t="s">
        <v>41</v>
      </c>
    </row>
    <row r="272" spans="1:13" x14ac:dyDescent="0.25">
      <c r="A272" s="246"/>
      <c r="B272" s="352"/>
      <c r="C272" s="233"/>
      <c r="D272" s="233"/>
      <c r="E272" s="230"/>
      <c r="F272" s="230"/>
      <c r="G272" s="230"/>
      <c r="H272" s="231"/>
      <c r="I272" s="230"/>
      <c r="J272" s="236"/>
      <c r="K272" s="271"/>
      <c r="L272" s="224" t="s">
        <v>147</v>
      </c>
      <c r="M272" s="224" t="s">
        <v>41</v>
      </c>
    </row>
    <row r="273" spans="1:18" x14ac:dyDescent="0.25">
      <c r="A273" s="246"/>
      <c r="B273" s="352"/>
      <c r="C273" s="233"/>
      <c r="D273" s="233"/>
      <c r="E273" s="230"/>
      <c r="F273" s="230"/>
      <c r="G273" s="230"/>
      <c r="H273" s="231"/>
      <c r="I273" s="230"/>
      <c r="J273" s="236"/>
      <c r="K273" s="271"/>
      <c r="L273" s="224" t="s">
        <v>147</v>
      </c>
      <c r="M273" s="224" t="s">
        <v>41</v>
      </c>
    </row>
    <row r="274" spans="1:18" x14ac:dyDescent="0.25">
      <c r="A274" s="246"/>
      <c r="B274" s="352"/>
      <c r="C274" s="233"/>
      <c r="D274" s="233"/>
      <c r="E274" s="230"/>
      <c r="F274" s="230"/>
      <c r="G274" s="230"/>
      <c r="H274" s="231"/>
      <c r="I274" s="230"/>
      <c r="J274" s="236"/>
      <c r="K274" s="271"/>
      <c r="L274" s="224"/>
      <c r="M274" s="224"/>
    </row>
    <row r="275" spans="1:18" x14ac:dyDescent="0.25">
      <c r="A275" s="246"/>
      <c r="B275" s="352"/>
      <c r="C275" s="233"/>
      <c r="D275" s="233"/>
      <c r="E275" s="230"/>
      <c r="F275" s="230"/>
      <c r="G275" s="230"/>
      <c r="H275" s="231"/>
      <c r="I275" s="230"/>
      <c r="J275" s="236"/>
      <c r="K275" s="271"/>
      <c r="L275" s="224"/>
      <c r="M275" s="224"/>
    </row>
    <row r="276" spans="1:18" x14ac:dyDescent="0.25">
      <c r="A276" s="222"/>
      <c r="B276" s="353"/>
      <c r="C276" s="100"/>
      <c r="D276" s="100"/>
      <c r="E276" s="224"/>
      <c r="F276" s="224"/>
      <c r="G276" s="224"/>
      <c r="H276" s="225"/>
      <c r="I276" s="224"/>
      <c r="J276" s="234"/>
      <c r="K276" s="235"/>
      <c r="L276" s="224"/>
      <c r="M276" s="224"/>
      <c r="O276">
        <f>SUM(O12:O195)</f>
        <v>35828</v>
      </c>
    </row>
    <row r="277" spans="1:18" x14ac:dyDescent="0.25">
      <c r="A277" s="285"/>
      <c r="B277" s="350"/>
      <c r="C277" s="60"/>
      <c r="D277" s="60"/>
      <c r="E277" s="60"/>
      <c r="F277" s="60"/>
      <c r="G277" s="60"/>
      <c r="H277" s="60"/>
      <c r="I277" s="60"/>
      <c r="J277" s="61"/>
      <c r="K277" s="121"/>
      <c r="L277" s="60"/>
    </row>
    <row r="279" spans="1:18" x14ac:dyDescent="0.25">
      <c r="K279" s="123"/>
      <c r="L279" s="70"/>
    </row>
    <row r="280" spans="1:18" ht="16.5" customHeight="1" x14ac:dyDescent="0.25">
      <c r="C280" s="62" t="s">
        <v>20</v>
      </c>
      <c r="G280" s="62" t="s">
        <v>21</v>
      </c>
      <c r="K280" s="103" t="s">
        <v>109</v>
      </c>
      <c r="L280" s="127"/>
      <c r="R280" s="30"/>
    </row>
    <row r="281" spans="1:18" x14ac:dyDescent="0.25">
      <c r="K281" s="103" t="s">
        <v>110</v>
      </c>
      <c r="L281" s="127"/>
      <c r="M281" s="98"/>
    </row>
    <row r="282" spans="1:18" x14ac:dyDescent="0.25">
      <c r="K282" s="103" t="s">
        <v>138</v>
      </c>
      <c r="L282" s="128"/>
    </row>
    <row r="283" spans="1:18" x14ac:dyDescent="0.25">
      <c r="C283" s="124" t="s">
        <v>1577</v>
      </c>
      <c r="D283" s="124"/>
      <c r="G283" s="617" t="s">
        <v>157</v>
      </c>
      <c r="H283" s="617"/>
      <c r="I283" s="617"/>
      <c r="J283" s="617"/>
      <c r="K283" s="103" t="s">
        <v>1265</v>
      </c>
      <c r="L283" s="128"/>
    </row>
    <row r="284" spans="1:18" x14ac:dyDescent="0.25">
      <c r="C284" s="62" t="s">
        <v>967</v>
      </c>
      <c r="G284" s="618" t="s">
        <v>158</v>
      </c>
      <c r="H284" s="618"/>
      <c r="I284" s="618"/>
      <c r="J284" s="618"/>
      <c r="K284" s="103" t="s">
        <v>111</v>
      </c>
      <c r="L284" s="127"/>
    </row>
    <row r="285" spans="1:18" x14ac:dyDescent="0.25">
      <c r="K285" s="103" t="s">
        <v>112</v>
      </c>
      <c r="L285" s="128"/>
    </row>
    <row r="286" spans="1:18" s="62" customFormat="1" x14ac:dyDescent="0.25">
      <c r="A286" s="466"/>
      <c r="B286" s="466"/>
      <c r="K286" s="103" t="s">
        <v>114</v>
      </c>
      <c r="L286" s="288"/>
      <c r="N286"/>
      <c r="O286"/>
      <c r="P286"/>
    </row>
    <row r="287" spans="1:18" s="62" customFormat="1" x14ac:dyDescent="0.25">
      <c r="A287" s="466"/>
      <c r="B287" s="466"/>
      <c r="K287" s="103" t="s">
        <v>22</v>
      </c>
      <c r="L287" s="128"/>
      <c r="N287"/>
      <c r="O287"/>
      <c r="P287"/>
    </row>
    <row r="288" spans="1:18" s="62" customFormat="1" x14ac:dyDescent="0.25">
      <c r="A288" s="466"/>
      <c r="B288" s="466"/>
      <c r="C288" s="99"/>
      <c r="D288" s="99"/>
      <c r="G288" s="99"/>
      <c r="H288" s="99"/>
      <c r="I288" s="99"/>
      <c r="K288" s="125" t="s">
        <v>107</v>
      </c>
      <c r="L288" s="71"/>
      <c r="N288"/>
      <c r="O288"/>
      <c r="P288"/>
    </row>
    <row r="289" spans="1:16" s="62" customFormat="1" x14ac:dyDescent="0.25">
      <c r="A289" s="466"/>
      <c r="B289" s="466"/>
      <c r="K289" s="125" t="s">
        <v>108</v>
      </c>
      <c r="L289" s="70"/>
      <c r="N289"/>
      <c r="O289"/>
      <c r="P289"/>
    </row>
    <row r="290" spans="1:16" s="62" customFormat="1" x14ac:dyDescent="0.25">
      <c r="A290" s="466"/>
      <c r="B290" s="466"/>
      <c r="K290" s="103"/>
      <c r="L290" s="70"/>
      <c r="N290"/>
      <c r="O290"/>
      <c r="P290"/>
    </row>
    <row r="291" spans="1:16" s="62" customFormat="1" x14ac:dyDescent="0.25">
      <c r="A291" s="466"/>
      <c r="B291" s="466"/>
      <c r="K291" s="103"/>
      <c r="L291" s="71"/>
      <c r="N291"/>
      <c r="O291"/>
      <c r="P291"/>
    </row>
    <row r="292" spans="1:16" s="62" customFormat="1" x14ac:dyDescent="0.25">
      <c r="A292" s="466"/>
      <c r="B292" s="466"/>
      <c r="K292" s="103"/>
      <c r="L292" s="71"/>
      <c r="N292"/>
      <c r="O292"/>
      <c r="P292"/>
    </row>
    <row r="312" spans="14:14" x14ac:dyDescent="0.25">
      <c r="N312" s="30"/>
    </row>
    <row r="335" spans="14:14" x14ac:dyDescent="0.25">
      <c r="N335" s="30"/>
    </row>
    <row r="462" spans="14:14" x14ac:dyDescent="0.25">
      <c r="N462" s="30"/>
    </row>
  </sheetData>
  <mergeCells count="8">
    <mergeCell ref="G283:J283"/>
    <mergeCell ref="G284:J284"/>
    <mergeCell ref="A8:D8"/>
    <mergeCell ref="A1:M1"/>
    <mergeCell ref="A2:M2"/>
    <mergeCell ref="A6:C6"/>
    <mergeCell ref="H7:J7"/>
    <mergeCell ref="L7:M7"/>
  </mergeCells>
  <conditionalFormatting sqref="B159:D159">
    <cfRule type="containsBlanks" dxfId="3" priority="2">
      <formula>LEN(TRIM(B159))=0</formula>
    </cfRule>
  </conditionalFormatting>
  <conditionalFormatting sqref="C159">
    <cfRule type="duplicateValues" dxfId="2" priority="3"/>
  </conditionalFormatting>
  <conditionalFormatting sqref="D159">
    <cfRule type="duplicateValues" dxfId="1" priority="4"/>
  </conditionalFormatting>
  <conditionalFormatting sqref="F159:G159">
    <cfRule type="containsBlanks" dxfId="0" priority="1">
      <formula>LEN(TRIM(F159))=0</formula>
    </cfRule>
  </conditionalFormatting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250A4-3AAF-4C72-B092-B4CB9D147770}">
  <sheetPr>
    <tabColor theme="5"/>
  </sheetPr>
  <dimension ref="A1:O41"/>
  <sheetViews>
    <sheetView view="pageBreakPreview" topLeftCell="A7" zoomScale="96" zoomScaleNormal="100" zoomScaleSheetLayoutView="96" workbookViewId="0">
      <selection activeCell="B20" sqref="B20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2.855468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2801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/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/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452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452" t="s">
        <v>13</v>
      </c>
      <c r="L9" s="452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20.25" customHeight="1" x14ac:dyDescent="0.25">
      <c r="A12" s="294">
        <v>2</v>
      </c>
      <c r="B12" s="333" t="s">
        <v>2673</v>
      </c>
      <c r="C12" s="334"/>
      <c r="D12" s="333"/>
      <c r="E12" s="355" t="s">
        <v>46</v>
      </c>
      <c r="F12" s="336" t="s">
        <v>2831</v>
      </c>
      <c r="G12" s="351" t="s">
        <v>2832</v>
      </c>
      <c r="H12" s="333" t="s">
        <v>40</v>
      </c>
      <c r="I12" s="337">
        <v>7500</v>
      </c>
      <c r="J12" s="220" t="s">
        <v>152</v>
      </c>
      <c r="K12" s="100"/>
      <c r="L12" s="181" t="s">
        <v>41</v>
      </c>
    </row>
    <row r="13" spans="1:15" ht="22.5" customHeight="1" x14ac:dyDescent="0.25">
      <c r="A13" s="294">
        <v>2</v>
      </c>
      <c r="B13" s="333" t="s">
        <v>2833</v>
      </c>
      <c r="C13" s="334"/>
      <c r="D13" s="335"/>
      <c r="E13" s="355" t="s">
        <v>80</v>
      </c>
      <c r="F13" s="336" t="s">
        <v>1986</v>
      </c>
      <c r="G13" s="333" t="s">
        <v>1985</v>
      </c>
      <c r="H13" s="333" t="s">
        <v>40</v>
      </c>
      <c r="I13" s="337">
        <v>10500</v>
      </c>
      <c r="J13" s="220" t="s">
        <v>152</v>
      </c>
      <c r="K13" s="100"/>
      <c r="L13" s="181" t="s">
        <v>41</v>
      </c>
    </row>
    <row r="14" spans="1:15" s="62" customFormat="1" ht="48" customHeight="1" x14ac:dyDescent="0.25">
      <c r="A14" s="294">
        <v>2</v>
      </c>
      <c r="B14" s="355" t="s">
        <v>2834</v>
      </c>
      <c r="C14" s="334"/>
      <c r="D14" s="335"/>
      <c r="E14" s="333" t="s">
        <v>48</v>
      </c>
      <c r="F14" s="336" t="s">
        <v>2835</v>
      </c>
      <c r="G14" s="231" t="s">
        <v>2836</v>
      </c>
      <c r="H14" s="233" t="s">
        <v>40</v>
      </c>
      <c r="I14" s="457">
        <v>500</v>
      </c>
      <c r="J14" s="220" t="s">
        <v>152</v>
      </c>
      <c r="K14" s="100"/>
      <c r="L14" s="181" t="s">
        <v>41</v>
      </c>
      <c r="M14" s="166"/>
    </row>
    <row r="15" spans="1:15" s="62" customFormat="1" ht="16.5" customHeight="1" x14ac:dyDescent="0.25">
      <c r="A15" s="295">
        <v>5</v>
      </c>
      <c r="B15" s="345" t="s">
        <v>2845</v>
      </c>
      <c r="C15" s="446"/>
      <c r="D15" s="447" t="s">
        <v>1869</v>
      </c>
      <c r="E15" s="447" t="s">
        <v>42</v>
      </c>
      <c r="F15" s="448" t="s">
        <v>2846</v>
      </c>
      <c r="G15" s="447" t="s">
        <v>2847</v>
      </c>
      <c r="H15" s="342" t="s">
        <v>40</v>
      </c>
      <c r="I15" s="344">
        <v>5000</v>
      </c>
      <c r="J15" s="220" t="s">
        <v>152</v>
      </c>
      <c r="K15" s="100"/>
      <c r="L15" s="181" t="s">
        <v>41</v>
      </c>
      <c r="M15" s="166"/>
      <c r="O15" s="98"/>
    </row>
    <row r="16" spans="1:15" s="62" customFormat="1" ht="46.5" customHeight="1" x14ac:dyDescent="0.25">
      <c r="A16" s="295">
        <v>5</v>
      </c>
      <c r="B16" s="355" t="s">
        <v>2848</v>
      </c>
      <c r="C16" s="339"/>
      <c r="D16" s="340" t="s">
        <v>1869</v>
      </c>
      <c r="E16" s="340" t="s">
        <v>61</v>
      </c>
      <c r="F16" s="341" t="s">
        <v>2849</v>
      </c>
      <c r="G16" s="340" t="s">
        <v>2850</v>
      </c>
      <c r="H16" s="345" t="s">
        <v>40</v>
      </c>
      <c r="I16" s="344">
        <v>15000</v>
      </c>
      <c r="J16" s="220" t="s">
        <v>152</v>
      </c>
      <c r="K16" s="100"/>
      <c r="L16" s="181" t="s">
        <v>41</v>
      </c>
      <c r="O16" s="98"/>
    </row>
    <row r="17" spans="1:15" s="62" customFormat="1" ht="36" customHeight="1" x14ac:dyDescent="0.25">
      <c r="A17" s="295">
        <v>11</v>
      </c>
      <c r="B17" s="338" t="s">
        <v>2877</v>
      </c>
      <c r="C17" s="339"/>
      <c r="D17" s="340" t="s">
        <v>180</v>
      </c>
      <c r="E17" s="340" t="s">
        <v>60</v>
      </c>
      <c r="F17" s="341" t="s">
        <v>2878</v>
      </c>
      <c r="G17" s="340" t="s">
        <v>2879</v>
      </c>
      <c r="H17" s="345" t="s">
        <v>40</v>
      </c>
      <c r="I17" s="344">
        <v>600</v>
      </c>
      <c r="J17" s="220" t="s">
        <v>152</v>
      </c>
      <c r="K17" s="100"/>
      <c r="L17" s="181" t="s">
        <v>41</v>
      </c>
      <c r="O17" s="98"/>
    </row>
    <row r="18" spans="1:15" s="62" customFormat="1" ht="27.75" customHeight="1" x14ac:dyDescent="0.25">
      <c r="A18" s="275">
        <v>11</v>
      </c>
      <c r="B18" s="338" t="s">
        <v>2877</v>
      </c>
      <c r="C18" s="339"/>
      <c r="D18" s="340" t="s">
        <v>180</v>
      </c>
      <c r="E18" s="340" t="s">
        <v>60</v>
      </c>
      <c r="F18" s="341" t="s">
        <v>2878</v>
      </c>
      <c r="G18" s="340" t="s">
        <v>2879</v>
      </c>
      <c r="H18" s="345" t="s">
        <v>465</v>
      </c>
      <c r="I18" s="344">
        <v>200</v>
      </c>
      <c r="J18" s="220" t="s">
        <v>152</v>
      </c>
      <c r="K18" s="100"/>
      <c r="L18" s="181" t="s">
        <v>41</v>
      </c>
      <c r="O18" s="98"/>
    </row>
    <row r="19" spans="1:15" s="62" customFormat="1" ht="30.75" customHeight="1" x14ac:dyDescent="0.25">
      <c r="A19" s="295">
        <v>13</v>
      </c>
      <c r="B19" s="338" t="s">
        <v>2923</v>
      </c>
      <c r="C19" s="339"/>
      <c r="D19" s="340" t="s">
        <v>2924</v>
      </c>
      <c r="E19" s="338" t="s">
        <v>1475</v>
      </c>
      <c r="F19" s="341" t="s">
        <v>2925</v>
      </c>
      <c r="G19" s="449" t="s">
        <v>2926</v>
      </c>
      <c r="H19" s="345" t="s">
        <v>2927</v>
      </c>
      <c r="I19" s="344">
        <v>10000</v>
      </c>
      <c r="J19" s="220" t="s">
        <v>152</v>
      </c>
      <c r="K19" s="100"/>
      <c r="L19" s="181" t="s">
        <v>41</v>
      </c>
      <c r="O19" s="98"/>
    </row>
    <row r="20" spans="1:15" s="62" customFormat="1" ht="18" customHeight="1" x14ac:dyDescent="0.25">
      <c r="A20" s="295">
        <v>13</v>
      </c>
      <c r="B20" s="338" t="s">
        <v>2934</v>
      </c>
      <c r="C20" s="339"/>
      <c r="D20" s="340"/>
      <c r="E20" s="340" t="s">
        <v>62</v>
      </c>
      <c r="F20" s="341" t="s">
        <v>2935</v>
      </c>
      <c r="G20" s="340" t="s">
        <v>2936</v>
      </c>
      <c r="H20" s="345" t="s">
        <v>40</v>
      </c>
      <c r="I20" s="344">
        <v>10000</v>
      </c>
      <c r="J20" s="220" t="s">
        <v>152</v>
      </c>
      <c r="K20" s="100"/>
      <c r="L20" s="181" t="s">
        <v>41</v>
      </c>
      <c r="O20" s="98"/>
    </row>
    <row r="21" spans="1:15" s="62" customFormat="1" ht="18" customHeight="1" x14ac:dyDescent="0.25">
      <c r="A21" s="295">
        <v>16</v>
      </c>
      <c r="B21" s="338" t="s">
        <v>489</v>
      </c>
      <c r="C21" s="339"/>
      <c r="D21" s="340" t="s">
        <v>420</v>
      </c>
      <c r="E21" s="340" t="s">
        <v>69</v>
      </c>
      <c r="F21" s="341" t="s">
        <v>2388</v>
      </c>
      <c r="G21" s="340" t="s">
        <v>2389</v>
      </c>
      <c r="H21" s="345" t="s">
        <v>40</v>
      </c>
      <c r="I21" s="344">
        <v>11850</v>
      </c>
      <c r="J21" s="220" t="s">
        <v>152</v>
      </c>
      <c r="K21" s="100"/>
      <c r="L21" s="181" t="s">
        <v>41</v>
      </c>
      <c r="O21" s="98"/>
    </row>
    <row r="22" spans="1:15" s="62" customFormat="1" ht="18" customHeight="1" x14ac:dyDescent="0.25">
      <c r="A22" s="295">
        <v>16</v>
      </c>
      <c r="B22" s="338" t="s">
        <v>594</v>
      </c>
      <c r="C22" s="339"/>
      <c r="D22" s="340"/>
      <c r="E22" s="340" t="s">
        <v>795</v>
      </c>
      <c r="F22" s="341"/>
      <c r="G22" s="340" t="s">
        <v>3039</v>
      </c>
      <c r="H22" s="345" t="s">
        <v>465</v>
      </c>
      <c r="I22" s="344">
        <v>5000</v>
      </c>
      <c r="J22" s="220" t="s">
        <v>152</v>
      </c>
      <c r="K22" s="100"/>
      <c r="L22" s="181" t="s">
        <v>41</v>
      </c>
      <c r="O22" s="98"/>
    </row>
    <row r="23" spans="1:15" s="62" customFormat="1" ht="18" customHeight="1" x14ac:dyDescent="0.25">
      <c r="A23" s="275">
        <v>17</v>
      </c>
      <c r="B23" s="338" t="s">
        <v>1095</v>
      </c>
      <c r="C23" s="339"/>
      <c r="D23" s="340"/>
      <c r="E23" s="340" t="s">
        <v>60</v>
      </c>
      <c r="F23" s="341" t="s">
        <v>2986</v>
      </c>
      <c r="G23" s="340" t="s">
        <v>2987</v>
      </c>
      <c r="H23" s="345" t="s">
        <v>40</v>
      </c>
      <c r="I23" s="344">
        <v>24200</v>
      </c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95"/>
      <c r="B24" s="338"/>
      <c r="C24" s="339"/>
      <c r="D24" s="340"/>
      <c r="E24" s="340"/>
      <c r="F24" s="341"/>
      <c r="G24" s="340"/>
      <c r="H24" s="345"/>
      <c r="I24" s="344"/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455"/>
      <c r="B25" s="456"/>
      <c r="C25" s="233"/>
      <c r="D25" s="233"/>
      <c r="E25" s="233"/>
      <c r="F25" s="336"/>
      <c r="G25" s="342"/>
      <c r="H25" s="345"/>
      <c r="I25" s="344"/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455"/>
      <c r="B26" s="456"/>
      <c r="C26" s="233"/>
      <c r="D26" s="233"/>
      <c r="E26" s="233"/>
      <c r="F26" s="336"/>
      <c r="G26" s="342"/>
      <c r="H26" s="345"/>
      <c r="I26" s="344"/>
      <c r="J26" s="220" t="s">
        <v>152</v>
      </c>
      <c r="K26" s="100"/>
      <c r="L26" s="181" t="s">
        <v>41</v>
      </c>
      <c r="O26" s="98"/>
    </row>
    <row r="27" spans="1:15" s="62" customFormat="1" ht="16.5" customHeight="1" x14ac:dyDescent="0.25">
      <c r="A27" s="455"/>
      <c r="B27" s="456"/>
      <c r="C27" s="233"/>
      <c r="D27" s="233"/>
      <c r="E27" s="233"/>
      <c r="F27" s="336"/>
      <c r="G27" s="233"/>
      <c r="H27" s="345"/>
      <c r="I27" s="344"/>
      <c r="J27" s="220" t="s">
        <v>152</v>
      </c>
      <c r="K27" s="100"/>
      <c r="L27" s="181" t="s">
        <v>41</v>
      </c>
      <c r="O27" s="98"/>
    </row>
    <row r="28" spans="1:15" s="62" customFormat="1" x14ac:dyDescent="0.25">
      <c r="A28" s="240"/>
      <c r="B28" s="100"/>
      <c r="C28" s="216"/>
      <c r="D28" s="100"/>
      <c r="E28" s="100"/>
      <c r="F28" s="241"/>
      <c r="G28" s="100"/>
      <c r="H28" s="140"/>
      <c r="I28" s="221"/>
      <c r="J28" s="216"/>
      <c r="K28" s="100"/>
      <c r="L28" s="100"/>
      <c r="O28" s="98"/>
    </row>
    <row r="29" spans="1:15" x14ac:dyDescent="0.25">
      <c r="I29" s="28"/>
      <c r="J29" s="28"/>
    </row>
    <row r="30" spans="1:15" x14ac:dyDescent="0.25">
      <c r="F30" s="30"/>
      <c r="I30" s="63" t="s">
        <v>19</v>
      </c>
      <c r="J30" s="28"/>
      <c r="K30" s="326"/>
      <c r="L30" s="30"/>
    </row>
    <row r="31" spans="1:15" x14ac:dyDescent="0.25">
      <c r="I31" s="28" t="s">
        <v>109</v>
      </c>
      <c r="J31" s="28"/>
      <c r="K31" s="357" t="s">
        <v>2889</v>
      </c>
      <c r="L31" s="276">
        <f>SUM(I12:I17)</f>
        <v>39100</v>
      </c>
    </row>
    <row r="32" spans="1:15" x14ac:dyDescent="0.25">
      <c r="B32" t="s">
        <v>20</v>
      </c>
      <c r="E32" t="s">
        <v>21</v>
      </c>
      <c r="I32" s="28" t="s">
        <v>110</v>
      </c>
      <c r="J32" s="132"/>
      <c r="K32" s="357" t="s">
        <v>3040</v>
      </c>
      <c r="L32" s="427">
        <f>SUM(I20:I21,I23)</f>
        <v>46050</v>
      </c>
      <c r="M32" t="s">
        <v>40</v>
      </c>
    </row>
    <row r="33" spans="2:13" x14ac:dyDescent="0.25">
      <c r="I33" s="28" t="s">
        <v>149</v>
      </c>
      <c r="J33" s="132"/>
      <c r="L33" s="287">
        <v>5000</v>
      </c>
      <c r="M33" t="s">
        <v>465</v>
      </c>
    </row>
    <row r="34" spans="2:13" x14ac:dyDescent="0.25">
      <c r="I34" s="28" t="s">
        <v>601</v>
      </c>
      <c r="J34" s="132"/>
      <c r="K34" s="357"/>
      <c r="L34" s="427">
        <v>10000</v>
      </c>
      <c r="M34" t="s">
        <v>3041</v>
      </c>
    </row>
    <row r="35" spans="2:13" x14ac:dyDescent="0.25">
      <c r="I35" s="28" t="s">
        <v>111</v>
      </c>
      <c r="J35" s="132"/>
      <c r="K35" s="328"/>
      <c r="L35" s="287"/>
    </row>
    <row r="36" spans="2:13" x14ac:dyDescent="0.25">
      <c r="B36" s="29"/>
      <c r="E36" s="251"/>
      <c r="F36" s="251"/>
      <c r="G36" s="251"/>
      <c r="H36" s="251"/>
      <c r="I36" s="28" t="s">
        <v>113</v>
      </c>
      <c r="J36" s="132"/>
      <c r="L36" s="427"/>
    </row>
    <row r="37" spans="2:13" x14ac:dyDescent="0.25">
      <c r="B37" s="267" t="s">
        <v>1577</v>
      </c>
      <c r="C37" s="267"/>
      <c r="D37" s="267"/>
      <c r="E37" s="268" t="s">
        <v>157</v>
      </c>
      <c r="F37" s="252"/>
      <c r="G37" s="252"/>
      <c r="H37" s="252"/>
      <c r="I37" s="28" t="s">
        <v>114</v>
      </c>
      <c r="J37" s="130"/>
      <c r="K37" s="357"/>
      <c r="L37" s="69"/>
    </row>
    <row r="38" spans="2:13" x14ac:dyDescent="0.25">
      <c r="B38" t="s">
        <v>1576</v>
      </c>
      <c r="E38" t="s">
        <v>158</v>
      </c>
      <c r="I38" s="28" t="s">
        <v>22</v>
      </c>
      <c r="J38" s="131"/>
      <c r="K38" s="328"/>
      <c r="L38" s="69"/>
    </row>
    <row r="39" spans="2:13" x14ac:dyDescent="0.25">
      <c r="I39" s="3" t="s">
        <v>115</v>
      </c>
      <c r="J39" s="132"/>
      <c r="K39" s="357"/>
      <c r="L39" s="30"/>
    </row>
    <row r="40" spans="2:13" x14ac:dyDescent="0.25">
      <c r="I40" s="3" t="s">
        <v>87</v>
      </c>
      <c r="J40" s="132"/>
      <c r="L40" s="30"/>
    </row>
    <row r="41" spans="2:13" x14ac:dyDescent="0.25">
      <c r="G41" s="30">
        <f>SUM(I12:I27)</f>
        <v>100350</v>
      </c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F7F43-4479-459D-9E7B-02C7D428E6DF}">
  <sheetPr>
    <tabColor theme="5"/>
  </sheetPr>
  <dimension ref="A1:U461"/>
  <sheetViews>
    <sheetView view="pageBreakPreview" topLeftCell="A151" zoomScale="106" zoomScaleNormal="100" zoomScaleSheetLayoutView="106" workbookViewId="0">
      <selection activeCell="B142" sqref="B142:F142"/>
    </sheetView>
  </sheetViews>
  <sheetFormatPr defaultRowHeight="15" x14ac:dyDescent="0.25"/>
  <cols>
    <col min="1" max="1" width="4.7109375" style="453" customWidth="1"/>
    <col min="2" max="2" width="15" style="453" customWidth="1"/>
    <col min="3" max="3" width="18" style="62" customWidth="1"/>
    <col min="4" max="4" width="7.28515625" style="62" customWidth="1"/>
    <col min="5" max="5" width="17.7109375" style="62" customWidth="1"/>
    <col min="6" max="6" width="14.5703125" style="62" customWidth="1"/>
    <col min="7" max="7" width="14.28515625" style="62" customWidth="1"/>
    <col min="8" max="8" width="14" style="62" customWidth="1"/>
    <col min="9" max="9" width="16.42578125" style="62" customWidth="1"/>
    <col min="10" max="10" width="16.85546875" style="122" customWidth="1"/>
    <col min="11" max="11" width="9.5703125" style="62" customWidth="1"/>
    <col min="12" max="12" width="17.85546875" style="62" customWidth="1"/>
    <col min="16" max="16" width="4.5703125" customWidth="1"/>
    <col min="17" max="17" width="14.28515625" customWidth="1"/>
    <col min="18" max="18" width="12.42578125" customWidth="1"/>
  </cols>
  <sheetData>
    <row r="1" spans="1:21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</row>
    <row r="2" spans="1:21" ht="18" x14ac:dyDescent="0.25">
      <c r="A2" s="620" t="s">
        <v>2801</v>
      </c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21" x14ac:dyDescent="0.25">
      <c r="C3" s="102"/>
      <c r="D3" s="78"/>
      <c r="E3" s="102"/>
      <c r="F3" s="102"/>
      <c r="H3" s="78"/>
      <c r="I3" s="83"/>
      <c r="J3" s="103"/>
      <c r="K3" s="104" t="s">
        <v>1959</v>
      </c>
      <c r="L3" s="105"/>
      <c r="Q3" s="30"/>
      <c r="R3" s="30"/>
    </row>
    <row r="4" spans="1:21" x14ac:dyDescent="0.25">
      <c r="C4" s="102"/>
      <c r="D4" s="78"/>
      <c r="E4" s="102"/>
      <c r="F4" s="102"/>
      <c r="H4" s="78"/>
      <c r="I4" s="83"/>
      <c r="J4" s="106"/>
      <c r="K4" s="95" t="s">
        <v>89</v>
      </c>
      <c r="L4" s="126">
        <v>105</v>
      </c>
    </row>
    <row r="5" spans="1:21" x14ac:dyDescent="0.25">
      <c r="C5" s="102"/>
      <c r="D5" s="78"/>
      <c r="E5" s="102"/>
      <c r="F5" s="107"/>
      <c r="H5" s="78"/>
      <c r="I5" s="83"/>
      <c r="J5" s="106"/>
      <c r="K5" s="95" t="s">
        <v>91</v>
      </c>
      <c r="L5" s="126">
        <v>26</v>
      </c>
      <c r="Q5" s="30"/>
      <c r="R5" s="30"/>
    </row>
    <row r="6" spans="1:21" x14ac:dyDescent="0.25">
      <c r="A6" s="622" t="s">
        <v>117</v>
      </c>
      <c r="B6" s="622"/>
      <c r="C6" s="622"/>
      <c r="D6" s="79"/>
      <c r="E6" s="107"/>
      <c r="F6" s="108"/>
      <c r="G6" s="60"/>
      <c r="H6" s="79"/>
      <c r="I6" s="84"/>
      <c r="J6" s="103"/>
      <c r="K6" s="101" t="s">
        <v>1560</v>
      </c>
      <c r="L6" s="109"/>
      <c r="R6" s="30"/>
    </row>
    <row r="7" spans="1:21" x14ac:dyDescent="0.25">
      <c r="A7" s="110"/>
      <c r="B7" s="347"/>
      <c r="C7" s="111"/>
      <c r="D7" s="80"/>
      <c r="E7" s="169"/>
      <c r="F7" s="169"/>
      <c r="G7" s="613" t="s">
        <v>1</v>
      </c>
      <c r="H7" s="623"/>
      <c r="I7" s="614"/>
      <c r="J7" s="112"/>
      <c r="K7" s="624" t="s">
        <v>2</v>
      </c>
      <c r="L7" s="625"/>
      <c r="Q7" s="30"/>
      <c r="R7" s="30"/>
    </row>
    <row r="8" spans="1:21" x14ac:dyDescent="0.25">
      <c r="A8" s="629" t="s">
        <v>3</v>
      </c>
      <c r="B8" s="629"/>
      <c r="C8" s="630"/>
      <c r="D8" s="18" t="s">
        <v>4</v>
      </c>
      <c r="E8" s="454" t="s">
        <v>5</v>
      </c>
      <c r="F8" s="73" t="s">
        <v>6</v>
      </c>
      <c r="G8" s="11" t="s">
        <v>7</v>
      </c>
      <c r="H8" s="81"/>
      <c r="I8" s="12" t="s">
        <v>8</v>
      </c>
      <c r="J8" s="74" t="s">
        <v>9</v>
      </c>
      <c r="K8" s="96"/>
      <c r="L8" s="113"/>
      <c r="Q8" s="214"/>
      <c r="R8" s="30"/>
    </row>
    <row r="9" spans="1:21" x14ac:dyDescent="0.25">
      <c r="A9" s="114"/>
      <c r="B9" s="348"/>
      <c r="C9" s="115"/>
      <c r="D9" s="81"/>
      <c r="E9" s="116"/>
      <c r="F9" s="115"/>
      <c r="G9" s="17" t="s">
        <v>10</v>
      </c>
      <c r="H9" s="18" t="s">
        <v>11</v>
      </c>
      <c r="I9" s="12" t="s">
        <v>12</v>
      </c>
      <c r="J9" s="117"/>
      <c r="K9" s="454" t="s">
        <v>13</v>
      </c>
      <c r="L9" s="454" t="s">
        <v>14</v>
      </c>
      <c r="Q9" s="214"/>
    </row>
    <row r="10" spans="1:21" x14ac:dyDescent="0.25">
      <c r="A10" s="118"/>
      <c r="B10" s="349"/>
      <c r="C10" s="119"/>
      <c r="D10" s="82"/>
      <c r="E10" s="170"/>
      <c r="F10" s="170"/>
      <c r="G10" s="22"/>
      <c r="H10" s="85"/>
      <c r="I10" s="86" t="s">
        <v>15</v>
      </c>
      <c r="J10" s="120"/>
      <c r="K10" s="22"/>
      <c r="L10" s="51" t="s">
        <v>16</v>
      </c>
      <c r="Q10" s="214"/>
    </row>
    <row r="11" spans="1:21" x14ac:dyDescent="0.25">
      <c r="A11" s="142" t="s">
        <v>17</v>
      </c>
      <c r="B11" s="142"/>
      <c r="C11" s="59"/>
      <c r="D11" s="59"/>
      <c r="E11" s="59"/>
      <c r="F11" s="59"/>
      <c r="G11" s="59"/>
      <c r="H11" s="59"/>
      <c r="I11" s="59"/>
      <c r="J11" s="75"/>
      <c r="K11" s="59"/>
      <c r="L11" s="59"/>
      <c r="Q11" s="272" t="s">
        <v>2911</v>
      </c>
      <c r="S11" t="s">
        <v>1652</v>
      </c>
      <c r="T11" t="s">
        <v>163</v>
      </c>
      <c r="U11" t="s">
        <v>309</v>
      </c>
    </row>
    <row r="12" spans="1:21" x14ac:dyDescent="0.25">
      <c r="A12" s="228">
        <v>2</v>
      </c>
      <c r="B12" s="351" t="s">
        <v>1898</v>
      </c>
      <c r="C12" s="230" t="s">
        <v>2327</v>
      </c>
      <c r="D12" s="230" t="s">
        <v>160</v>
      </c>
      <c r="E12" s="230" t="s">
        <v>2802</v>
      </c>
      <c r="F12" s="230" t="s">
        <v>47</v>
      </c>
      <c r="G12" s="231"/>
      <c r="H12" s="233" t="s">
        <v>40</v>
      </c>
      <c r="I12" s="232">
        <v>500</v>
      </c>
      <c r="J12" s="229">
        <v>100</v>
      </c>
      <c r="K12" s="224" t="s">
        <v>147</v>
      </c>
      <c r="L12" s="224" t="s">
        <v>41</v>
      </c>
      <c r="N12">
        <f>I12/5</f>
        <v>100</v>
      </c>
      <c r="P12" s="30"/>
      <c r="Q12" s="320" t="s">
        <v>138</v>
      </c>
      <c r="R12" s="27">
        <f>SUM(I12:I13,I15:I16,I18:I19,I21,I23,I28,I30,I33,I43,I45:I47,I49:I57,I59:I60,I63:I71)</f>
        <v>78450</v>
      </c>
      <c r="S12" s="320">
        <v>30</v>
      </c>
      <c r="T12">
        <v>5</v>
      </c>
      <c r="U12" t="s">
        <v>3042</v>
      </c>
    </row>
    <row r="13" spans="1:21" x14ac:dyDescent="0.25">
      <c r="A13" s="228">
        <v>2</v>
      </c>
      <c r="B13" s="351" t="s">
        <v>2803</v>
      </c>
      <c r="C13" s="230" t="s">
        <v>2804</v>
      </c>
      <c r="D13" s="230" t="s">
        <v>160</v>
      </c>
      <c r="E13" s="230" t="s">
        <v>671</v>
      </c>
      <c r="F13" s="230" t="s">
        <v>58</v>
      </c>
      <c r="G13" s="231" t="s">
        <v>672</v>
      </c>
      <c r="H13" s="233" t="s">
        <v>40</v>
      </c>
      <c r="I13" s="232">
        <v>2000</v>
      </c>
      <c r="J13" s="229">
        <v>400</v>
      </c>
      <c r="K13" s="224" t="s">
        <v>147</v>
      </c>
      <c r="L13" s="224" t="s">
        <v>41</v>
      </c>
      <c r="N13">
        <f t="shared" ref="N13:N202" si="0">I13/5</f>
        <v>400</v>
      </c>
      <c r="P13" s="30"/>
      <c r="Q13" s="321" t="s">
        <v>465</v>
      </c>
      <c r="R13" s="27">
        <f>SUM(I29,I32,I34:I35,I72)</f>
        <v>2600</v>
      </c>
      <c r="S13" s="320">
        <v>4</v>
      </c>
      <c r="T13">
        <v>1</v>
      </c>
      <c r="U13" t="s">
        <v>603</v>
      </c>
    </row>
    <row r="14" spans="1:21" x14ac:dyDescent="0.25">
      <c r="A14" s="228">
        <v>2</v>
      </c>
      <c r="B14" s="351" t="s">
        <v>2465</v>
      </c>
      <c r="C14" s="230" t="s">
        <v>2805</v>
      </c>
      <c r="D14" s="230" t="s">
        <v>160</v>
      </c>
      <c r="E14" s="230" t="s">
        <v>1770</v>
      </c>
      <c r="F14" s="230" t="s">
        <v>42</v>
      </c>
      <c r="G14" s="231" t="s">
        <v>2806</v>
      </c>
      <c r="H14" s="354" t="s">
        <v>1420</v>
      </c>
      <c r="I14" s="232">
        <v>200</v>
      </c>
      <c r="J14" s="229">
        <v>100</v>
      </c>
      <c r="K14" s="224" t="s">
        <v>147</v>
      </c>
      <c r="L14" s="224" t="s">
        <v>41</v>
      </c>
      <c r="N14">
        <f t="shared" si="0"/>
        <v>40</v>
      </c>
      <c r="P14" s="30"/>
      <c r="Q14" s="293" t="s">
        <v>1651</v>
      </c>
      <c r="R14" s="322">
        <f>SUM(I14,I17,I22,I24:I27,I31,I37:I40,I42,I44,I48,I61:I62)</f>
        <v>19800</v>
      </c>
      <c r="S14" s="320">
        <v>15</v>
      </c>
      <c r="T14">
        <v>2</v>
      </c>
    </row>
    <row r="15" spans="1:21" x14ac:dyDescent="0.25">
      <c r="A15" s="228">
        <v>2</v>
      </c>
      <c r="B15" s="351" t="s">
        <v>2465</v>
      </c>
      <c r="C15" s="230" t="s">
        <v>2805</v>
      </c>
      <c r="D15" s="230" t="s">
        <v>160</v>
      </c>
      <c r="E15" s="230" t="s">
        <v>1770</v>
      </c>
      <c r="F15" s="230" t="s">
        <v>42</v>
      </c>
      <c r="G15" s="231" t="s">
        <v>2806</v>
      </c>
      <c r="H15" s="233" t="s">
        <v>40</v>
      </c>
      <c r="I15" s="232">
        <v>1400</v>
      </c>
      <c r="J15" s="229" t="s">
        <v>152</v>
      </c>
      <c r="K15" s="224" t="s">
        <v>147</v>
      </c>
      <c r="L15" s="224" t="s">
        <v>41</v>
      </c>
      <c r="N15">
        <f t="shared" si="0"/>
        <v>280</v>
      </c>
      <c r="Q15" s="293" t="s">
        <v>1911</v>
      </c>
      <c r="R15" s="322">
        <f>SUM(I20,I36,I41,I58)</f>
        <v>99</v>
      </c>
      <c r="S15" s="60">
        <v>3</v>
      </c>
      <c r="T15">
        <v>1</v>
      </c>
    </row>
    <row r="16" spans="1:21" x14ac:dyDescent="0.25">
      <c r="A16" s="228">
        <v>2</v>
      </c>
      <c r="B16" s="351" t="s">
        <v>2807</v>
      </c>
      <c r="C16" s="230" t="s">
        <v>2136</v>
      </c>
      <c r="D16" s="230" t="s">
        <v>160</v>
      </c>
      <c r="E16" s="230" t="s">
        <v>180</v>
      </c>
      <c r="F16" s="230" t="s">
        <v>57</v>
      </c>
      <c r="G16" s="231" t="s">
        <v>2808</v>
      </c>
      <c r="H16" s="233" t="s">
        <v>40</v>
      </c>
      <c r="I16" s="232">
        <v>500</v>
      </c>
      <c r="J16" s="229">
        <v>100</v>
      </c>
      <c r="K16" s="224" t="s">
        <v>147</v>
      </c>
      <c r="L16" s="224" t="s">
        <v>41</v>
      </c>
      <c r="N16">
        <f t="shared" si="0"/>
        <v>100</v>
      </c>
      <c r="Q16" s="272" t="s">
        <v>3037</v>
      </c>
      <c r="R16" s="322"/>
      <c r="S16" s="60"/>
    </row>
    <row r="17" spans="1:21" x14ac:dyDescent="0.25">
      <c r="A17" s="228">
        <v>2</v>
      </c>
      <c r="B17" s="351" t="s">
        <v>2809</v>
      </c>
      <c r="C17" s="230" t="s">
        <v>2810</v>
      </c>
      <c r="D17" s="230" t="s">
        <v>160</v>
      </c>
      <c r="E17" s="230" t="s">
        <v>578</v>
      </c>
      <c r="F17" s="230" t="s">
        <v>42</v>
      </c>
      <c r="G17" s="231" t="s">
        <v>2811</v>
      </c>
      <c r="H17" s="354" t="s">
        <v>1420</v>
      </c>
      <c r="I17" s="232">
        <v>1000</v>
      </c>
      <c r="J17" s="229">
        <v>500</v>
      </c>
      <c r="K17" s="224" t="s">
        <v>147</v>
      </c>
      <c r="L17" s="224" t="s">
        <v>41</v>
      </c>
      <c r="N17">
        <f t="shared" si="0"/>
        <v>200</v>
      </c>
      <c r="P17" s="69"/>
      <c r="Q17" s="320" t="s">
        <v>138</v>
      </c>
      <c r="R17" s="322">
        <f>SUM(I73:I74,I77:I82,I84:I88,I90:I91,I93:I95,I97:I99,I101:I107,I109:I120,I122,I124,I126:I132)</f>
        <v>127900</v>
      </c>
      <c r="S17" s="60">
        <v>39</v>
      </c>
      <c r="T17">
        <v>9</v>
      </c>
      <c r="U17" t="s">
        <v>3043</v>
      </c>
    </row>
    <row r="18" spans="1:21" x14ac:dyDescent="0.25">
      <c r="A18" s="228">
        <v>2</v>
      </c>
      <c r="B18" s="351" t="s">
        <v>1284</v>
      </c>
      <c r="C18" s="230" t="s">
        <v>2812</v>
      </c>
      <c r="D18" s="230" t="s">
        <v>160</v>
      </c>
      <c r="E18" s="230" t="s">
        <v>255</v>
      </c>
      <c r="F18" s="230" t="s">
        <v>57</v>
      </c>
      <c r="G18" s="231"/>
      <c r="H18" s="233" t="s">
        <v>40</v>
      </c>
      <c r="I18" s="232">
        <v>500</v>
      </c>
      <c r="J18" s="229">
        <v>100</v>
      </c>
      <c r="K18" s="224" t="s">
        <v>147</v>
      </c>
      <c r="L18" s="224" t="s">
        <v>41</v>
      </c>
      <c r="N18">
        <f t="shared" si="0"/>
        <v>100</v>
      </c>
      <c r="Q18" s="321" t="s">
        <v>465</v>
      </c>
      <c r="R18" s="27">
        <f>SUM(I92,I96,I100)</f>
        <v>1250</v>
      </c>
      <c r="S18" s="60">
        <v>2</v>
      </c>
      <c r="T18">
        <v>1</v>
      </c>
      <c r="U18" t="s">
        <v>603</v>
      </c>
    </row>
    <row r="19" spans="1:21" x14ac:dyDescent="0.25">
      <c r="A19" s="228">
        <v>2</v>
      </c>
      <c r="B19" s="351" t="s">
        <v>2198</v>
      </c>
      <c r="C19" s="230" t="s">
        <v>2813</v>
      </c>
      <c r="D19" s="230" t="s">
        <v>160</v>
      </c>
      <c r="E19" s="230"/>
      <c r="F19" s="230" t="s">
        <v>56</v>
      </c>
      <c r="G19" s="231"/>
      <c r="H19" s="233" t="s">
        <v>40</v>
      </c>
      <c r="I19" s="232">
        <v>2500</v>
      </c>
      <c r="J19" s="229">
        <v>500</v>
      </c>
      <c r="K19" s="224" t="s">
        <v>147</v>
      </c>
      <c r="L19" s="224" t="s">
        <v>41</v>
      </c>
      <c r="N19">
        <f t="shared" si="0"/>
        <v>500</v>
      </c>
      <c r="P19" s="30"/>
      <c r="Q19" s="293" t="s">
        <v>1651</v>
      </c>
      <c r="R19" s="322">
        <f>SUM(I75,I108)</f>
        <v>500</v>
      </c>
      <c r="S19" s="60">
        <v>1</v>
      </c>
      <c r="T19">
        <v>1</v>
      </c>
    </row>
    <row r="20" spans="1:21" s="62" customFormat="1" x14ac:dyDescent="0.25">
      <c r="A20" s="228">
        <v>2</v>
      </c>
      <c r="B20" s="351" t="s">
        <v>2814</v>
      </c>
      <c r="C20" s="230" t="s">
        <v>1495</v>
      </c>
      <c r="D20" s="230" t="s">
        <v>160</v>
      </c>
      <c r="E20" s="230" t="s">
        <v>1157</v>
      </c>
      <c r="F20" s="230" t="s">
        <v>43</v>
      </c>
      <c r="G20" s="231" t="s">
        <v>2815</v>
      </c>
      <c r="H20" s="450" t="s">
        <v>1911</v>
      </c>
      <c r="I20" s="232">
        <v>23</v>
      </c>
      <c r="J20" s="229">
        <v>115</v>
      </c>
      <c r="K20" s="224" t="s">
        <v>147</v>
      </c>
      <c r="L20" s="224" t="s">
        <v>41</v>
      </c>
      <c r="N20" s="62">
        <f t="shared" si="0"/>
        <v>4.5999999999999996</v>
      </c>
      <c r="Q20" s="293" t="s">
        <v>1911</v>
      </c>
      <c r="R20" s="98">
        <f>SUM(I76,I83,I89,I121,I123,I125)</f>
        <v>186</v>
      </c>
      <c r="S20" s="60">
        <v>4</v>
      </c>
      <c r="T20" s="62">
        <v>2</v>
      </c>
    </row>
    <row r="21" spans="1:21" x14ac:dyDescent="0.25">
      <c r="A21" s="228">
        <v>2</v>
      </c>
      <c r="B21" s="351" t="s">
        <v>2816</v>
      </c>
      <c r="C21" s="230" t="s">
        <v>2345</v>
      </c>
      <c r="D21" s="230" t="s">
        <v>160</v>
      </c>
      <c r="E21" s="230" t="s">
        <v>1675</v>
      </c>
      <c r="F21" s="230" t="s">
        <v>48</v>
      </c>
      <c r="G21" s="231"/>
      <c r="H21" s="233" t="s">
        <v>40</v>
      </c>
      <c r="I21" s="232">
        <v>500</v>
      </c>
      <c r="J21" s="229">
        <v>100</v>
      </c>
      <c r="K21" s="224" t="s">
        <v>147</v>
      </c>
      <c r="L21" s="224" t="s">
        <v>41</v>
      </c>
      <c r="N21">
        <f t="shared" si="0"/>
        <v>100</v>
      </c>
      <c r="Q21" s="272" t="s">
        <v>3083</v>
      </c>
      <c r="R21" s="30"/>
      <c r="S21" s="60"/>
    </row>
    <row r="22" spans="1:21" x14ac:dyDescent="0.25">
      <c r="A22" s="228">
        <v>2</v>
      </c>
      <c r="B22" s="351" t="s">
        <v>2817</v>
      </c>
      <c r="C22" s="230" t="s">
        <v>1796</v>
      </c>
      <c r="D22" s="230" t="s">
        <v>160</v>
      </c>
      <c r="E22" s="230" t="s">
        <v>470</v>
      </c>
      <c r="F22" s="230" t="s">
        <v>45</v>
      </c>
      <c r="G22" s="231"/>
      <c r="H22" s="354" t="s">
        <v>1420</v>
      </c>
      <c r="I22" s="232">
        <v>10000</v>
      </c>
      <c r="J22" s="229">
        <v>5000</v>
      </c>
      <c r="K22" s="224" t="s">
        <v>147</v>
      </c>
      <c r="L22" s="224" t="s">
        <v>41</v>
      </c>
      <c r="N22">
        <f t="shared" si="0"/>
        <v>2000</v>
      </c>
      <c r="Q22" s="320" t="s">
        <v>138</v>
      </c>
      <c r="R22" s="30">
        <f>SUM(I133:I137,I139,I142:I144,I146:I148,I150:I153,I155:I163)</f>
        <v>67450</v>
      </c>
      <c r="S22" s="60">
        <v>14</v>
      </c>
      <c r="T22">
        <v>8</v>
      </c>
    </row>
    <row r="23" spans="1:21" x14ac:dyDescent="0.25">
      <c r="A23" s="228">
        <v>2</v>
      </c>
      <c r="B23" s="351" t="s">
        <v>1653</v>
      </c>
      <c r="C23" s="230" t="s">
        <v>1609</v>
      </c>
      <c r="D23" s="230" t="s">
        <v>160</v>
      </c>
      <c r="E23" s="230" t="s">
        <v>2818</v>
      </c>
      <c r="F23" s="230" t="s">
        <v>47</v>
      </c>
      <c r="G23" s="231" t="s">
        <v>2819</v>
      </c>
      <c r="H23" s="233" t="s">
        <v>40</v>
      </c>
      <c r="I23" s="232">
        <v>600</v>
      </c>
      <c r="J23" s="229">
        <v>120</v>
      </c>
      <c r="K23" s="224" t="s">
        <v>147</v>
      </c>
      <c r="L23" s="224" t="s">
        <v>41</v>
      </c>
      <c r="N23">
        <f t="shared" si="0"/>
        <v>120</v>
      </c>
      <c r="Q23" s="321" t="s">
        <v>465</v>
      </c>
      <c r="R23" s="69">
        <v>50</v>
      </c>
      <c r="S23" s="60"/>
      <c r="T23">
        <v>1</v>
      </c>
    </row>
    <row r="24" spans="1:21" x14ac:dyDescent="0.25">
      <c r="A24" s="228">
        <v>2</v>
      </c>
      <c r="B24" s="351" t="s">
        <v>2295</v>
      </c>
      <c r="C24" s="230" t="s">
        <v>1947</v>
      </c>
      <c r="D24" s="230" t="s">
        <v>160</v>
      </c>
      <c r="E24" s="230"/>
      <c r="F24" s="230" t="s">
        <v>42</v>
      </c>
      <c r="G24" s="231"/>
      <c r="H24" s="354" t="s">
        <v>1420</v>
      </c>
      <c r="I24" s="232">
        <v>1000</v>
      </c>
      <c r="J24" s="229">
        <v>500</v>
      </c>
      <c r="K24" s="224" t="s">
        <v>147</v>
      </c>
      <c r="L24" s="224" t="s">
        <v>41</v>
      </c>
      <c r="N24">
        <f t="shared" si="0"/>
        <v>200</v>
      </c>
      <c r="Q24" s="293" t="s">
        <v>1651</v>
      </c>
      <c r="R24" s="69">
        <f>SUM(I138,I145,I154)</f>
        <v>1600</v>
      </c>
      <c r="S24" s="60">
        <v>3</v>
      </c>
    </row>
    <row r="25" spans="1:21" x14ac:dyDescent="0.25">
      <c r="A25" s="228">
        <v>2</v>
      </c>
      <c r="B25" s="351" t="s">
        <v>2820</v>
      </c>
      <c r="C25" s="230" t="s">
        <v>2821</v>
      </c>
      <c r="D25" s="283" t="s">
        <v>163</v>
      </c>
      <c r="E25" s="230" t="s">
        <v>947</v>
      </c>
      <c r="F25" s="230" t="s">
        <v>60</v>
      </c>
      <c r="G25" s="231" t="s">
        <v>2822</v>
      </c>
      <c r="H25" s="354" t="s">
        <v>1420</v>
      </c>
      <c r="I25" s="232">
        <v>700</v>
      </c>
      <c r="J25" s="229">
        <v>350</v>
      </c>
      <c r="K25" s="224" t="s">
        <v>147</v>
      </c>
      <c r="L25" s="224" t="s">
        <v>41</v>
      </c>
      <c r="N25">
        <f t="shared" si="0"/>
        <v>140</v>
      </c>
      <c r="Q25" s="293" t="s">
        <v>1911</v>
      </c>
      <c r="R25" s="69">
        <v>80</v>
      </c>
      <c r="S25" s="60">
        <v>1</v>
      </c>
      <c r="T25">
        <v>1</v>
      </c>
    </row>
    <row r="26" spans="1:21" x14ac:dyDescent="0.25">
      <c r="A26" s="228">
        <v>2</v>
      </c>
      <c r="B26" s="351" t="s">
        <v>2344</v>
      </c>
      <c r="C26" s="230" t="s">
        <v>2150</v>
      </c>
      <c r="D26" s="230" t="s">
        <v>160</v>
      </c>
      <c r="E26" s="230" t="s">
        <v>2169</v>
      </c>
      <c r="F26" s="230" t="s">
        <v>43</v>
      </c>
      <c r="G26" s="231"/>
      <c r="H26" s="354" t="s">
        <v>1420</v>
      </c>
      <c r="I26" s="232">
        <v>1500</v>
      </c>
      <c r="J26" s="229">
        <v>750</v>
      </c>
      <c r="K26" s="224" t="s">
        <v>147</v>
      </c>
      <c r="L26" s="224" t="s">
        <v>41</v>
      </c>
      <c r="N26">
        <f t="shared" si="0"/>
        <v>300</v>
      </c>
      <c r="Q26" s="30"/>
      <c r="R26" s="30"/>
      <c r="S26" s="60"/>
    </row>
    <row r="27" spans="1:21" x14ac:dyDescent="0.25">
      <c r="A27" s="228">
        <v>2</v>
      </c>
      <c r="B27" s="351" t="s">
        <v>2823</v>
      </c>
      <c r="C27" s="230" t="s">
        <v>2824</v>
      </c>
      <c r="D27" s="230" t="s">
        <v>160</v>
      </c>
      <c r="E27" s="230"/>
      <c r="F27" s="230" t="s">
        <v>42</v>
      </c>
      <c r="G27" s="231" t="s">
        <v>2825</v>
      </c>
      <c r="H27" s="354" t="s">
        <v>1420</v>
      </c>
      <c r="I27" s="232">
        <v>200</v>
      </c>
      <c r="J27" s="229">
        <v>100</v>
      </c>
      <c r="K27" s="224" t="s">
        <v>147</v>
      </c>
      <c r="L27" s="224" t="s">
        <v>41</v>
      </c>
      <c r="N27">
        <f t="shared" si="0"/>
        <v>40</v>
      </c>
      <c r="R27" s="69"/>
    </row>
    <row r="28" spans="1:21" x14ac:dyDescent="0.25">
      <c r="A28" s="228">
        <v>2</v>
      </c>
      <c r="B28" s="351" t="s">
        <v>2198</v>
      </c>
      <c r="C28" s="230" t="s">
        <v>2826</v>
      </c>
      <c r="D28" s="230" t="s">
        <v>160</v>
      </c>
      <c r="E28" s="230" t="s">
        <v>255</v>
      </c>
      <c r="F28" s="230" t="s">
        <v>57</v>
      </c>
      <c r="G28" s="231" t="s">
        <v>2827</v>
      </c>
      <c r="H28" s="233" t="s">
        <v>40</v>
      </c>
      <c r="I28" s="232">
        <v>500</v>
      </c>
      <c r="J28" s="229">
        <v>100</v>
      </c>
      <c r="K28" s="224" t="s">
        <v>147</v>
      </c>
      <c r="L28" s="224" t="s">
        <v>41</v>
      </c>
      <c r="N28">
        <f t="shared" si="0"/>
        <v>100</v>
      </c>
      <c r="Q28" s="30"/>
      <c r="R28" s="30"/>
    </row>
    <row r="29" spans="1:21" x14ac:dyDescent="0.25">
      <c r="A29" s="228">
        <v>2</v>
      </c>
      <c r="B29" s="351" t="s">
        <v>2198</v>
      </c>
      <c r="C29" s="230" t="s">
        <v>2826</v>
      </c>
      <c r="D29" s="230" t="s">
        <v>160</v>
      </c>
      <c r="E29" s="230" t="s">
        <v>255</v>
      </c>
      <c r="F29" s="230" t="s">
        <v>57</v>
      </c>
      <c r="G29" s="231" t="s">
        <v>2827</v>
      </c>
      <c r="H29" s="399" t="s">
        <v>465</v>
      </c>
      <c r="I29" s="232">
        <v>100</v>
      </c>
      <c r="J29" s="229">
        <v>100</v>
      </c>
      <c r="K29" s="224" t="s">
        <v>147</v>
      </c>
      <c r="L29" s="224" t="s">
        <v>41</v>
      </c>
      <c r="N29">
        <f t="shared" si="0"/>
        <v>20</v>
      </c>
      <c r="Q29" s="30"/>
    </row>
    <row r="30" spans="1:21" x14ac:dyDescent="0.25">
      <c r="A30" s="228">
        <v>2</v>
      </c>
      <c r="B30" s="351" t="s">
        <v>1284</v>
      </c>
      <c r="C30" s="230" t="s">
        <v>2152</v>
      </c>
      <c r="D30" s="230" t="s">
        <v>160</v>
      </c>
      <c r="E30" s="230"/>
      <c r="F30" s="230" t="s">
        <v>54</v>
      </c>
      <c r="G30" s="231"/>
      <c r="H30" s="233" t="s">
        <v>40</v>
      </c>
      <c r="I30" s="232">
        <v>4000</v>
      </c>
      <c r="J30" s="229">
        <v>800</v>
      </c>
      <c r="K30" s="224" t="s">
        <v>147</v>
      </c>
      <c r="L30" s="224" t="s">
        <v>41</v>
      </c>
      <c r="N30">
        <f t="shared" si="0"/>
        <v>800</v>
      </c>
      <c r="Q30" s="30"/>
    </row>
    <row r="31" spans="1:21" x14ac:dyDescent="0.25">
      <c r="A31" s="228">
        <v>2</v>
      </c>
      <c r="B31" s="351" t="s">
        <v>2348</v>
      </c>
      <c r="C31" s="230" t="s">
        <v>1514</v>
      </c>
      <c r="D31" s="230" t="s">
        <v>160</v>
      </c>
      <c r="E31" s="230" t="s">
        <v>814</v>
      </c>
      <c r="F31" s="230" t="s">
        <v>47</v>
      </c>
      <c r="G31" s="231" t="s">
        <v>2828</v>
      </c>
      <c r="H31" s="354" t="s">
        <v>1420</v>
      </c>
      <c r="I31" s="232">
        <v>1000</v>
      </c>
      <c r="J31" s="229">
        <v>500</v>
      </c>
      <c r="K31" s="224" t="s">
        <v>147</v>
      </c>
      <c r="L31" s="224" t="s">
        <v>41</v>
      </c>
      <c r="N31">
        <f t="shared" si="0"/>
        <v>200</v>
      </c>
    </row>
    <row r="32" spans="1:21" x14ac:dyDescent="0.25">
      <c r="A32" s="228">
        <v>2</v>
      </c>
      <c r="B32" s="351" t="s">
        <v>2348</v>
      </c>
      <c r="C32" s="230" t="s">
        <v>1514</v>
      </c>
      <c r="D32" s="230" t="s">
        <v>160</v>
      </c>
      <c r="E32" s="230" t="s">
        <v>814</v>
      </c>
      <c r="F32" s="230" t="s">
        <v>47</v>
      </c>
      <c r="G32" s="231" t="s">
        <v>2828</v>
      </c>
      <c r="H32" s="399" t="s">
        <v>465</v>
      </c>
      <c r="I32" s="232">
        <v>500</v>
      </c>
      <c r="J32" s="229">
        <v>500</v>
      </c>
      <c r="K32" s="224" t="s">
        <v>147</v>
      </c>
      <c r="L32" s="224" t="s">
        <v>41</v>
      </c>
      <c r="N32">
        <f t="shared" si="0"/>
        <v>100</v>
      </c>
    </row>
    <row r="33" spans="1:20" x14ac:dyDescent="0.25">
      <c r="A33" s="228">
        <v>2</v>
      </c>
      <c r="B33" s="351" t="s">
        <v>2829</v>
      </c>
      <c r="C33" s="230" t="s">
        <v>2830</v>
      </c>
      <c r="D33" s="230" t="s">
        <v>160</v>
      </c>
      <c r="E33" s="230" t="s">
        <v>299</v>
      </c>
      <c r="F33" s="230" t="s">
        <v>42</v>
      </c>
      <c r="G33" s="231"/>
      <c r="H33" s="233" t="s">
        <v>40</v>
      </c>
      <c r="I33" s="232">
        <v>1500</v>
      </c>
      <c r="J33" s="229">
        <v>300</v>
      </c>
      <c r="K33" s="224" t="s">
        <v>147</v>
      </c>
      <c r="L33" s="224" t="s">
        <v>41</v>
      </c>
      <c r="N33">
        <f t="shared" si="0"/>
        <v>300</v>
      </c>
      <c r="Q33" s="30"/>
      <c r="R33" s="30"/>
      <c r="S33" s="30"/>
      <c r="T33" s="30"/>
    </row>
    <row r="34" spans="1:20" x14ac:dyDescent="0.25">
      <c r="A34" s="228">
        <v>2</v>
      </c>
      <c r="B34" s="351" t="s">
        <v>1779</v>
      </c>
      <c r="C34" s="230" t="s">
        <v>1780</v>
      </c>
      <c r="D34" s="230" t="s">
        <v>160</v>
      </c>
      <c r="E34" s="230" t="s">
        <v>1125</v>
      </c>
      <c r="F34" s="230" t="s">
        <v>54</v>
      </c>
      <c r="G34" s="231" t="s">
        <v>1781</v>
      </c>
      <c r="H34" s="399" t="s">
        <v>465</v>
      </c>
      <c r="I34" s="232">
        <v>500</v>
      </c>
      <c r="J34" s="229">
        <v>500</v>
      </c>
      <c r="K34" s="224" t="s">
        <v>147</v>
      </c>
      <c r="L34" s="224" t="s">
        <v>41</v>
      </c>
      <c r="N34">
        <f t="shared" si="0"/>
        <v>100</v>
      </c>
      <c r="Q34" s="30"/>
    </row>
    <row r="35" spans="1:20" x14ac:dyDescent="0.25">
      <c r="A35" s="228">
        <v>2</v>
      </c>
      <c r="B35" s="351" t="s">
        <v>2562</v>
      </c>
      <c r="C35" s="230" t="s">
        <v>2837</v>
      </c>
      <c r="D35" s="283" t="s">
        <v>163</v>
      </c>
      <c r="E35" s="230" t="s">
        <v>2563</v>
      </c>
      <c r="F35" s="230" t="s">
        <v>74</v>
      </c>
      <c r="G35" s="231" t="s">
        <v>2564</v>
      </c>
      <c r="H35" s="399" t="s">
        <v>465</v>
      </c>
      <c r="I35" s="232">
        <v>500</v>
      </c>
      <c r="J35" s="229">
        <v>500</v>
      </c>
      <c r="K35" s="224" t="s">
        <v>147</v>
      </c>
      <c r="L35" s="224" t="s">
        <v>41</v>
      </c>
      <c r="N35">
        <f t="shared" si="0"/>
        <v>100</v>
      </c>
    </row>
    <row r="36" spans="1:20" x14ac:dyDescent="0.25">
      <c r="A36" s="228">
        <v>4</v>
      </c>
      <c r="B36" s="351" t="s">
        <v>2449</v>
      </c>
      <c r="C36" s="230" t="s">
        <v>2450</v>
      </c>
      <c r="D36" s="230" t="s">
        <v>160</v>
      </c>
      <c r="E36" s="230" t="s">
        <v>194</v>
      </c>
      <c r="F36" s="230" t="s">
        <v>43</v>
      </c>
      <c r="G36" s="231"/>
      <c r="H36" s="450" t="s">
        <v>1911</v>
      </c>
      <c r="I36" s="232">
        <v>20</v>
      </c>
      <c r="J36" s="229">
        <v>100</v>
      </c>
      <c r="K36" s="224" t="s">
        <v>147</v>
      </c>
      <c r="L36" s="224" t="s">
        <v>41</v>
      </c>
      <c r="N36">
        <f t="shared" si="0"/>
        <v>4</v>
      </c>
    </row>
    <row r="37" spans="1:20" x14ac:dyDescent="0.25">
      <c r="A37" s="228">
        <v>4</v>
      </c>
      <c r="B37" s="351" t="s">
        <v>1668</v>
      </c>
      <c r="C37" s="230" t="s">
        <v>1669</v>
      </c>
      <c r="D37" s="230" t="s">
        <v>160</v>
      </c>
      <c r="E37" s="230" t="s">
        <v>64</v>
      </c>
      <c r="F37" s="230" t="s">
        <v>57</v>
      </c>
      <c r="G37" s="231" t="s">
        <v>1459</v>
      </c>
      <c r="H37" s="354" t="s">
        <v>1420</v>
      </c>
      <c r="I37" s="232">
        <v>1000</v>
      </c>
      <c r="J37" s="229">
        <v>500</v>
      </c>
      <c r="K37" s="224" t="s">
        <v>147</v>
      </c>
      <c r="L37" s="224" t="s">
        <v>41</v>
      </c>
      <c r="N37">
        <f t="shared" si="0"/>
        <v>200</v>
      </c>
    </row>
    <row r="38" spans="1:20" x14ac:dyDescent="0.25">
      <c r="A38" s="228">
        <v>4</v>
      </c>
      <c r="B38" s="351" t="s">
        <v>2838</v>
      </c>
      <c r="C38" s="230" t="s">
        <v>1971</v>
      </c>
      <c r="D38" s="230" t="s">
        <v>160</v>
      </c>
      <c r="E38" s="230" t="s">
        <v>60</v>
      </c>
      <c r="F38" s="230" t="s">
        <v>49</v>
      </c>
      <c r="G38" s="231"/>
      <c r="H38" s="354" t="s">
        <v>1420</v>
      </c>
      <c r="I38" s="236">
        <v>200</v>
      </c>
      <c r="J38" s="271">
        <v>100</v>
      </c>
      <c r="K38" s="224" t="s">
        <v>147</v>
      </c>
      <c r="L38" s="224" t="s">
        <v>41</v>
      </c>
      <c r="N38">
        <f t="shared" si="0"/>
        <v>40</v>
      </c>
    </row>
    <row r="39" spans="1:20" x14ac:dyDescent="0.25">
      <c r="A39" s="228">
        <v>5</v>
      </c>
      <c r="B39" s="351" t="s">
        <v>1973</v>
      </c>
      <c r="C39" s="230" t="s">
        <v>2538</v>
      </c>
      <c r="D39" s="230" t="s">
        <v>160</v>
      </c>
      <c r="E39" s="230" t="s">
        <v>201</v>
      </c>
      <c r="F39" s="230" t="s">
        <v>45</v>
      </c>
      <c r="G39" s="231"/>
      <c r="H39" s="354" t="s">
        <v>1420</v>
      </c>
      <c r="I39" s="236">
        <v>500</v>
      </c>
      <c r="J39" s="271">
        <v>250</v>
      </c>
      <c r="K39" s="224" t="s">
        <v>147</v>
      </c>
      <c r="L39" s="224" t="s">
        <v>41</v>
      </c>
      <c r="N39">
        <f t="shared" si="0"/>
        <v>100</v>
      </c>
    </row>
    <row r="40" spans="1:20" x14ac:dyDescent="0.25">
      <c r="A40" s="228">
        <v>5</v>
      </c>
      <c r="B40" s="351" t="s">
        <v>2456</v>
      </c>
      <c r="C40" s="230" t="s">
        <v>2839</v>
      </c>
      <c r="D40" s="283" t="s">
        <v>163</v>
      </c>
      <c r="E40" s="230" t="s">
        <v>2840</v>
      </c>
      <c r="F40" s="230" t="s">
        <v>55</v>
      </c>
      <c r="G40" s="231" t="s">
        <v>2841</v>
      </c>
      <c r="H40" s="354" t="s">
        <v>1420</v>
      </c>
      <c r="I40" s="236">
        <v>1100</v>
      </c>
      <c r="J40" s="271">
        <v>550</v>
      </c>
      <c r="K40" s="224" t="s">
        <v>147</v>
      </c>
      <c r="L40" s="224" t="s">
        <v>41</v>
      </c>
      <c r="N40">
        <f t="shared" si="0"/>
        <v>220</v>
      </c>
    </row>
    <row r="41" spans="1:20" x14ac:dyDescent="0.25">
      <c r="A41" s="228">
        <v>5</v>
      </c>
      <c r="B41" s="351" t="s">
        <v>2477</v>
      </c>
      <c r="C41" s="230" t="s">
        <v>2478</v>
      </c>
      <c r="D41" s="283" t="s">
        <v>163</v>
      </c>
      <c r="E41" s="230" t="s">
        <v>483</v>
      </c>
      <c r="F41" s="230" t="s">
        <v>54</v>
      </c>
      <c r="G41" s="231"/>
      <c r="H41" s="450" t="s">
        <v>1911</v>
      </c>
      <c r="I41" s="236">
        <v>50</v>
      </c>
      <c r="J41" s="271">
        <v>250</v>
      </c>
      <c r="K41" s="224" t="s">
        <v>147</v>
      </c>
      <c r="L41" s="224" t="s">
        <v>41</v>
      </c>
      <c r="N41">
        <f t="shared" si="0"/>
        <v>10</v>
      </c>
    </row>
    <row r="42" spans="1:20" s="62" customFormat="1" x14ac:dyDescent="0.25">
      <c r="A42" s="228">
        <v>5</v>
      </c>
      <c r="B42" s="351" t="s">
        <v>1946</v>
      </c>
      <c r="C42" s="230" t="s">
        <v>1947</v>
      </c>
      <c r="D42" s="230" t="s">
        <v>160</v>
      </c>
      <c r="E42" s="230" t="s">
        <v>1948</v>
      </c>
      <c r="F42" s="230" t="s">
        <v>50</v>
      </c>
      <c r="G42" s="231"/>
      <c r="H42" s="354" t="s">
        <v>1420</v>
      </c>
      <c r="I42" s="236">
        <v>400</v>
      </c>
      <c r="J42" s="271">
        <v>200</v>
      </c>
      <c r="K42" s="224" t="s">
        <v>147</v>
      </c>
      <c r="L42" s="224" t="s">
        <v>41</v>
      </c>
      <c r="N42" s="62">
        <f t="shared" si="0"/>
        <v>80</v>
      </c>
    </row>
    <row r="43" spans="1:20" s="62" customFormat="1" x14ac:dyDescent="0.25">
      <c r="A43" s="228">
        <v>5</v>
      </c>
      <c r="B43" s="351" t="s">
        <v>2842</v>
      </c>
      <c r="C43" s="230" t="s">
        <v>2843</v>
      </c>
      <c r="D43" s="230" t="s">
        <v>160</v>
      </c>
      <c r="E43" s="230"/>
      <c r="F43" s="230" t="s">
        <v>62</v>
      </c>
      <c r="G43" s="231" t="s">
        <v>2844</v>
      </c>
      <c r="H43" s="230" t="s">
        <v>40</v>
      </c>
      <c r="I43" s="236">
        <v>2000</v>
      </c>
      <c r="J43" s="271" t="s">
        <v>152</v>
      </c>
      <c r="K43" s="224" t="s">
        <v>147</v>
      </c>
      <c r="L43" s="224" t="s">
        <v>41</v>
      </c>
      <c r="N43" s="62">
        <f t="shared" si="0"/>
        <v>400</v>
      </c>
      <c r="R43" s="325"/>
    </row>
    <row r="44" spans="1:20" s="62" customFormat="1" x14ac:dyDescent="0.25">
      <c r="A44" s="228">
        <v>9</v>
      </c>
      <c r="B44" s="351" t="s">
        <v>2851</v>
      </c>
      <c r="C44" s="230" t="s">
        <v>2852</v>
      </c>
      <c r="D44" s="230" t="s">
        <v>160</v>
      </c>
      <c r="E44" s="230" t="s">
        <v>196</v>
      </c>
      <c r="F44" s="230" t="s">
        <v>42</v>
      </c>
      <c r="G44" s="231"/>
      <c r="H44" s="354" t="s">
        <v>1420</v>
      </c>
      <c r="I44" s="236">
        <v>300</v>
      </c>
      <c r="J44" s="271">
        <v>150</v>
      </c>
      <c r="K44" s="224" t="s">
        <v>147</v>
      </c>
      <c r="L44" s="224" t="s">
        <v>41</v>
      </c>
      <c r="N44" s="62">
        <f t="shared" si="0"/>
        <v>60</v>
      </c>
    </row>
    <row r="45" spans="1:20" s="62" customFormat="1" x14ac:dyDescent="0.25">
      <c r="A45" s="228">
        <v>9</v>
      </c>
      <c r="B45" s="351" t="s">
        <v>2853</v>
      </c>
      <c r="C45" s="230" t="s">
        <v>2854</v>
      </c>
      <c r="D45" s="230" t="s">
        <v>160</v>
      </c>
      <c r="E45" s="230" t="s">
        <v>194</v>
      </c>
      <c r="F45" s="230" t="s">
        <v>43</v>
      </c>
      <c r="G45" s="231" t="s">
        <v>394</v>
      </c>
      <c r="H45" s="233" t="s">
        <v>40</v>
      </c>
      <c r="I45" s="236">
        <v>5000</v>
      </c>
      <c r="J45" s="271">
        <v>1000</v>
      </c>
      <c r="K45" s="224" t="s">
        <v>147</v>
      </c>
      <c r="L45" s="224" t="s">
        <v>41</v>
      </c>
      <c r="N45" s="62">
        <f t="shared" si="0"/>
        <v>1000</v>
      </c>
    </row>
    <row r="46" spans="1:20" s="62" customFormat="1" x14ac:dyDescent="0.25">
      <c r="A46" s="228">
        <v>9</v>
      </c>
      <c r="B46" s="351" t="s">
        <v>2855</v>
      </c>
      <c r="C46" s="230" t="s">
        <v>2856</v>
      </c>
      <c r="D46" s="283" t="s">
        <v>163</v>
      </c>
      <c r="E46" s="230" t="s">
        <v>814</v>
      </c>
      <c r="F46" s="230" t="s">
        <v>47</v>
      </c>
      <c r="G46" s="231"/>
      <c r="H46" s="230" t="s">
        <v>40</v>
      </c>
      <c r="I46" s="236">
        <v>300</v>
      </c>
      <c r="J46" s="271">
        <v>60</v>
      </c>
      <c r="K46" s="224" t="s">
        <v>147</v>
      </c>
      <c r="L46" s="224" t="s">
        <v>41</v>
      </c>
      <c r="N46" s="62">
        <f t="shared" si="0"/>
        <v>60</v>
      </c>
    </row>
    <row r="47" spans="1:20" s="62" customFormat="1" x14ac:dyDescent="0.25">
      <c r="A47" s="228">
        <v>9</v>
      </c>
      <c r="B47" s="351" t="s">
        <v>2104</v>
      </c>
      <c r="C47" s="230" t="s">
        <v>2105</v>
      </c>
      <c r="D47" s="230" t="s">
        <v>160</v>
      </c>
      <c r="E47" s="230" t="s">
        <v>588</v>
      </c>
      <c r="F47" s="230" t="s">
        <v>43</v>
      </c>
      <c r="G47" s="231"/>
      <c r="H47" s="233" t="s">
        <v>40</v>
      </c>
      <c r="I47" s="236">
        <v>600</v>
      </c>
      <c r="J47" s="271">
        <v>120</v>
      </c>
      <c r="K47" s="224" t="s">
        <v>147</v>
      </c>
      <c r="L47" s="224" t="s">
        <v>41</v>
      </c>
      <c r="N47" s="62">
        <f t="shared" si="0"/>
        <v>120</v>
      </c>
    </row>
    <row r="48" spans="1:20" s="62" customFormat="1" x14ac:dyDescent="0.25">
      <c r="A48" s="228">
        <v>9</v>
      </c>
      <c r="B48" s="351" t="s">
        <v>2857</v>
      </c>
      <c r="C48" s="230" t="s">
        <v>2858</v>
      </c>
      <c r="D48" s="230" t="s">
        <v>160</v>
      </c>
      <c r="E48" s="230" t="s">
        <v>337</v>
      </c>
      <c r="F48" s="458" t="s">
        <v>81</v>
      </c>
      <c r="G48" s="231" t="s">
        <v>2859</v>
      </c>
      <c r="H48" s="354" t="s">
        <v>1420</v>
      </c>
      <c r="I48" s="236">
        <v>100</v>
      </c>
      <c r="J48" s="271">
        <v>50</v>
      </c>
      <c r="K48" s="224" t="s">
        <v>147</v>
      </c>
      <c r="L48" s="224" t="s">
        <v>41</v>
      </c>
      <c r="N48" s="62">
        <f t="shared" si="0"/>
        <v>20</v>
      </c>
    </row>
    <row r="49" spans="1:18" s="62" customFormat="1" x14ac:dyDescent="0.25">
      <c r="A49" s="228">
        <v>9</v>
      </c>
      <c r="B49" s="351" t="s">
        <v>2860</v>
      </c>
      <c r="C49" s="230" t="s">
        <v>2861</v>
      </c>
      <c r="D49" s="230" t="s">
        <v>160</v>
      </c>
      <c r="E49" s="230" t="s">
        <v>1531</v>
      </c>
      <c r="F49" s="230" t="s">
        <v>49</v>
      </c>
      <c r="G49" s="231" t="s">
        <v>2862</v>
      </c>
      <c r="H49" s="233" t="s">
        <v>40</v>
      </c>
      <c r="I49" s="236">
        <v>1500</v>
      </c>
      <c r="J49" s="271">
        <v>300</v>
      </c>
      <c r="K49" s="224" t="s">
        <v>147</v>
      </c>
      <c r="L49" s="224" t="s">
        <v>41</v>
      </c>
      <c r="N49" s="62">
        <f t="shared" si="0"/>
        <v>300</v>
      </c>
    </row>
    <row r="50" spans="1:18" s="62" customFormat="1" x14ac:dyDescent="0.25">
      <c r="A50" s="228">
        <v>9</v>
      </c>
      <c r="B50" s="351" t="s">
        <v>2863</v>
      </c>
      <c r="C50" s="230" t="s">
        <v>2864</v>
      </c>
      <c r="D50" s="230" t="s">
        <v>160</v>
      </c>
      <c r="E50" s="230" t="s">
        <v>1869</v>
      </c>
      <c r="F50" s="230" t="s">
        <v>42</v>
      </c>
      <c r="G50" s="231" t="s">
        <v>2865</v>
      </c>
      <c r="H50" s="233" t="s">
        <v>40</v>
      </c>
      <c r="I50" s="236">
        <v>350</v>
      </c>
      <c r="J50" s="271">
        <v>70</v>
      </c>
      <c r="K50" s="224" t="s">
        <v>147</v>
      </c>
      <c r="L50" s="224" t="s">
        <v>41</v>
      </c>
      <c r="N50" s="62">
        <f t="shared" si="0"/>
        <v>70</v>
      </c>
      <c r="R50" s="98"/>
    </row>
    <row r="51" spans="1:18" s="62" customFormat="1" x14ac:dyDescent="0.25">
      <c r="A51" s="228">
        <v>9</v>
      </c>
      <c r="B51" s="351" t="s">
        <v>2866</v>
      </c>
      <c r="C51" s="230" t="s">
        <v>1728</v>
      </c>
      <c r="D51" s="230" t="s">
        <v>160</v>
      </c>
      <c r="E51" s="230" t="s">
        <v>483</v>
      </c>
      <c r="F51" s="230" t="s">
        <v>56</v>
      </c>
      <c r="G51" s="231"/>
      <c r="H51" s="230" t="s">
        <v>40</v>
      </c>
      <c r="I51" s="236">
        <v>1000</v>
      </c>
      <c r="J51" s="271">
        <v>200</v>
      </c>
      <c r="K51" s="224" t="s">
        <v>147</v>
      </c>
      <c r="L51" s="224" t="s">
        <v>41</v>
      </c>
      <c r="N51" s="62">
        <f t="shared" si="0"/>
        <v>200</v>
      </c>
    </row>
    <row r="52" spans="1:18" s="62" customFormat="1" x14ac:dyDescent="0.25">
      <c r="A52" s="228">
        <v>9</v>
      </c>
      <c r="B52" s="351" t="s">
        <v>2867</v>
      </c>
      <c r="C52" s="230" t="s">
        <v>1756</v>
      </c>
      <c r="D52" s="230" t="s">
        <v>160</v>
      </c>
      <c r="E52" s="230" t="s">
        <v>2868</v>
      </c>
      <c r="F52" s="230" t="s">
        <v>56</v>
      </c>
      <c r="G52" s="231" t="s">
        <v>2869</v>
      </c>
      <c r="H52" s="233" t="s">
        <v>40</v>
      </c>
      <c r="I52" s="236">
        <v>1000</v>
      </c>
      <c r="J52" s="271">
        <v>200</v>
      </c>
      <c r="K52" s="224" t="s">
        <v>147</v>
      </c>
      <c r="L52" s="224" t="s">
        <v>41</v>
      </c>
      <c r="N52" s="62">
        <f t="shared" si="0"/>
        <v>200</v>
      </c>
    </row>
    <row r="53" spans="1:18" s="62" customFormat="1" x14ac:dyDescent="0.25">
      <c r="A53" s="228">
        <v>9</v>
      </c>
      <c r="B53" s="351" t="s">
        <v>1344</v>
      </c>
      <c r="C53" s="230" t="s">
        <v>1822</v>
      </c>
      <c r="D53" s="230" t="s">
        <v>160</v>
      </c>
      <c r="E53" s="230" t="s">
        <v>259</v>
      </c>
      <c r="F53" s="230" t="s">
        <v>49</v>
      </c>
      <c r="G53" s="231" t="s">
        <v>2870</v>
      </c>
      <c r="H53" s="233" t="s">
        <v>40</v>
      </c>
      <c r="I53" s="236">
        <v>500</v>
      </c>
      <c r="J53" s="271">
        <v>100</v>
      </c>
      <c r="K53" s="224" t="s">
        <v>147</v>
      </c>
      <c r="L53" s="224" t="s">
        <v>41</v>
      </c>
      <c r="N53" s="62">
        <f t="shared" si="0"/>
        <v>100</v>
      </c>
    </row>
    <row r="54" spans="1:18" s="62" customFormat="1" x14ac:dyDescent="0.25">
      <c r="A54" s="228">
        <v>10</v>
      </c>
      <c r="B54" s="351" t="s">
        <v>2871</v>
      </c>
      <c r="C54" s="230" t="s">
        <v>2872</v>
      </c>
      <c r="D54" s="283" t="s">
        <v>163</v>
      </c>
      <c r="E54" s="230" t="s">
        <v>194</v>
      </c>
      <c r="F54" s="230" t="s">
        <v>43</v>
      </c>
      <c r="G54" s="231"/>
      <c r="H54" s="233" t="s">
        <v>40</v>
      </c>
      <c r="I54" s="236">
        <v>3000</v>
      </c>
      <c r="J54" s="271">
        <v>600</v>
      </c>
      <c r="K54" s="224" t="s">
        <v>147</v>
      </c>
      <c r="L54" s="224" t="s">
        <v>41</v>
      </c>
      <c r="N54" s="62">
        <f t="shared" si="0"/>
        <v>600</v>
      </c>
    </row>
    <row r="55" spans="1:18" s="62" customFormat="1" x14ac:dyDescent="0.25">
      <c r="A55" s="228">
        <v>10</v>
      </c>
      <c r="B55" s="351" t="s">
        <v>1322</v>
      </c>
      <c r="C55" s="230" t="s">
        <v>2873</v>
      </c>
      <c r="D55" s="230" t="s">
        <v>160</v>
      </c>
      <c r="E55" s="230" t="s">
        <v>189</v>
      </c>
      <c r="F55" s="230" t="s">
        <v>42</v>
      </c>
      <c r="G55" s="231"/>
      <c r="H55" s="233" t="s">
        <v>40</v>
      </c>
      <c r="I55" s="236">
        <v>2000</v>
      </c>
      <c r="J55" s="271">
        <v>400</v>
      </c>
      <c r="K55" s="224" t="s">
        <v>147</v>
      </c>
      <c r="L55" s="224" t="s">
        <v>41</v>
      </c>
      <c r="N55" s="62">
        <f t="shared" si="0"/>
        <v>400</v>
      </c>
    </row>
    <row r="56" spans="1:18" s="62" customFormat="1" x14ac:dyDescent="0.25">
      <c r="A56" s="228">
        <v>10</v>
      </c>
      <c r="B56" s="351" t="s">
        <v>2874</v>
      </c>
      <c r="C56" s="230" t="s">
        <v>1864</v>
      </c>
      <c r="D56" s="230" t="s">
        <v>160</v>
      </c>
      <c r="E56" s="230" t="s">
        <v>2875</v>
      </c>
      <c r="F56" s="230" t="s">
        <v>58</v>
      </c>
      <c r="G56" s="231" t="s">
        <v>2876</v>
      </c>
      <c r="H56" s="233" t="s">
        <v>40</v>
      </c>
      <c r="I56" s="236">
        <v>2000</v>
      </c>
      <c r="J56" s="271" t="s">
        <v>152</v>
      </c>
      <c r="K56" s="224" t="s">
        <v>147</v>
      </c>
      <c r="L56" s="224" t="s">
        <v>41</v>
      </c>
      <c r="N56" s="62">
        <f t="shared" si="0"/>
        <v>400</v>
      </c>
    </row>
    <row r="57" spans="1:18" s="62" customFormat="1" x14ac:dyDescent="0.25">
      <c r="A57" s="228">
        <v>11</v>
      </c>
      <c r="B57" s="351" t="s">
        <v>1850</v>
      </c>
      <c r="C57" s="230" t="s">
        <v>2880</v>
      </c>
      <c r="D57" s="230" t="s">
        <v>160</v>
      </c>
      <c r="E57" s="230" t="s">
        <v>60</v>
      </c>
      <c r="F57" s="230" t="s">
        <v>54</v>
      </c>
      <c r="G57" s="231"/>
      <c r="H57" s="233" t="s">
        <v>40</v>
      </c>
      <c r="I57" s="236">
        <v>500</v>
      </c>
      <c r="J57" s="271" t="s">
        <v>152</v>
      </c>
      <c r="K57" s="224" t="s">
        <v>147</v>
      </c>
      <c r="L57" s="224" t="s">
        <v>41</v>
      </c>
      <c r="N57" s="62">
        <f t="shared" si="0"/>
        <v>100</v>
      </c>
    </row>
    <row r="58" spans="1:18" s="62" customFormat="1" x14ac:dyDescent="0.25">
      <c r="A58" s="228">
        <v>11</v>
      </c>
      <c r="B58" s="351" t="s">
        <v>2881</v>
      </c>
      <c r="C58" s="230" t="s">
        <v>2882</v>
      </c>
      <c r="D58" s="230" t="s">
        <v>160</v>
      </c>
      <c r="E58" s="230" t="s">
        <v>618</v>
      </c>
      <c r="F58" s="230" t="s">
        <v>43</v>
      </c>
      <c r="G58" s="231"/>
      <c r="H58" s="450" t="s">
        <v>1911</v>
      </c>
      <c r="I58" s="236">
        <v>6</v>
      </c>
      <c r="J58" s="271">
        <v>30</v>
      </c>
      <c r="K58" s="224" t="s">
        <v>147</v>
      </c>
      <c r="L58" s="224" t="s">
        <v>41</v>
      </c>
      <c r="N58" s="62">
        <f t="shared" si="0"/>
        <v>1.2</v>
      </c>
    </row>
    <row r="59" spans="1:18" s="62" customFormat="1" x14ac:dyDescent="0.25">
      <c r="A59" s="228">
        <v>11</v>
      </c>
      <c r="B59" s="351" t="s">
        <v>2883</v>
      </c>
      <c r="C59" s="230" t="s">
        <v>2884</v>
      </c>
      <c r="D59" s="230" t="s">
        <v>160</v>
      </c>
      <c r="E59" s="230" t="s">
        <v>703</v>
      </c>
      <c r="F59" s="230" t="s">
        <v>42</v>
      </c>
      <c r="G59" s="231"/>
      <c r="H59" s="233" t="s">
        <v>40</v>
      </c>
      <c r="I59" s="236">
        <v>2000</v>
      </c>
      <c r="J59" s="271">
        <v>400</v>
      </c>
      <c r="K59" s="224" t="s">
        <v>147</v>
      </c>
      <c r="L59" s="224" t="s">
        <v>41</v>
      </c>
      <c r="N59" s="62">
        <f t="shared" si="0"/>
        <v>400</v>
      </c>
    </row>
    <row r="60" spans="1:18" s="62" customFormat="1" x14ac:dyDescent="0.25">
      <c r="A60" s="228">
        <v>11</v>
      </c>
      <c r="B60" s="351" t="s">
        <v>2885</v>
      </c>
      <c r="C60" s="230" t="s">
        <v>1809</v>
      </c>
      <c r="D60" s="230" t="s">
        <v>160</v>
      </c>
      <c r="E60" s="230" t="s">
        <v>180</v>
      </c>
      <c r="F60" s="230" t="s">
        <v>45</v>
      </c>
      <c r="G60" s="231"/>
      <c r="H60" s="233" t="s">
        <v>40</v>
      </c>
      <c r="I60" s="236">
        <v>2000</v>
      </c>
      <c r="J60" s="271">
        <v>400</v>
      </c>
      <c r="K60" s="224" t="s">
        <v>147</v>
      </c>
      <c r="L60" s="224" t="s">
        <v>41</v>
      </c>
      <c r="N60" s="62">
        <f t="shared" si="0"/>
        <v>400</v>
      </c>
    </row>
    <row r="61" spans="1:18" s="62" customFormat="1" x14ac:dyDescent="0.25">
      <c r="A61" s="228">
        <v>11</v>
      </c>
      <c r="B61" s="351" t="s">
        <v>2885</v>
      </c>
      <c r="C61" s="230" t="s">
        <v>1809</v>
      </c>
      <c r="D61" s="230" t="s">
        <v>160</v>
      </c>
      <c r="E61" s="230" t="s">
        <v>180</v>
      </c>
      <c r="F61" s="230" t="s">
        <v>45</v>
      </c>
      <c r="G61" s="231"/>
      <c r="H61" s="354" t="s">
        <v>1420</v>
      </c>
      <c r="I61" s="236">
        <v>100</v>
      </c>
      <c r="J61" s="271">
        <v>50</v>
      </c>
      <c r="K61" s="224" t="s">
        <v>147</v>
      </c>
      <c r="L61" s="224" t="s">
        <v>41</v>
      </c>
      <c r="N61" s="62">
        <f t="shared" si="0"/>
        <v>20</v>
      </c>
    </row>
    <row r="62" spans="1:18" x14ac:dyDescent="0.25">
      <c r="A62" s="228">
        <v>11</v>
      </c>
      <c r="B62" s="351" t="s">
        <v>2886</v>
      </c>
      <c r="C62" s="230" t="s">
        <v>2887</v>
      </c>
      <c r="D62" s="230" t="s">
        <v>160</v>
      </c>
      <c r="E62" s="230" t="s">
        <v>201</v>
      </c>
      <c r="F62" s="230" t="s">
        <v>45</v>
      </c>
      <c r="G62" s="231" t="s">
        <v>2888</v>
      </c>
      <c r="H62" s="354" t="s">
        <v>1420</v>
      </c>
      <c r="I62" s="236">
        <v>500</v>
      </c>
      <c r="J62" s="271">
        <v>250</v>
      </c>
      <c r="K62" s="224" t="s">
        <v>147</v>
      </c>
      <c r="L62" s="224" t="s">
        <v>41</v>
      </c>
      <c r="N62">
        <f t="shared" si="0"/>
        <v>100</v>
      </c>
    </row>
    <row r="63" spans="1:18" x14ac:dyDescent="0.25">
      <c r="A63" s="228">
        <v>11</v>
      </c>
      <c r="B63" s="351" t="s">
        <v>2523</v>
      </c>
      <c r="C63" s="230" t="s">
        <v>1818</v>
      </c>
      <c r="D63" s="230" t="s">
        <v>160</v>
      </c>
      <c r="E63" s="230" t="s">
        <v>60</v>
      </c>
      <c r="F63" s="230" t="s">
        <v>54</v>
      </c>
      <c r="G63" s="231" t="s">
        <v>2524</v>
      </c>
      <c r="H63" s="233" t="s">
        <v>40</v>
      </c>
      <c r="I63" s="236">
        <v>5000</v>
      </c>
      <c r="J63" s="271">
        <v>1000</v>
      </c>
      <c r="K63" s="224" t="s">
        <v>147</v>
      </c>
      <c r="L63" s="224" t="s">
        <v>41</v>
      </c>
      <c r="N63">
        <f t="shared" si="0"/>
        <v>1000</v>
      </c>
    </row>
    <row r="64" spans="1:18" x14ac:dyDescent="0.25">
      <c r="A64" s="246">
        <v>11</v>
      </c>
      <c r="B64" s="352" t="s">
        <v>2314</v>
      </c>
      <c r="C64" s="233" t="s">
        <v>1809</v>
      </c>
      <c r="D64" s="230" t="s">
        <v>160</v>
      </c>
      <c r="E64" s="230" t="s">
        <v>262</v>
      </c>
      <c r="F64" s="230" t="s">
        <v>49</v>
      </c>
      <c r="G64" s="231" t="s">
        <v>2890</v>
      </c>
      <c r="H64" s="233" t="s">
        <v>40</v>
      </c>
      <c r="I64" s="236">
        <v>3000</v>
      </c>
      <c r="J64" s="271">
        <v>600</v>
      </c>
      <c r="K64" s="224" t="s">
        <v>147</v>
      </c>
      <c r="L64" s="224" t="s">
        <v>41</v>
      </c>
      <c r="N64">
        <f t="shared" si="0"/>
        <v>600</v>
      </c>
    </row>
    <row r="65" spans="1:14" x14ac:dyDescent="0.25">
      <c r="A65" s="246">
        <v>12</v>
      </c>
      <c r="B65" s="352" t="s">
        <v>2891</v>
      </c>
      <c r="C65" s="233" t="s">
        <v>2892</v>
      </c>
      <c r="D65" s="283" t="s">
        <v>163</v>
      </c>
      <c r="E65" s="230" t="s">
        <v>461</v>
      </c>
      <c r="F65" s="230" t="s">
        <v>45</v>
      </c>
      <c r="G65" s="231"/>
      <c r="H65" s="233" t="s">
        <v>40</v>
      </c>
      <c r="I65" s="236">
        <v>2000</v>
      </c>
      <c r="J65" s="271">
        <v>400</v>
      </c>
      <c r="K65" s="230" t="s">
        <v>147</v>
      </c>
      <c r="L65" s="230" t="s">
        <v>41</v>
      </c>
      <c r="N65">
        <f t="shared" si="0"/>
        <v>400</v>
      </c>
    </row>
    <row r="66" spans="1:14" x14ac:dyDescent="0.25">
      <c r="A66" s="246">
        <v>12</v>
      </c>
      <c r="B66" s="352" t="s">
        <v>2893</v>
      </c>
      <c r="C66" s="233" t="s">
        <v>2894</v>
      </c>
      <c r="D66" s="283" t="s">
        <v>163</v>
      </c>
      <c r="E66" s="230" t="s">
        <v>180</v>
      </c>
      <c r="F66" s="230" t="s">
        <v>49</v>
      </c>
      <c r="G66" s="231" t="s">
        <v>2895</v>
      </c>
      <c r="H66" s="233" t="s">
        <v>40</v>
      </c>
      <c r="I66" s="236">
        <v>10000</v>
      </c>
      <c r="J66" s="271">
        <v>2000</v>
      </c>
      <c r="K66" s="224" t="s">
        <v>147</v>
      </c>
      <c r="L66" s="224" t="s">
        <v>41</v>
      </c>
      <c r="N66">
        <f t="shared" si="0"/>
        <v>2000</v>
      </c>
    </row>
    <row r="67" spans="1:14" x14ac:dyDescent="0.25">
      <c r="A67" s="246">
        <v>12</v>
      </c>
      <c r="B67" s="352" t="s">
        <v>2896</v>
      </c>
      <c r="C67" s="233" t="s">
        <v>2897</v>
      </c>
      <c r="D67" s="230" t="s">
        <v>160</v>
      </c>
      <c r="E67" s="230"/>
      <c r="F67" s="230" t="s">
        <v>72</v>
      </c>
      <c r="G67" s="231" t="s">
        <v>2898</v>
      </c>
      <c r="H67" s="233" t="s">
        <v>40</v>
      </c>
      <c r="I67" s="236">
        <v>1000</v>
      </c>
      <c r="J67" s="271">
        <v>200</v>
      </c>
      <c r="K67" s="224" t="s">
        <v>147</v>
      </c>
      <c r="L67" s="224" t="s">
        <v>41</v>
      </c>
      <c r="N67">
        <f t="shared" si="0"/>
        <v>200</v>
      </c>
    </row>
    <row r="68" spans="1:14" x14ac:dyDescent="0.25">
      <c r="A68" s="246">
        <v>12</v>
      </c>
      <c r="B68" s="352" t="s">
        <v>2899</v>
      </c>
      <c r="C68" s="233" t="s">
        <v>2900</v>
      </c>
      <c r="D68" s="230" t="s">
        <v>160</v>
      </c>
      <c r="E68" s="230" t="s">
        <v>1792</v>
      </c>
      <c r="F68" s="230" t="s">
        <v>42</v>
      </c>
      <c r="G68" s="231" t="s">
        <v>2901</v>
      </c>
      <c r="H68" s="233" t="s">
        <v>40</v>
      </c>
      <c r="I68" s="236">
        <v>8000</v>
      </c>
      <c r="J68" s="271">
        <v>1600</v>
      </c>
      <c r="K68" s="224" t="s">
        <v>147</v>
      </c>
      <c r="L68" s="224" t="s">
        <v>41</v>
      </c>
      <c r="N68">
        <f t="shared" si="0"/>
        <v>1600</v>
      </c>
    </row>
    <row r="69" spans="1:14" x14ac:dyDescent="0.25">
      <c r="A69" s="246">
        <v>12</v>
      </c>
      <c r="B69" s="352" t="s">
        <v>2902</v>
      </c>
      <c r="C69" s="233" t="s">
        <v>2903</v>
      </c>
      <c r="D69" s="283" t="s">
        <v>163</v>
      </c>
      <c r="E69" s="230" t="s">
        <v>420</v>
      </c>
      <c r="F69" s="230" t="s">
        <v>69</v>
      </c>
      <c r="G69" s="231"/>
      <c r="H69" s="233" t="s">
        <v>40</v>
      </c>
      <c r="I69" s="236">
        <v>10000</v>
      </c>
      <c r="J69" s="271">
        <v>2000</v>
      </c>
      <c r="K69" s="224" t="s">
        <v>147</v>
      </c>
      <c r="L69" s="224" t="s">
        <v>41</v>
      </c>
      <c r="N69">
        <f t="shared" si="0"/>
        <v>2000</v>
      </c>
    </row>
    <row r="70" spans="1:14" x14ac:dyDescent="0.25">
      <c r="A70" s="246">
        <v>12</v>
      </c>
      <c r="B70" s="352" t="s">
        <v>2904</v>
      </c>
      <c r="C70" s="233" t="s">
        <v>2905</v>
      </c>
      <c r="D70" s="230" t="s">
        <v>160</v>
      </c>
      <c r="E70" s="230" t="s">
        <v>305</v>
      </c>
      <c r="F70" s="230" t="s">
        <v>82</v>
      </c>
      <c r="G70" s="231" t="s">
        <v>2906</v>
      </c>
      <c r="H70" s="233" t="s">
        <v>40</v>
      </c>
      <c r="I70" s="236">
        <v>200</v>
      </c>
      <c r="J70" s="271" t="s">
        <v>152</v>
      </c>
      <c r="K70" s="224" t="s">
        <v>147</v>
      </c>
      <c r="L70" s="224" t="s">
        <v>41</v>
      </c>
      <c r="N70">
        <f t="shared" si="0"/>
        <v>40</v>
      </c>
    </row>
    <row r="71" spans="1:14" x14ac:dyDescent="0.25">
      <c r="A71" s="246">
        <v>12</v>
      </c>
      <c r="B71" s="352" t="s">
        <v>2907</v>
      </c>
      <c r="C71" s="233" t="s">
        <v>2908</v>
      </c>
      <c r="D71" s="230" t="s">
        <v>160</v>
      </c>
      <c r="E71" s="230" t="s">
        <v>538</v>
      </c>
      <c r="F71" s="230" t="s">
        <v>49</v>
      </c>
      <c r="G71" s="231" t="s">
        <v>2909</v>
      </c>
      <c r="H71" s="230" t="s">
        <v>40</v>
      </c>
      <c r="I71" s="236">
        <v>1000</v>
      </c>
      <c r="J71" s="271" t="s">
        <v>152</v>
      </c>
      <c r="K71" s="224" t="s">
        <v>147</v>
      </c>
      <c r="L71" s="224" t="s">
        <v>41</v>
      </c>
      <c r="N71">
        <f t="shared" si="0"/>
        <v>200</v>
      </c>
    </row>
    <row r="72" spans="1:14" x14ac:dyDescent="0.25">
      <c r="A72" s="273">
        <v>12</v>
      </c>
      <c r="B72" s="352" t="s">
        <v>2910</v>
      </c>
      <c r="C72" s="233" t="s">
        <v>2880</v>
      </c>
      <c r="D72" s="230" t="s">
        <v>160</v>
      </c>
      <c r="E72" s="230" t="s">
        <v>234</v>
      </c>
      <c r="F72" s="230" t="s">
        <v>49</v>
      </c>
      <c r="G72" s="231"/>
      <c r="H72" s="399" t="s">
        <v>465</v>
      </c>
      <c r="I72" s="236">
        <v>1000</v>
      </c>
      <c r="J72" s="271">
        <v>1000</v>
      </c>
      <c r="K72" s="224" t="s">
        <v>147</v>
      </c>
      <c r="L72" s="224" t="s">
        <v>41</v>
      </c>
      <c r="N72">
        <f t="shared" si="0"/>
        <v>200</v>
      </c>
    </row>
    <row r="73" spans="1:14" x14ac:dyDescent="0.25">
      <c r="A73" s="246">
        <v>16</v>
      </c>
      <c r="B73" s="352" t="s">
        <v>2913</v>
      </c>
      <c r="C73" s="233" t="s">
        <v>2436</v>
      </c>
      <c r="D73" s="230" t="s">
        <v>160</v>
      </c>
      <c r="E73" s="230" t="s">
        <v>2914</v>
      </c>
      <c r="F73" s="230" t="s">
        <v>58</v>
      </c>
      <c r="G73" s="231" t="s">
        <v>2915</v>
      </c>
      <c r="H73" s="233" t="s">
        <v>40</v>
      </c>
      <c r="I73" s="236">
        <v>1000</v>
      </c>
      <c r="J73" s="271">
        <v>200</v>
      </c>
      <c r="K73" s="224" t="s">
        <v>147</v>
      </c>
      <c r="L73" s="224" t="s">
        <v>41</v>
      </c>
      <c r="N73">
        <f t="shared" si="0"/>
        <v>200</v>
      </c>
    </row>
    <row r="74" spans="1:14" x14ac:dyDescent="0.25">
      <c r="A74" s="246">
        <v>16</v>
      </c>
      <c r="B74" s="352" t="s">
        <v>1831</v>
      </c>
      <c r="C74" s="233" t="s">
        <v>2916</v>
      </c>
      <c r="D74" s="283" t="s">
        <v>163</v>
      </c>
      <c r="E74" s="230" t="s">
        <v>290</v>
      </c>
      <c r="F74" s="230" t="s">
        <v>49</v>
      </c>
      <c r="G74" s="231" t="s">
        <v>2917</v>
      </c>
      <c r="H74" s="233" t="s">
        <v>40</v>
      </c>
      <c r="I74" s="236">
        <v>4000</v>
      </c>
      <c r="J74" s="271">
        <v>800</v>
      </c>
      <c r="K74" s="224" t="s">
        <v>147</v>
      </c>
      <c r="L74" s="224" t="s">
        <v>41</v>
      </c>
      <c r="N74">
        <f t="shared" si="0"/>
        <v>800</v>
      </c>
    </row>
    <row r="75" spans="1:14" x14ac:dyDescent="0.25">
      <c r="A75" s="246">
        <v>16</v>
      </c>
      <c r="B75" s="352" t="s">
        <v>1831</v>
      </c>
      <c r="C75" s="233" t="s">
        <v>2916</v>
      </c>
      <c r="D75" s="283" t="s">
        <v>163</v>
      </c>
      <c r="E75" s="230" t="s">
        <v>290</v>
      </c>
      <c r="F75" s="230" t="s">
        <v>49</v>
      </c>
      <c r="G75" s="231" t="s">
        <v>2917</v>
      </c>
      <c r="H75" s="354" t="s">
        <v>1420</v>
      </c>
      <c r="I75" s="236">
        <v>300</v>
      </c>
      <c r="J75" s="271">
        <v>150</v>
      </c>
      <c r="K75" s="224" t="s">
        <v>147</v>
      </c>
      <c r="L75" s="224" t="s">
        <v>41</v>
      </c>
      <c r="N75">
        <f t="shared" si="0"/>
        <v>60</v>
      </c>
    </row>
    <row r="76" spans="1:14" x14ac:dyDescent="0.25">
      <c r="A76" s="246">
        <v>16</v>
      </c>
      <c r="B76" s="352" t="s">
        <v>1831</v>
      </c>
      <c r="C76" s="233" t="s">
        <v>2916</v>
      </c>
      <c r="D76" s="283" t="s">
        <v>163</v>
      </c>
      <c r="E76" s="230" t="s">
        <v>290</v>
      </c>
      <c r="F76" s="230" t="s">
        <v>49</v>
      </c>
      <c r="G76" s="231" t="s">
        <v>2917</v>
      </c>
      <c r="H76" s="450" t="s">
        <v>1911</v>
      </c>
      <c r="I76" s="236">
        <v>20</v>
      </c>
      <c r="J76" s="271">
        <v>100</v>
      </c>
      <c r="K76" s="224" t="s">
        <v>147</v>
      </c>
      <c r="L76" s="224" t="s">
        <v>41</v>
      </c>
      <c r="N76">
        <f t="shared" si="0"/>
        <v>4</v>
      </c>
    </row>
    <row r="77" spans="1:14" x14ac:dyDescent="0.25">
      <c r="A77" s="246">
        <v>16</v>
      </c>
      <c r="B77" s="352" t="s">
        <v>2918</v>
      </c>
      <c r="C77" s="233" t="s">
        <v>2493</v>
      </c>
      <c r="D77" s="230" t="s">
        <v>160</v>
      </c>
      <c r="E77" s="230" t="s">
        <v>292</v>
      </c>
      <c r="F77" s="230" t="s">
        <v>84</v>
      </c>
      <c r="G77" s="231" t="s">
        <v>2919</v>
      </c>
      <c r="H77" s="233" t="s">
        <v>40</v>
      </c>
      <c r="I77" s="236">
        <v>5500</v>
      </c>
      <c r="J77" s="271">
        <v>1100</v>
      </c>
      <c r="K77" s="224" t="s">
        <v>147</v>
      </c>
      <c r="L77" s="224" t="s">
        <v>41</v>
      </c>
      <c r="N77">
        <f t="shared" si="0"/>
        <v>1100</v>
      </c>
    </row>
    <row r="78" spans="1:14" x14ac:dyDescent="0.25">
      <c r="A78" s="246">
        <v>16</v>
      </c>
      <c r="B78" s="352" t="s">
        <v>2920</v>
      </c>
      <c r="C78" s="233" t="s">
        <v>2921</v>
      </c>
      <c r="D78" s="283" t="s">
        <v>163</v>
      </c>
      <c r="E78" s="230" t="s">
        <v>998</v>
      </c>
      <c r="F78" s="230" t="s">
        <v>88</v>
      </c>
      <c r="G78" s="231"/>
      <c r="H78" s="233" t="s">
        <v>40</v>
      </c>
      <c r="I78" s="236">
        <v>1000</v>
      </c>
      <c r="J78" s="271">
        <v>200</v>
      </c>
      <c r="K78" s="224" t="s">
        <v>147</v>
      </c>
      <c r="L78" s="224" t="s">
        <v>41</v>
      </c>
      <c r="N78">
        <f t="shared" si="0"/>
        <v>200</v>
      </c>
    </row>
    <row r="79" spans="1:14" x14ac:dyDescent="0.25">
      <c r="A79" s="246">
        <v>16</v>
      </c>
      <c r="B79" s="352" t="s">
        <v>2922</v>
      </c>
      <c r="C79" s="233" t="s">
        <v>2394</v>
      </c>
      <c r="D79" s="230" t="s">
        <v>160</v>
      </c>
      <c r="E79" s="230" t="s">
        <v>523</v>
      </c>
      <c r="F79" s="230" t="s">
        <v>42</v>
      </c>
      <c r="G79" s="231"/>
      <c r="H79" s="233" t="s">
        <v>40</v>
      </c>
      <c r="I79" s="236">
        <v>1500</v>
      </c>
      <c r="J79" s="271">
        <v>300</v>
      </c>
      <c r="K79" s="224" t="s">
        <v>147</v>
      </c>
      <c r="L79" s="224" t="s">
        <v>41</v>
      </c>
      <c r="N79">
        <f t="shared" si="0"/>
        <v>300</v>
      </c>
    </row>
    <row r="80" spans="1:14" x14ac:dyDescent="0.25">
      <c r="A80" s="246">
        <v>16</v>
      </c>
      <c r="B80" s="352" t="s">
        <v>2922</v>
      </c>
      <c r="C80" s="233" t="s">
        <v>2394</v>
      </c>
      <c r="D80" s="230" t="s">
        <v>160</v>
      </c>
      <c r="E80" s="230" t="s">
        <v>523</v>
      </c>
      <c r="F80" s="230" t="s">
        <v>42</v>
      </c>
      <c r="G80" s="231"/>
      <c r="H80" s="233" t="s">
        <v>40</v>
      </c>
      <c r="I80" s="236">
        <v>500</v>
      </c>
      <c r="J80" s="271" t="s">
        <v>152</v>
      </c>
      <c r="K80" s="224" t="s">
        <v>147</v>
      </c>
      <c r="L80" s="224" t="s">
        <v>41</v>
      </c>
      <c r="N80">
        <f t="shared" si="0"/>
        <v>100</v>
      </c>
    </row>
    <row r="81" spans="1:17" x14ac:dyDescent="0.25">
      <c r="A81" s="246">
        <v>16</v>
      </c>
      <c r="B81" s="352" t="s">
        <v>2928</v>
      </c>
      <c r="C81" s="233" t="s">
        <v>2929</v>
      </c>
      <c r="D81" s="230" t="s">
        <v>160</v>
      </c>
      <c r="E81" s="230" t="s">
        <v>2930</v>
      </c>
      <c r="F81" s="230" t="s">
        <v>56</v>
      </c>
      <c r="G81" s="231"/>
      <c r="H81" s="233" t="s">
        <v>40</v>
      </c>
      <c r="I81" s="236">
        <v>500</v>
      </c>
      <c r="J81" s="271">
        <v>100</v>
      </c>
      <c r="K81" s="224" t="s">
        <v>147</v>
      </c>
      <c r="L81" s="224" t="s">
        <v>41</v>
      </c>
      <c r="N81">
        <f t="shared" si="0"/>
        <v>100</v>
      </c>
    </row>
    <row r="82" spans="1:17" x14ac:dyDescent="0.25">
      <c r="A82" s="246">
        <v>16</v>
      </c>
      <c r="B82" s="352" t="s">
        <v>2931</v>
      </c>
      <c r="C82" s="233" t="s">
        <v>2932</v>
      </c>
      <c r="D82" s="230" t="s">
        <v>160</v>
      </c>
      <c r="E82" s="230" t="s">
        <v>1157</v>
      </c>
      <c r="F82" s="230" t="s">
        <v>42</v>
      </c>
      <c r="G82" s="231" t="s">
        <v>2933</v>
      </c>
      <c r="H82" s="230" t="s">
        <v>40</v>
      </c>
      <c r="I82" s="236">
        <v>3000</v>
      </c>
      <c r="J82" s="271">
        <v>600</v>
      </c>
      <c r="K82" s="224" t="s">
        <v>147</v>
      </c>
      <c r="L82" s="224" t="s">
        <v>41</v>
      </c>
      <c r="N82">
        <f t="shared" si="0"/>
        <v>600</v>
      </c>
    </row>
    <row r="83" spans="1:17" x14ac:dyDescent="0.25">
      <c r="A83" s="246">
        <v>16</v>
      </c>
      <c r="B83" s="352" t="s">
        <v>2937</v>
      </c>
      <c r="C83" s="233" t="s">
        <v>2387</v>
      </c>
      <c r="D83" s="230" t="s">
        <v>160</v>
      </c>
      <c r="E83" s="230" t="s">
        <v>420</v>
      </c>
      <c r="F83" s="230" t="s">
        <v>69</v>
      </c>
      <c r="G83" s="231" t="s">
        <v>2388</v>
      </c>
      <c r="H83" s="450" t="s">
        <v>1911</v>
      </c>
      <c r="I83" s="236">
        <v>130</v>
      </c>
      <c r="J83" s="271">
        <v>650</v>
      </c>
      <c r="K83" s="224" t="s">
        <v>147</v>
      </c>
      <c r="L83" s="224" t="s">
        <v>41</v>
      </c>
      <c r="N83">
        <f t="shared" si="0"/>
        <v>26</v>
      </c>
    </row>
    <row r="84" spans="1:17" x14ac:dyDescent="0.25">
      <c r="A84" s="246">
        <v>16</v>
      </c>
      <c r="B84" s="352" t="s">
        <v>2938</v>
      </c>
      <c r="C84" s="233" t="s">
        <v>2929</v>
      </c>
      <c r="D84" s="230" t="s">
        <v>160</v>
      </c>
      <c r="E84" s="230" t="s">
        <v>407</v>
      </c>
      <c r="F84" s="230" t="s">
        <v>42</v>
      </c>
      <c r="G84" s="231" t="s">
        <v>2940</v>
      </c>
      <c r="H84" s="230" t="s">
        <v>40</v>
      </c>
      <c r="I84" s="236">
        <v>500</v>
      </c>
      <c r="J84" s="271" t="s">
        <v>152</v>
      </c>
      <c r="K84" s="224" t="s">
        <v>147</v>
      </c>
      <c r="L84" s="224" t="s">
        <v>41</v>
      </c>
      <c r="N84">
        <f t="shared" si="0"/>
        <v>100</v>
      </c>
    </row>
    <row r="85" spans="1:17" x14ac:dyDescent="0.25">
      <c r="A85" s="246">
        <v>16</v>
      </c>
      <c r="B85" s="352" t="s">
        <v>2939</v>
      </c>
      <c r="C85" s="233" t="s">
        <v>1388</v>
      </c>
      <c r="D85" s="230" t="s">
        <v>160</v>
      </c>
      <c r="E85" s="230" t="s">
        <v>407</v>
      </c>
      <c r="F85" s="230" t="s">
        <v>42</v>
      </c>
      <c r="G85" s="231"/>
      <c r="H85" s="233" t="s">
        <v>40</v>
      </c>
      <c r="I85" s="236">
        <v>500</v>
      </c>
      <c r="J85" s="271" t="s">
        <v>152</v>
      </c>
      <c r="K85" s="224" t="s">
        <v>147</v>
      </c>
      <c r="L85" s="224" t="s">
        <v>41</v>
      </c>
      <c r="N85">
        <f t="shared" si="0"/>
        <v>100</v>
      </c>
    </row>
    <row r="86" spans="1:17" x14ac:dyDescent="0.25">
      <c r="A86" s="246">
        <v>16</v>
      </c>
      <c r="B86" s="352" t="s">
        <v>2941</v>
      </c>
      <c r="C86" s="233" t="s">
        <v>1359</v>
      </c>
      <c r="D86" s="230" t="s">
        <v>160</v>
      </c>
      <c r="E86" s="230" t="s">
        <v>407</v>
      </c>
      <c r="F86" s="230" t="s">
        <v>42</v>
      </c>
      <c r="G86" s="231" t="s">
        <v>2942</v>
      </c>
      <c r="H86" s="230" t="s">
        <v>40</v>
      </c>
      <c r="I86" s="236">
        <v>500</v>
      </c>
      <c r="J86" s="271" t="s">
        <v>152</v>
      </c>
      <c r="K86" s="224" t="s">
        <v>147</v>
      </c>
      <c r="L86" s="224" t="s">
        <v>41</v>
      </c>
      <c r="N86">
        <f t="shared" si="0"/>
        <v>100</v>
      </c>
    </row>
    <row r="87" spans="1:17" x14ac:dyDescent="0.25">
      <c r="A87" s="246">
        <v>16</v>
      </c>
      <c r="B87" s="352" t="s">
        <v>1967</v>
      </c>
      <c r="C87" s="233" t="s">
        <v>2773</v>
      </c>
      <c r="D87" s="230" t="s">
        <v>160</v>
      </c>
      <c r="E87" s="230" t="s">
        <v>2943</v>
      </c>
      <c r="F87" s="230" t="s">
        <v>43</v>
      </c>
      <c r="G87" s="231" t="s">
        <v>2944</v>
      </c>
      <c r="H87" s="233" t="s">
        <v>40</v>
      </c>
      <c r="I87" s="236">
        <v>2000</v>
      </c>
      <c r="J87" s="271">
        <v>400</v>
      </c>
      <c r="K87" s="224" t="s">
        <v>147</v>
      </c>
      <c r="L87" s="224" t="s">
        <v>41</v>
      </c>
      <c r="N87">
        <f t="shared" si="0"/>
        <v>400</v>
      </c>
    </row>
    <row r="88" spans="1:17" x14ac:dyDescent="0.25">
      <c r="A88" s="246">
        <v>16</v>
      </c>
      <c r="B88" s="352" t="s">
        <v>2945</v>
      </c>
      <c r="C88" s="233" t="s">
        <v>2946</v>
      </c>
      <c r="D88" s="230" t="s">
        <v>160</v>
      </c>
      <c r="E88" s="230" t="s">
        <v>305</v>
      </c>
      <c r="F88" s="230" t="s">
        <v>86</v>
      </c>
      <c r="G88" s="231" t="s">
        <v>2947</v>
      </c>
      <c r="H88" s="233" t="s">
        <v>40</v>
      </c>
      <c r="I88" s="236">
        <v>200</v>
      </c>
      <c r="J88" s="271">
        <v>40</v>
      </c>
      <c r="K88" s="224" t="s">
        <v>147</v>
      </c>
      <c r="L88" s="224" t="s">
        <v>41</v>
      </c>
      <c r="N88">
        <f t="shared" si="0"/>
        <v>40</v>
      </c>
    </row>
    <row r="89" spans="1:17" x14ac:dyDescent="0.25">
      <c r="A89" s="246">
        <v>16</v>
      </c>
      <c r="B89" s="352" t="s">
        <v>2948</v>
      </c>
      <c r="C89" s="233" t="s">
        <v>2949</v>
      </c>
      <c r="D89" s="230" t="s">
        <v>160</v>
      </c>
      <c r="E89" s="230" t="s">
        <v>1157</v>
      </c>
      <c r="F89" s="230" t="s">
        <v>43</v>
      </c>
      <c r="G89" s="231"/>
      <c r="H89" s="450" t="s">
        <v>1911</v>
      </c>
      <c r="I89" s="236">
        <v>6</v>
      </c>
      <c r="J89" s="271">
        <v>30</v>
      </c>
      <c r="K89" s="224" t="s">
        <v>147</v>
      </c>
      <c r="L89" s="224" t="s">
        <v>41</v>
      </c>
      <c r="N89">
        <f t="shared" si="0"/>
        <v>1.2</v>
      </c>
    </row>
    <row r="90" spans="1:17" x14ac:dyDescent="0.25">
      <c r="A90" s="246">
        <v>16</v>
      </c>
      <c r="B90" s="352" t="s">
        <v>2950</v>
      </c>
      <c r="C90" s="233" t="s">
        <v>2951</v>
      </c>
      <c r="D90" s="230" t="s">
        <v>160</v>
      </c>
      <c r="E90" s="230" t="s">
        <v>2952</v>
      </c>
      <c r="F90" s="230" t="s">
        <v>60</v>
      </c>
      <c r="G90" s="231"/>
      <c r="H90" s="233" t="s">
        <v>40</v>
      </c>
      <c r="I90" s="236">
        <v>5000</v>
      </c>
      <c r="J90" s="271">
        <v>1000</v>
      </c>
      <c r="K90" s="224" t="s">
        <v>147</v>
      </c>
      <c r="L90" s="224" t="s">
        <v>41</v>
      </c>
      <c r="N90">
        <f t="shared" si="0"/>
        <v>1000</v>
      </c>
    </row>
    <row r="91" spans="1:17" x14ac:dyDescent="0.25">
      <c r="A91" s="246">
        <v>16</v>
      </c>
      <c r="B91" s="352" t="s">
        <v>2953</v>
      </c>
      <c r="C91" s="233" t="s">
        <v>2954</v>
      </c>
      <c r="D91" s="230" t="s">
        <v>160</v>
      </c>
      <c r="E91" s="230" t="s">
        <v>262</v>
      </c>
      <c r="F91" s="230" t="s">
        <v>46</v>
      </c>
      <c r="G91" s="231" t="s">
        <v>2955</v>
      </c>
      <c r="H91" s="233" t="s">
        <v>40</v>
      </c>
      <c r="I91" s="236">
        <v>1000</v>
      </c>
      <c r="J91" s="271">
        <v>200</v>
      </c>
      <c r="K91" s="224" t="s">
        <v>147</v>
      </c>
      <c r="L91" s="224" t="s">
        <v>41</v>
      </c>
      <c r="N91">
        <f t="shared" si="0"/>
        <v>200</v>
      </c>
    </row>
    <row r="92" spans="1:17" x14ac:dyDescent="0.25">
      <c r="A92" s="246">
        <v>16</v>
      </c>
      <c r="B92" s="352" t="s">
        <v>2956</v>
      </c>
      <c r="C92" s="233" t="s">
        <v>2957</v>
      </c>
      <c r="D92" s="230" t="s">
        <v>160</v>
      </c>
      <c r="E92" s="230" t="s">
        <v>618</v>
      </c>
      <c r="F92" s="230" t="s">
        <v>43</v>
      </c>
      <c r="G92" s="231" t="s">
        <v>2958</v>
      </c>
      <c r="H92" s="399" t="s">
        <v>465</v>
      </c>
      <c r="I92" s="236">
        <v>1000</v>
      </c>
      <c r="J92" s="271">
        <v>1000</v>
      </c>
      <c r="K92" s="224" t="s">
        <v>147</v>
      </c>
      <c r="L92" s="224" t="s">
        <v>41</v>
      </c>
      <c r="N92">
        <f t="shared" si="0"/>
        <v>200</v>
      </c>
    </row>
    <row r="93" spans="1:17" x14ac:dyDescent="0.25">
      <c r="A93" s="246">
        <v>16</v>
      </c>
      <c r="B93" s="352" t="s">
        <v>2959</v>
      </c>
      <c r="C93" s="233" t="s">
        <v>1809</v>
      </c>
      <c r="D93" s="230" t="s">
        <v>160</v>
      </c>
      <c r="E93" s="230" t="s">
        <v>334</v>
      </c>
      <c r="F93" s="230" t="s">
        <v>55</v>
      </c>
      <c r="G93" s="231" t="s">
        <v>2960</v>
      </c>
      <c r="H93" s="233" t="s">
        <v>40</v>
      </c>
      <c r="I93" s="236">
        <v>1000</v>
      </c>
      <c r="J93" s="271">
        <v>200</v>
      </c>
      <c r="K93" s="224" t="s">
        <v>147</v>
      </c>
      <c r="L93" s="224" t="s">
        <v>41</v>
      </c>
      <c r="N93">
        <f t="shared" si="0"/>
        <v>200</v>
      </c>
    </row>
    <row r="94" spans="1:17" x14ac:dyDescent="0.25">
      <c r="A94" s="246">
        <v>16</v>
      </c>
      <c r="B94" s="352" t="s">
        <v>2959</v>
      </c>
      <c r="C94" s="233" t="s">
        <v>1809</v>
      </c>
      <c r="D94" s="230" t="s">
        <v>160</v>
      </c>
      <c r="E94" s="230" t="s">
        <v>334</v>
      </c>
      <c r="F94" s="230" t="s">
        <v>55</v>
      </c>
      <c r="G94" s="231" t="s">
        <v>2960</v>
      </c>
      <c r="H94" s="463" t="s">
        <v>377</v>
      </c>
      <c r="I94" s="236">
        <v>500</v>
      </c>
      <c r="J94" s="271">
        <v>100</v>
      </c>
      <c r="K94" s="224" t="s">
        <v>147</v>
      </c>
      <c r="L94" s="224" t="s">
        <v>41</v>
      </c>
      <c r="N94">
        <f t="shared" si="0"/>
        <v>100</v>
      </c>
    </row>
    <row r="95" spans="1:17" x14ac:dyDescent="0.25">
      <c r="A95" s="246">
        <v>16</v>
      </c>
      <c r="B95" s="352" t="s">
        <v>2344</v>
      </c>
      <c r="C95" s="233" t="s">
        <v>2074</v>
      </c>
      <c r="D95" s="283" t="s">
        <v>163</v>
      </c>
      <c r="E95" s="230" t="s">
        <v>2169</v>
      </c>
      <c r="F95" s="230" t="s">
        <v>43</v>
      </c>
      <c r="G95" s="231"/>
      <c r="H95" s="233" t="s">
        <v>40</v>
      </c>
      <c r="I95" s="236">
        <v>1500</v>
      </c>
      <c r="J95" s="271">
        <v>300</v>
      </c>
      <c r="K95" s="224" t="s">
        <v>147</v>
      </c>
      <c r="L95" s="224" t="s">
        <v>41</v>
      </c>
      <c r="N95">
        <f t="shared" si="0"/>
        <v>300</v>
      </c>
    </row>
    <row r="96" spans="1:17" x14ac:dyDescent="0.25">
      <c r="A96" s="246">
        <v>16</v>
      </c>
      <c r="B96" s="352" t="s">
        <v>2344</v>
      </c>
      <c r="C96" s="233" t="s">
        <v>2074</v>
      </c>
      <c r="D96" s="283" t="s">
        <v>163</v>
      </c>
      <c r="E96" s="230" t="s">
        <v>2169</v>
      </c>
      <c r="F96" s="230" t="s">
        <v>43</v>
      </c>
      <c r="G96" s="231"/>
      <c r="H96" s="399" t="s">
        <v>465</v>
      </c>
      <c r="I96" s="236">
        <v>200</v>
      </c>
      <c r="J96" s="271">
        <v>200</v>
      </c>
      <c r="K96" s="224" t="s">
        <v>147</v>
      </c>
      <c r="L96" s="224" t="s">
        <v>41</v>
      </c>
      <c r="N96">
        <f t="shared" si="0"/>
        <v>40</v>
      </c>
      <c r="Q96" s="69"/>
    </row>
    <row r="97" spans="1:17" x14ac:dyDescent="0.25">
      <c r="A97" s="246">
        <v>16</v>
      </c>
      <c r="B97" s="352" t="s">
        <v>2953</v>
      </c>
      <c r="C97" s="233" t="s">
        <v>2961</v>
      </c>
      <c r="D97" s="230" t="s">
        <v>160</v>
      </c>
      <c r="E97" s="230" t="s">
        <v>262</v>
      </c>
      <c r="F97" s="230" t="s">
        <v>46</v>
      </c>
      <c r="G97" s="231"/>
      <c r="H97" s="233" t="s">
        <v>40</v>
      </c>
      <c r="I97" s="236">
        <v>1000</v>
      </c>
      <c r="J97" s="271">
        <v>200</v>
      </c>
      <c r="K97" s="224" t="s">
        <v>147</v>
      </c>
      <c r="L97" s="224" t="s">
        <v>41</v>
      </c>
      <c r="N97">
        <f t="shared" si="0"/>
        <v>200</v>
      </c>
    </row>
    <row r="98" spans="1:17" x14ac:dyDescent="0.25">
      <c r="A98" s="246">
        <v>16</v>
      </c>
      <c r="B98" s="352" t="s">
        <v>2962</v>
      </c>
      <c r="C98" s="233" t="s">
        <v>2963</v>
      </c>
      <c r="D98" s="230" t="s">
        <v>160</v>
      </c>
      <c r="E98" s="230" t="s">
        <v>194</v>
      </c>
      <c r="F98" s="230" t="s">
        <v>43</v>
      </c>
      <c r="G98" s="231" t="s">
        <v>2964</v>
      </c>
      <c r="H98" s="233" t="s">
        <v>40</v>
      </c>
      <c r="I98" s="236">
        <v>3000</v>
      </c>
      <c r="J98" s="271">
        <v>600</v>
      </c>
      <c r="K98" s="224" t="s">
        <v>147</v>
      </c>
      <c r="L98" s="224" t="s">
        <v>41</v>
      </c>
      <c r="N98">
        <f t="shared" si="0"/>
        <v>600</v>
      </c>
    </row>
    <row r="99" spans="1:17" x14ac:dyDescent="0.25">
      <c r="A99" s="246">
        <v>16</v>
      </c>
      <c r="B99" s="352" t="s">
        <v>2965</v>
      </c>
      <c r="C99" s="233" t="s">
        <v>2966</v>
      </c>
      <c r="D99" s="230" t="s">
        <v>160</v>
      </c>
      <c r="E99" s="230" t="s">
        <v>754</v>
      </c>
      <c r="F99" s="230" t="s">
        <v>42</v>
      </c>
      <c r="G99" s="231" t="s">
        <v>2967</v>
      </c>
      <c r="H99" s="230" t="s">
        <v>40</v>
      </c>
      <c r="I99" s="236">
        <v>4000</v>
      </c>
      <c r="J99" s="271">
        <v>800</v>
      </c>
      <c r="K99" s="224" t="s">
        <v>147</v>
      </c>
      <c r="L99" s="224" t="s">
        <v>41</v>
      </c>
      <c r="N99">
        <f t="shared" si="0"/>
        <v>800</v>
      </c>
    </row>
    <row r="100" spans="1:17" x14ac:dyDescent="0.25">
      <c r="A100" s="246">
        <v>16</v>
      </c>
      <c r="B100" s="352" t="s">
        <v>2965</v>
      </c>
      <c r="C100" s="233" t="s">
        <v>2966</v>
      </c>
      <c r="D100" s="230" t="s">
        <v>160</v>
      </c>
      <c r="E100" s="230" t="s">
        <v>754</v>
      </c>
      <c r="F100" s="230" t="s">
        <v>42</v>
      </c>
      <c r="G100" s="231" t="s">
        <v>2967</v>
      </c>
      <c r="H100" s="399" t="s">
        <v>465</v>
      </c>
      <c r="I100" s="236">
        <v>50</v>
      </c>
      <c r="J100" s="271">
        <v>50</v>
      </c>
      <c r="K100" s="224" t="s">
        <v>147</v>
      </c>
      <c r="L100" s="224" t="s">
        <v>41</v>
      </c>
      <c r="N100">
        <f t="shared" si="0"/>
        <v>10</v>
      </c>
    </row>
    <row r="101" spans="1:17" x14ac:dyDescent="0.25">
      <c r="A101" s="246">
        <v>16</v>
      </c>
      <c r="B101" s="352" t="s">
        <v>2968</v>
      </c>
      <c r="C101" s="233" t="s">
        <v>1726</v>
      </c>
      <c r="D101" s="230" t="s">
        <v>160</v>
      </c>
      <c r="E101" s="230" t="s">
        <v>1623</v>
      </c>
      <c r="F101" s="230" t="s">
        <v>64</v>
      </c>
      <c r="G101" s="231" t="s">
        <v>2969</v>
      </c>
      <c r="H101" s="233" t="s">
        <v>40</v>
      </c>
      <c r="I101" s="236">
        <v>3000</v>
      </c>
      <c r="J101" s="271">
        <v>600</v>
      </c>
      <c r="K101" s="224" t="s">
        <v>147</v>
      </c>
      <c r="L101" s="224" t="s">
        <v>41</v>
      </c>
      <c r="N101">
        <f t="shared" si="0"/>
        <v>600</v>
      </c>
    </row>
    <row r="102" spans="1:17" x14ac:dyDescent="0.25">
      <c r="A102" s="246">
        <v>16</v>
      </c>
      <c r="B102" s="352" t="s">
        <v>1748</v>
      </c>
      <c r="C102" s="233" t="s">
        <v>1749</v>
      </c>
      <c r="D102" s="230" t="s">
        <v>160</v>
      </c>
      <c r="E102" s="230" t="s">
        <v>180</v>
      </c>
      <c r="F102" s="230" t="s">
        <v>76</v>
      </c>
      <c r="G102" s="231" t="s">
        <v>1750</v>
      </c>
      <c r="H102" s="233" t="s">
        <v>40</v>
      </c>
      <c r="I102" s="236">
        <v>7000</v>
      </c>
      <c r="J102" s="271">
        <v>1400</v>
      </c>
      <c r="K102" s="224" t="s">
        <v>147</v>
      </c>
      <c r="L102" s="224" t="s">
        <v>41</v>
      </c>
      <c r="N102">
        <f t="shared" si="0"/>
        <v>1400</v>
      </c>
    </row>
    <row r="103" spans="1:17" x14ac:dyDescent="0.25">
      <c r="A103" s="246">
        <v>16</v>
      </c>
      <c r="B103" s="352" t="s">
        <v>2970</v>
      </c>
      <c r="C103" s="233" t="s">
        <v>2971</v>
      </c>
      <c r="D103" s="230" t="s">
        <v>160</v>
      </c>
      <c r="E103" s="230" t="s">
        <v>2972</v>
      </c>
      <c r="F103" s="230" t="s">
        <v>60</v>
      </c>
      <c r="G103" s="231" t="s">
        <v>2973</v>
      </c>
      <c r="H103" s="233" t="s">
        <v>40</v>
      </c>
      <c r="I103" s="236">
        <v>1000</v>
      </c>
      <c r="J103" s="271">
        <v>200</v>
      </c>
      <c r="K103" s="224" t="s">
        <v>147</v>
      </c>
      <c r="L103" s="224" t="s">
        <v>41</v>
      </c>
      <c r="N103">
        <f t="shared" si="0"/>
        <v>200</v>
      </c>
    </row>
    <row r="104" spans="1:17" x14ac:dyDescent="0.25">
      <c r="A104" s="246">
        <v>16</v>
      </c>
      <c r="B104" s="352" t="s">
        <v>2974</v>
      </c>
      <c r="C104" s="233" t="s">
        <v>1892</v>
      </c>
      <c r="D104" s="230" t="s">
        <v>160</v>
      </c>
      <c r="E104" s="230" t="s">
        <v>169</v>
      </c>
      <c r="F104" s="230" t="s">
        <v>45</v>
      </c>
      <c r="G104" s="231" t="s">
        <v>2975</v>
      </c>
      <c r="H104" s="233" t="s">
        <v>40</v>
      </c>
      <c r="I104" s="236">
        <v>1500</v>
      </c>
      <c r="J104" s="271">
        <v>300</v>
      </c>
      <c r="K104" s="224" t="s">
        <v>147</v>
      </c>
      <c r="L104" s="224" t="s">
        <v>41</v>
      </c>
      <c r="N104">
        <f t="shared" si="0"/>
        <v>300</v>
      </c>
    </row>
    <row r="105" spans="1:17" x14ac:dyDescent="0.25">
      <c r="A105" s="246">
        <v>16</v>
      </c>
      <c r="B105" s="352" t="s">
        <v>2976</v>
      </c>
      <c r="C105" s="233" t="s">
        <v>2977</v>
      </c>
      <c r="D105" s="283" t="s">
        <v>163</v>
      </c>
      <c r="E105" s="230" t="s">
        <v>2169</v>
      </c>
      <c r="F105" s="230" t="s">
        <v>43</v>
      </c>
      <c r="G105" s="231"/>
      <c r="H105" s="233" t="s">
        <v>40</v>
      </c>
      <c r="I105" s="236">
        <v>1000</v>
      </c>
      <c r="J105" s="271">
        <v>200</v>
      </c>
      <c r="K105" s="224" t="s">
        <v>147</v>
      </c>
      <c r="L105" s="224" t="s">
        <v>41</v>
      </c>
      <c r="N105">
        <f t="shared" si="0"/>
        <v>200</v>
      </c>
    </row>
    <row r="106" spans="1:17" x14ac:dyDescent="0.25">
      <c r="A106" s="246">
        <v>17</v>
      </c>
      <c r="B106" s="352" t="s">
        <v>1925</v>
      </c>
      <c r="C106" s="233" t="s">
        <v>1669</v>
      </c>
      <c r="D106" s="230" t="s">
        <v>160</v>
      </c>
      <c r="E106" s="230" t="s">
        <v>189</v>
      </c>
      <c r="F106" s="230" t="s">
        <v>43</v>
      </c>
      <c r="G106" s="231" t="s">
        <v>2978</v>
      </c>
      <c r="H106" s="230" t="s">
        <v>40</v>
      </c>
      <c r="I106" s="236">
        <v>500</v>
      </c>
      <c r="J106" s="271">
        <v>100</v>
      </c>
      <c r="K106" s="224" t="s">
        <v>147</v>
      </c>
      <c r="L106" s="224" t="s">
        <v>41</v>
      </c>
      <c r="N106">
        <f t="shared" si="0"/>
        <v>100</v>
      </c>
    </row>
    <row r="107" spans="1:17" x14ac:dyDescent="0.25">
      <c r="A107" s="246">
        <v>17</v>
      </c>
      <c r="B107" s="352" t="s">
        <v>2979</v>
      </c>
      <c r="C107" s="233" t="s">
        <v>2980</v>
      </c>
      <c r="D107" s="230" t="s">
        <v>160</v>
      </c>
      <c r="E107" s="230" t="s">
        <v>814</v>
      </c>
      <c r="F107" s="230" t="s">
        <v>47</v>
      </c>
      <c r="G107" s="231"/>
      <c r="H107" s="230" t="s">
        <v>40</v>
      </c>
      <c r="I107" s="236">
        <v>4000</v>
      </c>
      <c r="J107" s="271">
        <v>800</v>
      </c>
      <c r="K107" s="224" t="s">
        <v>147</v>
      </c>
      <c r="L107" s="224" t="s">
        <v>41</v>
      </c>
      <c r="N107">
        <f t="shared" si="0"/>
        <v>800</v>
      </c>
    </row>
    <row r="108" spans="1:17" x14ac:dyDescent="0.25">
      <c r="A108" s="246">
        <v>17</v>
      </c>
      <c r="B108" s="352" t="s">
        <v>2979</v>
      </c>
      <c r="C108" s="233" t="s">
        <v>2980</v>
      </c>
      <c r="D108" s="230" t="s">
        <v>160</v>
      </c>
      <c r="E108" s="230" t="s">
        <v>814</v>
      </c>
      <c r="F108" s="230" t="s">
        <v>47</v>
      </c>
      <c r="G108" s="231"/>
      <c r="H108" s="354" t="s">
        <v>1420</v>
      </c>
      <c r="I108" s="236">
        <v>200</v>
      </c>
      <c r="J108" s="271">
        <v>100</v>
      </c>
      <c r="K108" s="224" t="s">
        <v>147</v>
      </c>
      <c r="L108" s="224" t="s">
        <v>41</v>
      </c>
      <c r="N108">
        <f t="shared" si="0"/>
        <v>40</v>
      </c>
      <c r="Q108" s="69"/>
    </row>
    <row r="109" spans="1:17" x14ac:dyDescent="0.25">
      <c r="A109" s="246">
        <v>17</v>
      </c>
      <c r="B109" s="352" t="s">
        <v>2981</v>
      </c>
      <c r="C109" s="233" t="s">
        <v>2982</v>
      </c>
      <c r="D109" s="283" t="s">
        <v>163</v>
      </c>
      <c r="E109" s="230" t="s">
        <v>1005</v>
      </c>
      <c r="F109" s="230" t="s">
        <v>45</v>
      </c>
      <c r="G109" s="231" t="s">
        <v>2983</v>
      </c>
      <c r="H109" s="233" t="s">
        <v>40</v>
      </c>
      <c r="I109" s="236">
        <v>3000</v>
      </c>
      <c r="J109" s="271">
        <v>600</v>
      </c>
      <c r="K109" s="224" t="s">
        <v>147</v>
      </c>
      <c r="L109" s="224" t="s">
        <v>41</v>
      </c>
      <c r="N109">
        <f t="shared" si="0"/>
        <v>600</v>
      </c>
    </row>
    <row r="110" spans="1:17" x14ac:dyDescent="0.25">
      <c r="A110" s="246">
        <v>17</v>
      </c>
      <c r="B110" s="352" t="s">
        <v>2540</v>
      </c>
      <c r="C110" s="233" t="s">
        <v>2984</v>
      </c>
      <c r="D110" s="230" t="s">
        <v>160</v>
      </c>
      <c r="E110" s="230" t="s">
        <v>287</v>
      </c>
      <c r="F110" s="230" t="s">
        <v>47</v>
      </c>
      <c r="G110" s="231" t="s">
        <v>2985</v>
      </c>
      <c r="H110" s="230" t="s">
        <v>40</v>
      </c>
      <c r="I110" s="236">
        <v>500</v>
      </c>
      <c r="J110" s="271">
        <v>100</v>
      </c>
      <c r="K110" s="224" t="s">
        <v>147</v>
      </c>
      <c r="L110" s="224" t="s">
        <v>41</v>
      </c>
      <c r="N110">
        <f t="shared" si="0"/>
        <v>100</v>
      </c>
    </row>
    <row r="111" spans="1:17" x14ac:dyDescent="0.25">
      <c r="A111" s="246">
        <v>18</v>
      </c>
      <c r="B111" s="352" t="s">
        <v>1925</v>
      </c>
      <c r="C111" s="233" t="s">
        <v>2988</v>
      </c>
      <c r="D111" s="230" t="s">
        <v>160</v>
      </c>
      <c r="E111" s="230" t="s">
        <v>1792</v>
      </c>
      <c r="F111" s="230" t="s">
        <v>42</v>
      </c>
      <c r="G111" s="231" t="s">
        <v>2989</v>
      </c>
      <c r="H111" s="233" t="s">
        <v>40</v>
      </c>
      <c r="I111" s="236">
        <v>3000</v>
      </c>
      <c r="J111" s="271">
        <v>600</v>
      </c>
      <c r="K111" s="224" t="s">
        <v>147</v>
      </c>
      <c r="L111" s="224" t="s">
        <v>41</v>
      </c>
      <c r="N111">
        <f t="shared" si="0"/>
        <v>600</v>
      </c>
    </row>
    <row r="112" spans="1:17" x14ac:dyDescent="0.25">
      <c r="A112" s="246">
        <v>18</v>
      </c>
      <c r="B112" s="352" t="s">
        <v>2990</v>
      </c>
      <c r="C112" s="233" t="s">
        <v>2812</v>
      </c>
      <c r="D112" s="230" t="s">
        <v>160</v>
      </c>
      <c r="E112" s="230" t="s">
        <v>2991</v>
      </c>
      <c r="F112" s="230" t="s">
        <v>44</v>
      </c>
      <c r="G112" s="231" t="s">
        <v>2992</v>
      </c>
      <c r="H112" s="233" t="s">
        <v>40</v>
      </c>
      <c r="I112" s="236">
        <v>4200</v>
      </c>
      <c r="J112" s="271">
        <v>840</v>
      </c>
      <c r="K112" s="224" t="s">
        <v>147</v>
      </c>
      <c r="L112" s="224" t="s">
        <v>41</v>
      </c>
      <c r="N112">
        <f t="shared" si="0"/>
        <v>840</v>
      </c>
    </row>
    <row r="113" spans="1:14" x14ac:dyDescent="0.25">
      <c r="A113" s="246">
        <v>18</v>
      </c>
      <c r="B113" s="352" t="s">
        <v>2993</v>
      </c>
      <c r="C113" s="233" t="s">
        <v>2994</v>
      </c>
      <c r="D113" s="283" t="s">
        <v>163</v>
      </c>
      <c r="E113" s="230" t="s">
        <v>287</v>
      </c>
      <c r="F113" s="230" t="s">
        <v>47</v>
      </c>
      <c r="G113" s="231"/>
      <c r="H113" s="233" t="s">
        <v>40</v>
      </c>
      <c r="I113" s="236">
        <v>600</v>
      </c>
      <c r="J113" s="271">
        <v>120</v>
      </c>
      <c r="K113" s="224" t="s">
        <v>147</v>
      </c>
      <c r="L113" s="224" t="s">
        <v>41</v>
      </c>
      <c r="N113">
        <f t="shared" si="0"/>
        <v>120</v>
      </c>
    </row>
    <row r="114" spans="1:14" x14ac:dyDescent="0.25">
      <c r="A114" s="246">
        <v>18</v>
      </c>
      <c r="B114" s="352" t="s">
        <v>2803</v>
      </c>
      <c r="C114" s="233" t="s">
        <v>2995</v>
      </c>
      <c r="D114" s="230" t="s">
        <v>160</v>
      </c>
      <c r="E114" s="230" t="s">
        <v>2996</v>
      </c>
      <c r="F114" s="230" t="s">
        <v>45</v>
      </c>
      <c r="G114" s="231" t="s">
        <v>2997</v>
      </c>
      <c r="H114" s="233" t="s">
        <v>40</v>
      </c>
      <c r="I114" s="236">
        <v>2000</v>
      </c>
      <c r="J114" s="271">
        <v>400</v>
      </c>
      <c r="K114" s="224" t="s">
        <v>147</v>
      </c>
      <c r="L114" s="224" t="s">
        <v>41</v>
      </c>
      <c r="N114">
        <f t="shared" si="0"/>
        <v>400</v>
      </c>
    </row>
    <row r="115" spans="1:14" x14ac:dyDescent="0.25">
      <c r="A115" s="246">
        <v>18</v>
      </c>
      <c r="B115" s="352" t="s">
        <v>2998</v>
      </c>
      <c r="C115" s="233" t="s">
        <v>2999</v>
      </c>
      <c r="D115" s="230" t="s">
        <v>160</v>
      </c>
      <c r="E115" s="230" t="s">
        <v>358</v>
      </c>
      <c r="F115" s="230" t="s">
        <v>43</v>
      </c>
      <c r="G115" s="231" t="s">
        <v>3000</v>
      </c>
      <c r="H115" s="233" t="s">
        <v>40</v>
      </c>
      <c r="I115" s="236">
        <v>200</v>
      </c>
      <c r="J115" s="271">
        <v>40</v>
      </c>
      <c r="K115" s="224" t="s">
        <v>147</v>
      </c>
      <c r="L115" s="224" t="s">
        <v>41</v>
      </c>
      <c r="N115">
        <f t="shared" si="0"/>
        <v>40</v>
      </c>
    </row>
    <row r="116" spans="1:14" x14ac:dyDescent="0.25">
      <c r="A116" s="246">
        <v>18</v>
      </c>
      <c r="B116" s="352" t="s">
        <v>3001</v>
      </c>
      <c r="C116" s="233" t="s">
        <v>3002</v>
      </c>
      <c r="D116" s="230" t="s">
        <v>160</v>
      </c>
      <c r="E116" s="230" t="s">
        <v>2160</v>
      </c>
      <c r="F116" s="230" t="s">
        <v>54</v>
      </c>
      <c r="G116" s="231" t="s">
        <v>3003</v>
      </c>
      <c r="H116" s="233" t="s">
        <v>40</v>
      </c>
      <c r="I116" s="236">
        <v>1000</v>
      </c>
      <c r="J116" s="271">
        <v>200</v>
      </c>
      <c r="K116" s="224" t="s">
        <v>147</v>
      </c>
      <c r="L116" s="224" t="s">
        <v>41</v>
      </c>
      <c r="N116">
        <f t="shared" si="0"/>
        <v>200</v>
      </c>
    </row>
    <row r="117" spans="1:14" x14ac:dyDescent="0.25">
      <c r="A117" s="246">
        <v>18</v>
      </c>
      <c r="B117" s="352" t="s">
        <v>3004</v>
      </c>
      <c r="C117" s="233" t="s">
        <v>3005</v>
      </c>
      <c r="D117" s="230" t="s">
        <v>160</v>
      </c>
      <c r="E117" s="230" t="s">
        <v>3006</v>
      </c>
      <c r="F117" s="230" t="s">
        <v>50</v>
      </c>
      <c r="G117" s="231" t="s">
        <v>3007</v>
      </c>
      <c r="H117" s="463" t="s">
        <v>377</v>
      </c>
      <c r="I117" s="464">
        <v>1700</v>
      </c>
      <c r="J117" s="236">
        <v>340</v>
      </c>
      <c r="K117" s="224" t="s">
        <v>147</v>
      </c>
      <c r="L117" s="224" t="s">
        <v>41</v>
      </c>
      <c r="N117">
        <f t="shared" si="0"/>
        <v>340</v>
      </c>
    </row>
    <row r="118" spans="1:14" x14ac:dyDescent="0.25">
      <c r="A118" s="246">
        <v>18</v>
      </c>
      <c r="B118" s="352" t="s">
        <v>2362</v>
      </c>
      <c r="C118" s="233" t="s">
        <v>3008</v>
      </c>
      <c r="D118" s="283" t="s">
        <v>163</v>
      </c>
      <c r="E118" s="230" t="s">
        <v>2169</v>
      </c>
      <c r="F118" s="230" t="s">
        <v>43</v>
      </c>
      <c r="G118" s="231" t="s">
        <v>3009</v>
      </c>
      <c r="H118" s="230" t="s">
        <v>40</v>
      </c>
      <c r="I118" s="236">
        <v>1200</v>
      </c>
      <c r="J118" s="271">
        <v>240</v>
      </c>
      <c r="K118" s="224" t="s">
        <v>147</v>
      </c>
      <c r="L118" s="224" t="s">
        <v>41</v>
      </c>
      <c r="N118">
        <f t="shared" si="0"/>
        <v>240</v>
      </c>
    </row>
    <row r="119" spans="1:14" x14ac:dyDescent="0.25">
      <c r="A119" s="246">
        <v>18</v>
      </c>
      <c r="B119" s="352" t="s">
        <v>3010</v>
      </c>
      <c r="C119" s="233" t="s">
        <v>1005</v>
      </c>
      <c r="D119" s="283" t="s">
        <v>163</v>
      </c>
      <c r="E119" s="230" t="s">
        <v>1173</v>
      </c>
      <c r="F119" s="230" t="s">
        <v>56</v>
      </c>
      <c r="G119" s="231" t="s">
        <v>3011</v>
      </c>
      <c r="H119" s="233" t="s">
        <v>40</v>
      </c>
      <c r="I119" s="236">
        <v>2000</v>
      </c>
      <c r="J119" s="271">
        <v>400</v>
      </c>
      <c r="K119" s="224" t="s">
        <v>147</v>
      </c>
      <c r="L119" s="224" t="s">
        <v>41</v>
      </c>
      <c r="N119">
        <f t="shared" si="0"/>
        <v>400</v>
      </c>
    </row>
    <row r="120" spans="1:14" x14ac:dyDescent="0.25">
      <c r="A120" s="246">
        <v>18</v>
      </c>
      <c r="B120" s="352" t="s">
        <v>3012</v>
      </c>
      <c r="C120" s="233" t="s">
        <v>3013</v>
      </c>
      <c r="D120" s="283" t="s">
        <v>163</v>
      </c>
      <c r="E120" s="230" t="s">
        <v>1151</v>
      </c>
      <c r="F120" s="230" t="s">
        <v>49</v>
      </c>
      <c r="G120" s="231" t="s">
        <v>3014</v>
      </c>
      <c r="H120" s="230" t="s">
        <v>40</v>
      </c>
      <c r="I120" s="236">
        <v>2000</v>
      </c>
      <c r="J120" s="271">
        <v>400</v>
      </c>
      <c r="K120" s="224" t="s">
        <v>147</v>
      </c>
      <c r="L120" s="224" t="s">
        <v>41</v>
      </c>
      <c r="N120">
        <f t="shared" si="0"/>
        <v>400</v>
      </c>
    </row>
    <row r="121" spans="1:14" x14ac:dyDescent="0.25">
      <c r="A121" s="246">
        <v>18</v>
      </c>
      <c r="B121" s="352" t="s">
        <v>3012</v>
      </c>
      <c r="C121" s="233" t="s">
        <v>3013</v>
      </c>
      <c r="D121" s="283" t="s">
        <v>163</v>
      </c>
      <c r="E121" s="230" t="s">
        <v>1151</v>
      </c>
      <c r="F121" s="230" t="s">
        <v>49</v>
      </c>
      <c r="G121" s="231" t="s">
        <v>3014</v>
      </c>
      <c r="H121" s="450" t="s">
        <v>1911</v>
      </c>
      <c r="I121" s="236">
        <v>10</v>
      </c>
      <c r="J121" s="271">
        <v>50</v>
      </c>
      <c r="K121" s="224" t="s">
        <v>147</v>
      </c>
      <c r="L121" s="224" t="s">
        <v>41</v>
      </c>
      <c r="N121">
        <f t="shared" si="0"/>
        <v>2</v>
      </c>
    </row>
    <row r="122" spans="1:14" x14ac:dyDescent="0.25">
      <c r="A122" s="246">
        <v>18</v>
      </c>
      <c r="B122" s="352" t="s">
        <v>1303</v>
      </c>
      <c r="C122" s="233" t="s">
        <v>1646</v>
      </c>
      <c r="D122" s="230" t="s">
        <v>160</v>
      </c>
      <c r="E122" s="230" t="s">
        <v>194</v>
      </c>
      <c r="F122" s="230" t="s">
        <v>43</v>
      </c>
      <c r="G122" s="231" t="s">
        <v>3015</v>
      </c>
      <c r="H122" s="230" t="s">
        <v>40</v>
      </c>
      <c r="I122" s="236">
        <v>5000</v>
      </c>
      <c r="J122" s="271">
        <v>1000</v>
      </c>
      <c r="K122" s="224" t="s">
        <v>147</v>
      </c>
      <c r="L122" s="224" t="s">
        <v>41</v>
      </c>
      <c r="N122">
        <f t="shared" si="0"/>
        <v>1000</v>
      </c>
    </row>
    <row r="123" spans="1:14" x14ac:dyDescent="0.25">
      <c r="A123" s="246">
        <v>18</v>
      </c>
      <c r="B123" s="352" t="s">
        <v>1303</v>
      </c>
      <c r="C123" s="233" t="s">
        <v>1646</v>
      </c>
      <c r="D123" s="230" t="s">
        <v>160</v>
      </c>
      <c r="E123" s="230" t="s">
        <v>194</v>
      </c>
      <c r="F123" s="230" t="s">
        <v>43</v>
      </c>
      <c r="G123" s="231" t="s">
        <v>3015</v>
      </c>
      <c r="H123" s="450" t="s">
        <v>1911</v>
      </c>
      <c r="I123" s="236">
        <v>10</v>
      </c>
      <c r="J123" s="271">
        <v>50</v>
      </c>
      <c r="K123" s="224" t="s">
        <v>147</v>
      </c>
      <c r="L123" s="224" t="s">
        <v>41</v>
      </c>
      <c r="N123">
        <f t="shared" si="0"/>
        <v>2</v>
      </c>
    </row>
    <row r="124" spans="1:14" x14ac:dyDescent="0.25">
      <c r="A124" s="246">
        <v>18</v>
      </c>
      <c r="B124" s="352" t="s">
        <v>3016</v>
      </c>
      <c r="C124" s="233" t="s">
        <v>1379</v>
      </c>
      <c r="D124" s="230" t="s">
        <v>160</v>
      </c>
      <c r="E124" s="230" t="s">
        <v>290</v>
      </c>
      <c r="F124" s="230" t="s">
        <v>49</v>
      </c>
      <c r="G124" s="231" t="s">
        <v>3017</v>
      </c>
      <c r="H124" s="230" t="s">
        <v>40</v>
      </c>
      <c r="I124" s="236">
        <v>5000</v>
      </c>
      <c r="J124" s="271">
        <v>1000</v>
      </c>
      <c r="K124" s="224" t="s">
        <v>147</v>
      </c>
      <c r="L124" s="224" t="s">
        <v>41</v>
      </c>
      <c r="N124">
        <f t="shared" si="0"/>
        <v>1000</v>
      </c>
    </row>
    <row r="125" spans="1:14" x14ac:dyDescent="0.25">
      <c r="A125" s="246">
        <v>18</v>
      </c>
      <c r="B125" s="352" t="s">
        <v>3016</v>
      </c>
      <c r="C125" s="233" t="s">
        <v>1379</v>
      </c>
      <c r="D125" s="230" t="s">
        <v>160</v>
      </c>
      <c r="E125" s="230" t="s">
        <v>290</v>
      </c>
      <c r="F125" s="230" t="s">
        <v>49</v>
      </c>
      <c r="G125" s="231" t="s">
        <v>3017</v>
      </c>
      <c r="H125" s="450" t="s">
        <v>1911</v>
      </c>
      <c r="I125" s="236">
        <v>10</v>
      </c>
      <c r="J125" s="271">
        <v>50</v>
      </c>
      <c r="K125" s="224" t="s">
        <v>147</v>
      </c>
      <c r="L125" s="224" t="s">
        <v>41</v>
      </c>
      <c r="N125">
        <f t="shared" si="0"/>
        <v>2</v>
      </c>
    </row>
    <row r="126" spans="1:14" x14ac:dyDescent="0.25">
      <c r="A126" s="246">
        <v>18</v>
      </c>
      <c r="B126" s="352" t="s">
        <v>3018</v>
      </c>
      <c r="C126" s="233" t="s">
        <v>3019</v>
      </c>
      <c r="D126" s="230" t="s">
        <v>160</v>
      </c>
      <c r="E126" s="230" t="s">
        <v>2147</v>
      </c>
      <c r="F126" s="230" t="s">
        <v>42</v>
      </c>
      <c r="G126" s="231" t="s">
        <v>3020</v>
      </c>
      <c r="H126" s="233" t="s">
        <v>40</v>
      </c>
      <c r="I126" s="236">
        <v>5000</v>
      </c>
      <c r="J126" s="271">
        <v>1000</v>
      </c>
      <c r="K126" s="224" t="s">
        <v>147</v>
      </c>
      <c r="L126" s="224" t="s">
        <v>41</v>
      </c>
      <c r="N126">
        <f t="shared" si="0"/>
        <v>1000</v>
      </c>
    </row>
    <row r="127" spans="1:14" x14ac:dyDescent="0.25">
      <c r="A127" s="246">
        <v>18</v>
      </c>
      <c r="B127" s="352" t="s">
        <v>3021</v>
      </c>
      <c r="C127" s="233" t="s">
        <v>3022</v>
      </c>
      <c r="D127" s="230" t="s">
        <v>160</v>
      </c>
      <c r="E127" s="230" t="s">
        <v>3023</v>
      </c>
      <c r="F127" s="230" t="s">
        <v>48</v>
      </c>
      <c r="G127" s="231" t="s">
        <v>3024</v>
      </c>
      <c r="H127" s="230" t="s">
        <v>40</v>
      </c>
      <c r="I127" s="236">
        <v>300</v>
      </c>
      <c r="J127" s="271">
        <v>60</v>
      </c>
      <c r="K127" s="224" t="s">
        <v>147</v>
      </c>
      <c r="L127" s="224" t="s">
        <v>41</v>
      </c>
      <c r="N127">
        <f t="shared" si="0"/>
        <v>60</v>
      </c>
    </row>
    <row r="128" spans="1:14" x14ac:dyDescent="0.25">
      <c r="A128" s="246">
        <v>18</v>
      </c>
      <c r="B128" s="352" t="s">
        <v>2823</v>
      </c>
      <c r="C128" s="233" t="s">
        <v>3025</v>
      </c>
      <c r="D128" s="230" t="s">
        <v>160</v>
      </c>
      <c r="E128" s="230" t="s">
        <v>375</v>
      </c>
      <c r="F128" s="230" t="s">
        <v>43</v>
      </c>
      <c r="G128" s="231" t="s">
        <v>3026</v>
      </c>
      <c r="H128" s="230" t="s">
        <v>40</v>
      </c>
      <c r="I128" s="236">
        <v>2000</v>
      </c>
      <c r="J128" s="271">
        <v>400</v>
      </c>
      <c r="K128" s="224" t="s">
        <v>147</v>
      </c>
      <c r="L128" s="224" t="s">
        <v>41</v>
      </c>
      <c r="N128">
        <f t="shared" si="0"/>
        <v>400</v>
      </c>
    </row>
    <row r="129" spans="1:14" x14ac:dyDescent="0.25">
      <c r="A129" s="246">
        <v>18</v>
      </c>
      <c r="B129" s="352" t="s">
        <v>3027</v>
      </c>
      <c r="C129" s="233" t="s">
        <v>1947</v>
      </c>
      <c r="D129" s="230" t="s">
        <v>160</v>
      </c>
      <c r="E129" s="230"/>
      <c r="F129" s="230" t="s">
        <v>57</v>
      </c>
      <c r="G129" s="231" t="s">
        <v>3028</v>
      </c>
      <c r="H129" s="233" t="s">
        <v>40</v>
      </c>
      <c r="I129" s="236">
        <v>10000</v>
      </c>
      <c r="J129" s="271">
        <v>2000</v>
      </c>
      <c r="K129" s="224" t="s">
        <v>147</v>
      </c>
      <c r="L129" s="224" t="s">
        <v>41</v>
      </c>
      <c r="N129">
        <f t="shared" si="0"/>
        <v>2000</v>
      </c>
    </row>
    <row r="130" spans="1:14" x14ac:dyDescent="0.25">
      <c r="A130" s="246">
        <v>19</v>
      </c>
      <c r="B130" s="352" t="s">
        <v>3029</v>
      </c>
      <c r="C130" s="233" t="s">
        <v>3030</v>
      </c>
      <c r="D130" s="230" t="s">
        <v>160</v>
      </c>
      <c r="E130" s="230" t="s">
        <v>441</v>
      </c>
      <c r="F130" s="230" t="s">
        <v>64</v>
      </c>
      <c r="G130" s="231" t="s">
        <v>3031</v>
      </c>
      <c r="H130" s="233" t="s">
        <v>40</v>
      </c>
      <c r="I130" s="236">
        <v>20000</v>
      </c>
      <c r="J130" s="271">
        <v>4000</v>
      </c>
      <c r="K130" s="224" t="s">
        <v>147</v>
      </c>
      <c r="L130" s="224" t="s">
        <v>41</v>
      </c>
      <c r="N130">
        <f t="shared" si="0"/>
        <v>4000</v>
      </c>
    </row>
    <row r="131" spans="1:14" x14ac:dyDescent="0.25">
      <c r="A131" s="246">
        <v>19</v>
      </c>
      <c r="B131" s="352" t="s">
        <v>1303</v>
      </c>
      <c r="C131" s="233" t="s">
        <v>3032</v>
      </c>
      <c r="D131" s="230" t="s">
        <v>160</v>
      </c>
      <c r="E131" s="230" t="s">
        <v>194</v>
      </c>
      <c r="F131" s="230" t="s">
        <v>43</v>
      </c>
      <c r="G131" s="231" t="s">
        <v>3033</v>
      </c>
      <c r="H131" s="230" t="s">
        <v>40</v>
      </c>
      <c r="I131" s="236">
        <v>500</v>
      </c>
      <c r="J131" s="271">
        <v>100</v>
      </c>
      <c r="K131" s="224" t="s">
        <v>147</v>
      </c>
      <c r="L131" s="224" t="s">
        <v>41</v>
      </c>
      <c r="N131">
        <f t="shared" si="0"/>
        <v>100</v>
      </c>
    </row>
    <row r="132" spans="1:14" x14ac:dyDescent="0.25">
      <c r="A132" s="273">
        <v>19</v>
      </c>
      <c r="B132" s="352" t="s">
        <v>2803</v>
      </c>
      <c r="C132" s="233" t="s">
        <v>3034</v>
      </c>
      <c r="D132" s="230" t="s">
        <v>160</v>
      </c>
      <c r="E132" s="230" t="s">
        <v>3035</v>
      </c>
      <c r="F132" s="230" t="s">
        <v>54</v>
      </c>
      <c r="G132" s="231" t="s">
        <v>3036</v>
      </c>
      <c r="H132" s="230" t="s">
        <v>40</v>
      </c>
      <c r="I132" s="236">
        <v>3000</v>
      </c>
      <c r="J132" s="271">
        <v>600</v>
      </c>
      <c r="K132" s="224" t="s">
        <v>147</v>
      </c>
      <c r="L132" s="224" t="s">
        <v>41</v>
      </c>
      <c r="N132">
        <f t="shared" si="0"/>
        <v>600</v>
      </c>
    </row>
    <row r="133" spans="1:14" x14ac:dyDescent="0.25">
      <c r="A133" s="246">
        <v>20</v>
      </c>
      <c r="B133" s="352" t="s">
        <v>3044</v>
      </c>
      <c r="C133" s="233" t="s">
        <v>3045</v>
      </c>
      <c r="D133" s="230" t="s">
        <v>160</v>
      </c>
      <c r="E133" s="230" t="s">
        <v>299</v>
      </c>
      <c r="F133" s="230" t="s">
        <v>42</v>
      </c>
      <c r="G133" s="231" t="s">
        <v>3046</v>
      </c>
      <c r="H133" s="230" t="s">
        <v>40</v>
      </c>
      <c r="I133" s="236">
        <v>500</v>
      </c>
      <c r="J133" s="271">
        <v>100</v>
      </c>
      <c r="K133" s="224" t="s">
        <v>147</v>
      </c>
      <c r="L133" s="224" t="s">
        <v>41</v>
      </c>
      <c r="N133">
        <f t="shared" si="0"/>
        <v>100</v>
      </c>
    </row>
    <row r="134" spans="1:14" x14ac:dyDescent="0.25">
      <c r="A134" s="246">
        <v>20</v>
      </c>
      <c r="B134" s="352" t="s">
        <v>3044</v>
      </c>
      <c r="C134" s="233" t="s">
        <v>3045</v>
      </c>
      <c r="D134" s="230" t="s">
        <v>160</v>
      </c>
      <c r="E134" s="230" t="s">
        <v>299</v>
      </c>
      <c r="F134" s="230" t="s">
        <v>42</v>
      </c>
      <c r="G134" s="231" t="s">
        <v>3046</v>
      </c>
      <c r="H134" s="463" t="s">
        <v>377</v>
      </c>
      <c r="I134" s="236">
        <v>500</v>
      </c>
      <c r="J134" s="271">
        <v>100</v>
      </c>
      <c r="K134" s="224" t="s">
        <v>147</v>
      </c>
      <c r="L134" s="224" t="s">
        <v>41</v>
      </c>
      <c r="N134">
        <f t="shared" si="0"/>
        <v>100</v>
      </c>
    </row>
    <row r="135" spans="1:14" x14ac:dyDescent="0.25">
      <c r="A135" s="246">
        <v>20</v>
      </c>
      <c r="B135" s="352" t="s">
        <v>1816</v>
      </c>
      <c r="C135" s="233" t="s">
        <v>2040</v>
      </c>
      <c r="D135" s="230" t="s">
        <v>160</v>
      </c>
      <c r="E135" s="230" t="s">
        <v>1125</v>
      </c>
      <c r="F135" s="230" t="s">
        <v>54</v>
      </c>
      <c r="G135" s="231" t="s">
        <v>3047</v>
      </c>
      <c r="H135" s="233" t="s">
        <v>40</v>
      </c>
      <c r="I135" s="236">
        <v>1000</v>
      </c>
      <c r="J135" s="271">
        <v>200</v>
      </c>
      <c r="K135" s="224" t="s">
        <v>147</v>
      </c>
      <c r="L135" s="224" t="s">
        <v>41</v>
      </c>
      <c r="N135">
        <f t="shared" si="0"/>
        <v>200</v>
      </c>
    </row>
    <row r="136" spans="1:14" x14ac:dyDescent="0.25">
      <c r="A136" s="246">
        <v>20</v>
      </c>
      <c r="B136" s="352" t="s">
        <v>2990</v>
      </c>
      <c r="C136" s="233" t="s">
        <v>3048</v>
      </c>
      <c r="D136" s="283" t="s">
        <v>163</v>
      </c>
      <c r="E136" s="230" t="s">
        <v>1243</v>
      </c>
      <c r="F136" s="230" t="s">
        <v>54</v>
      </c>
      <c r="G136" s="231" t="s">
        <v>3049</v>
      </c>
      <c r="H136" s="230" t="s">
        <v>40</v>
      </c>
      <c r="I136" s="236">
        <v>200</v>
      </c>
      <c r="J136" s="271">
        <v>40</v>
      </c>
      <c r="K136" s="224" t="s">
        <v>147</v>
      </c>
      <c r="L136" s="224" t="s">
        <v>41</v>
      </c>
      <c r="N136">
        <f t="shared" si="0"/>
        <v>40</v>
      </c>
    </row>
    <row r="137" spans="1:14" x14ac:dyDescent="0.25">
      <c r="A137" s="246">
        <v>20</v>
      </c>
      <c r="B137" s="352" t="s">
        <v>3050</v>
      </c>
      <c r="C137" s="233" t="s">
        <v>3051</v>
      </c>
      <c r="D137" s="230" t="s">
        <v>160</v>
      </c>
      <c r="E137" s="230" t="s">
        <v>3052</v>
      </c>
      <c r="F137" s="230" t="s">
        <v>60</v>
      </c>
      <c r="G137" s="231"/>
      <c r="H137" s="233" t="s">
        <v>40</v>
      </c>
      <c r="I137" s="236">
        <v>1000</v>
      </c>
      <c r="J137" s="271">
        <v>200</v>
      </c>
      <c r="K137" s="224" t="s">
        <v>147</v>
      </c>
      <c r="L137" s="224" t="s">
        <v>41</v>
      </c>
      <c r="N137">
        <f t="shared" si="0"/>
        <v>200</v>
      </c>
    </row>
    <row r="138" spans="1:14" x14ac:dyDescent="0.25">
      <c r="A138" s="246">
        <v>20</v>
      </c>
      <c r="B138" s="352" t="s">
        <v>3050</v>
      </c>
      <c r="C138" s="233" t="s">
        <v>3051</v>
      </c>
      <c r="D138" s="230" t="s">
        <v>160</v>
      </c>
      <c r="E138" s="230" t="s">
        <v>3052</v>
      </c>
      <c r="F138" s="230" t="s">
        <v>60</v>
      </c>
      <c r="G138" s="231"/>
      <c r="H138" s="354" t="s">
        <v>1420</v>
      </c>
      <c r="I138" s="236">
        <v>100</v>
      </c>
      <c r="J138" s="271">
        <v>50</v>
      </c>
      <c r="K138" s="224" t="s">
        <v>147</v>
      </c>
      <c r="L138" s="224" t="s">
        <v>41</v>
      </c>
      <c r="N138">
        <f t="shared" si="0"/>
        <v>20</v>
      </c>
    </row>
    <row r="139" spans="1:14" x14ac:dyDescent="0.25">
      <c r="A139" s="246">
        <v>20</v>
      </c>
      <c r="B139" s="352" t="s">
        <v>1288</v>
      </c>
      <c r="C139" s="233" t="s">
        <v>1887</v>
      </c>
      <c r="D139" s="283" t="s">
        <v>163</v>
      </c>
      <c r="E139" s="230" t="s">
        <v>164</v>
      </c>
      <c r="F139" s="230" t="s">
        <v>44</v>
      </c>
      <c r="G139" s="231" t="s">
        <v>295</v>
      </c>
      <c r="H139" s="233" t="s">
        <v>40</v>
      </c>
      <c r="I139" s="236">
        <v>8000</v>
      </c>
      <c r="J139" s="271">
        <v>1600</v>
      </c>
      <c r="K139" s="224" t="s">
        <v>147</v>
      </c>
      <c r="L139" s="224" t="s">
        <v>41</v>
      </c>
      <c r="N139">
        <f t="shared" si="0"/>
        <v>1600</v>
      </c>
    </row>
    <row r="140" spans="1:14" x14ac:dyDescent="0.25">
      <c r="A140" s="246">
        <v>20</v>
      </c>
      <c r="B140" s="352" t="s">
        <v>1288</v>
      </c>
      <c r="C140" s="233" t="s">
        <v>1887</v>
      </c>
      <c r="D140" s="283" t="s">
        <v>163</v>
      </c>
      <c r="E140" s="230" t="s">
        <v>164</v>
      </c>
      <c r="F140" s="230" t="s">
        <v>44</v>
      </c>
      <c r="G140" s="231" t="s">
        <v>295</v>
      </c>
      <c r="H140" s="450" t="s">
        <v>1911</v>
      </c>
      <c r="I140" s="236">
        <v>30</v>
      </c>
      <c r="J140" s="271">
        <v>150</v>
      </c>
      <c r="K140" s="224" t="s">
        <v>147</v>
      </c>
      <c r="L140" s="224" t="s">
        <v>41</v>
      </c>
      <c r="N140">
        <f t="shared" si="0"/>
        <v>6</v>
      </c>
    </row>
    <row r="141" spans="1:14" x14ac:dyDescent="0.25">
      <c r="A141" s="246">
        <v>20</v>
      </c>
      <c r="B141" s="352" t="s">
        <v>1288</v>
      </c>
      <c r="C141" s="233" t="s">
        <v>1887</v>
      </c>
      <c r="D141" s="283" t="s">
        <v>163</v>
      </c>
      <c r="E141" s="230" t="s">
        <v>164</v>
      </c>
      <c r="F141" s="230" t="s">
        <v>44</v>
      </c>
      <c r="G141" s="231" t="s">
        <v>295</v>
      </c>
      <c r="H141" s="399" t="s">
        <v>465</v>
      </c>
      <c r="I141" s="236">
        <v>50</v>
      </c>
      <c r="J141" s="271">
        <v>50</v>
      </c>
      <c r="K141" s="224" t="s">
        <v>147</v>
      </c>
      <c r="L141" s="224" t="s">
        <v>41</v>
      </c>
      <c r="N141">
        <f t="shared" si="0"/>
        <v>10</v>
      </c>
    </row>
    <row r="142" spans="1:14" x14ac:dyDescent="0.25">
      <c r="A142" s="246">
        <v>20</v>
      </c>
      <c r="B142" s="352" t="s">
        <v>3053</v>
      </c>
      <c r="C142" s="233" t="s">
        <v>3054</v>
      </c>
      <c r="D142" s="230" t="s">
        <v>160</v>
      </c>
      <c r="E142" s="230"/>
      <c r="F142" s="230" t="s">
        <v>53</v>
      </c>
      <c r="G142" s="231"/>
      <c r="H142" s="233" t="s">
        <v>40</v>
      </c>
      <c r="I142" s="236">
        <v>4000</v>
      </c>
      <c r="J142" s="271">
        <v>1200</v>
      </c>
      <c r="K142" s="224" t="s">
        <v>147</v>
      </c>
      <c r="L142" s="224" t="s">
        <v>41</v>
      </c>
      <c r="N142">
        <f t="shared" si="0"/>
        <v>800</v>
      </c>
    </row>
    <row r="143" spans="1:14" x14ac:dyDescent="0.25">
      <c r="A143" s="246">
        <v>20</v>
      </c>
      <c r="B143" s="352" t="s">
        <v>3055</v>
      </c>
      <c r="C143" s="233" t="s">
        <v>3056</v>
      </c>
      <c r="D143" s="230" t="s">
        <v>160</v>
      </c>
      <c r="E143" s="230" t="s">
        <v>396</v>
      </c>
      <c r="F143" s="230" t="s">
        <v>48</v>
      </c>
      <c r="G143" s="231"/>
      <c r="H143" s="230" t="s">
        <v>40</v>
      </c>
      <c r="I143" s="236">
        <v>1000</v>
      </c>
      <c r="J143" s="271" t="s">
        <v>152</v>
      </c>
      <c r="K143" s="224" t="s">
        <v>147</v>
      </c>
      <c r="L143" s="224" t="s">
        <v>41</v>
      </c>
      <c r="N143">
        <f t="shared" si="0"/>
        <v>200</v>
      </c>
    </row>
    <row r="144" spans="1:14" x14ac:dyDescent="0.25">
      <c r="A144" s="246">
        <v>20</v>
      </c>
      <c r="B144" s="352" t="s">
        <v>3057</v>
      </c>
      <c r="C144" s="233" t="s">
        <v>3058</v>
      </c>
      <c r="D144" s="230" t="s">
        <v>160</v>
      </c>
      <c r="E144" s="230" t="s">
        <v>396</v>
      </c>
      <c r="F144" s="230" t="s">
        <v>48</v>
      </c>
      <c r="G144" s="231" t="s">
        <v>3059</v>
      </c>
      <c r="H144" s="230" t="s">
        <v>40</v>
      </c>
      <c r="I144" s="236">
        <v>1000</v>
      </c>
      <c r="J144" s="271" t="s">
        <v>152</v>
      </c>
      <c r="K144" s="224" t="s">
        <v>147</v>
      </c>
      <c r="L144" s="224" t="s">
        <v>41</v>
      </c>
      <c r="N144">
        <f t="shared" si="0"/>
        <v>200</v>
      </c>
    </row>
    <row r="145" spans="1:14" x14ac:dyDescent="0.25">
      <c r="A145" s="246">
        <v>23</v>
      </c>
      <c r="B145" s="352" t="s">
        <v>3060</v>
      </c>
      <c r="C145" s="233" t="s">
        <v>2329</v>
      </c>
      <c r="D145" s="230" t="s">
        <v>160</v>
      </c>
      <c r="E145" s="230" t="s">
        <v>1073</v>
      </c>
      <c r="F145" s="230" t="s">
        <v>47</v>
      </c>
      <c r="G145" s="231" t="s">
        <v>3061</v>
      </c>
      <c r="H145" s="354" t="s">
        <v>1420</v>
      </c>
      <c r="I145" s="236">
        <v>500</v>
      </c>
      <c r="J145" s="271">
        <v>250</v>
      </c>
      <c r="K145" s="224" t="s">
        <v>147</v>
      </c>
      <c r="L145" s="224" t="s">
        <v>41</v>
      </c>
      <c r="N145">
        <f t="shared" si="0"/>
        <v>100</v>
      </c>
    </row>
    <row r="146" spans="1:14" x14ac:dyDescent="0.25">
      <c r="A146" s="246">
        <v>23</v>
      </c>
      <c r="B146" s="352" t="s">
        <v>3062</v>
      </c>
      <c r="C146" s="233" t="s">
        <v>3063</v>
      </c>
      <c r="D146" s="283" t="s">
        <v>163</v>
      </c>
      <c r="E146" s="230" t="s">
        <v>2442</v>
      </c>
      <c r="F146" s="230" t="s">
        <v>47</v>
      </c>
      <c r="G146" s="231"/>
      <c r="H146" s="230" t="s">
        <v>40</v>
      </c>
      <c r="I146" s="236">
        <v>1000</v>
      </c>
      <c r="J146" s="271">
        <v>200</v>
      </c>
      <c r="K146" s="224" t="s">
        <v>147</v>
      </c>
      <c r="L146" s="224" t="s">
        <v>41</v>
      </c>
      <c r="N146">
        <f t="shared" si="0"/>
        <v>200</v>
      </c>
    </row>
    <row r="147" spans="1:14" x14ac:dyDescent="0.25">
      <c r="A147" s="246">
        <v>23</v>
      </c>
      <c r="B147" s="352" t="s">
        <v>2816</v>
      </c>
      <c r="C147" s="233" t="s">
        <v>2345</v>
      </c>
      <c r="D147" s="230" t="s">
        <v>160</v>
      </c>
      <c r="E147" s="230" t="s">
        <v>1675</v>
      </c>
      <c r="F147" s="230" t="s">
        <v>48</v>
      </c>
      <c r="G147" s="231"/>
      <c r="H147" s="233" t="s">
        <v>40</v>
      </c>
      <c r="I147" s="236">
        <v>1500</v>
      </c>
      <c r="J147" s="271">
        <v>300</v>
      </c>
      <c r="K147" s="224" t="s">
        <v>147</v>
      </c>
      <c r="L147" s="224" t="s">
        <v>41</v>
      </c>
      <c r="N147">
        <f t="shared" si="0"/>
        <v>300</v>
      </c>
    </row>
    <row r="148" spans="1:14" x14ac:dyDescent="0.25">
      <c r="A148" s="246">
        <v>23</v>
      </c>
      <c r="B148" s="352" t="s">
        <v>2816</v>
      </c>
      <c r="C148" s="233" t="s">
        <v>2345</v>
      </c>
      <c r="D148" s="230" t="s">
        <v>160</v>
      </c>
      <c r="E148" s="230" t="s">
        <v>1675</v>
      </c>
      <c r="F148" s="230" t="s">
        <v>48</v>
      </c>
      <c r="G148" s="231"/>
      <c r="H148" s="463" t="s">
        <v>377</v>
      </c>
      <c r="I148" s="236">
        <v>500</v>
      </c>
      <c r="J148" s="271">
        <v>100</v>
      </c>
      <c r="K148" s="224" t="s">
        <v>147</v>
      </c>
      <c r="L148" s="224" t="s">
        <v>41</v>
      </c>
      <c r="N148">
        <f t="shared" si="0"/>
        <v>100</v>
      </c>
    </row>
    <row r="149" spans="1:14" x14ac:dyDescent="0.25">
      <c r="A149" s="246">
        <v>23</v>
      </c>
      <c r="B149" s="352" t="s">
        <v>2816</v>
      </c>
      <c r="C149" s="233" t="s">
        <v>2345</v>
      </c>
      <c r="D149" s="230" t="s">
        <v>160</v>
      </c>
      <c r="E149" s="230" t="s">
        <v>1675</v>
      </c>
      <c r="F149" s="230" t="s">
        <v>48</v>
      </c>
      <c r="G149" s="231"/>
      <c r="H149" s="450" t="s">
        <v>1911</v>
      </c>
      <c r="I149" s="236">
        <v>50</v>
      </c>
      <c r="J149" s="271">
        <v>250</v>
      </c>
      <c r="K149" s="224" t="s">
        <v>147</v>
      </c>
      <c r="L149" s="224" t="s">
        <v>41</v>
      </c>
      <c r="N149">
        <f t="shared" si="0"/>
        <v>10</v>
      </c>
    </row>
    <row r="150" spans="1:14" x14ac:dyDescent="0.25">
      <c r="A150" s="246">
        <v>23</v>
      </c>
      <c r="B150" s="352" t="s">
        <v>3064</v>
      </c>
      <c r="C150" s="233" t="s">
        <v>3065</v>
      </c>
      <c r="D150" s="230" t="s">
        <v>160</v>
      </c>
      <c r="E150" s="230"/>
      <c r="F150" s="230" t="s">
        <v>60</v>
      </c>
      <c r="G150" s="231" t="s">
        <v>3066</v>
      </c>
      <c r="H150" s="230" t="s">
        <v>40</v>
      </c>
      <c r="I150" s="236">
        <v>250</v>
      </c>
      <c r="J150" s="271">
        <v>50</v>
      </c>
      <c r="K150" s="224" t="s">
        <v>147</v>
      </c>
      <c r="L150" s="224" t="s">
        <v>41</v>
      </c>
      <c r="N150">
        <f t="shared" si="0"/>
        <v>50</v>
      </c>
    </row>
    <row r="151" spans="1:14" x14ac:dyDescent="0.25">
      <c r="A151" s="246">
        <v>23</v>
      </c>
      <c r="B151" s="352" t="s">
        <v>3067</v>
      </c>
      <c r="C151" s="233" t="s">
        <v>1711</v>
      </c>
      <c r="D151" s="230" t="s">
        <v>160</v>
      </c>
      <c r="E151" s="230" t="s">
        <v>470</v>
      </c>
      <c r="F151" s="230" t="s">
        <v>53</v>
      </c>
      <c r="G151" s="231"/>
      <c r="H151" s="233" t="s">
        <v>40</v>
      </c>
      <c r="I151" s="236">
        <v>12000</v>
      </c>
      <c r="J151" s="271">
        <v>2400</v>
      </c>
      <c r="K151" s="224" t="s">
        <v>147</v>
      </c>
      <c r="L151" s="224" t="s">
        <v>41</v>
      </c>
      <c r="N151">
        <f t="shared" si="0"/>
        <v>2400</v>
      </c>
    </row>
    <row r="152" spans="1:14" x14ac:dyDescent="0.25">
      <c r="A152" s="246">
        <v>23</v>
      </c>
      <c r="B152" s="352" t="s">
        <v>2756</v>
      </c>
      <c r="C152" s="233" t="s">
        <v>1754</v>
      </c>
      <c r="D152" s="230" t="s">
        <v>160</v>
      </c>
      <c r="E152" s="230" t="s">
        <v>1869</v>
      </c>
      <c r="F152" s="230" t="s">
        <v>42</v>
      </c>
      <c r="G152" s="231" t="s">
        <v>3068</v>
      </c>
      <c r="H152" s="233" t="s">
        <v>40</v>
      </c>
      <c r="I152" s="236">
        <v>1000</v>
      </c>
      <c r="J152" s="271">
        <v>200</v>
      </c>
      <c r="K152" s="224" t="s">
        <v>147</v>
      </c>
      <c r="L152" s="224" t="s">
        <v>41</v>
      </c>
      <c r="N152">
        <f t="shared" si="0"/>
        <v>200</v>
      </c>
    </row>
    <row r="153" spans="1:14" x14ac:dyDescent="0.25">
      <c r="A153" s="246">
        <v>23</v>
      </c>
      <c r="B153" s="352" t="s">
        <v>3069</v>
      </c>
      <c r="C153" s="233" t="s">
        <v>3070</v>
      </c>
      <c r="D153" s="283" t="s">
        <v>163</v>
      </c>
      <c r="E153" s="230" t="s">
        <v>259</v>
      </c>
      <c r="F153" s="230" t="s">
        <v>49</v>
      </c>
      <c r="G153" s="231" t="s">
        <v>3071</v>
      </c>
      <c r="H153" s="230" t="s">
        <v>40</v>
      </c>
      <c r="I153" s="236">
        <v>1000</v>
      </c>
      <c r="J153" s="271">
        <v>200</v>
      </c>
      <c r="K153" s="224" t="s">
        <v>147</v>
      </c>
      <c r="L153" s="224" t="s">
        <v>41</v>
      </c>
      <c r="N153">
        <f t="shared" si="0"/>
        <v>200</v>
      </c>
    </row>
    <row r="154" spans="1:14" x14ac:dyDescent="0.25">
      <c r="A154" s="246">
        <v>23</v>
      </c>
      <c r="B154" s="352" t="s">
        <v>3072</v>
      </c>
      <c r="C154" s="233" t="s">
        <v>1635</v>
      </c>
      <c r="D154" s="230" t="s">
        <v>160</v>
      </c>
      <c r="E154" s="230" t="s">
        <v>169</v>
      </c>
      <c r="F154" s="230" t="s">
        <v>45</v>
      </c>
      <c r="G154" s="231" t="s">
        <v>3073</v>
      </c>
      <c r="H154" s="354" t="s">
        <v>1420</v>
      </c>
      <c r="I154" s="236">
        <v>1000</v>
      </c>
      <c r="J154" s="271">
        <v>500</v>
      </c>
      <c r="K154" s="224" t="s">
        <v>147</v>
      </c>
      <c r="L154" s="224" t="s">
        <v>41</v>
      </c>
      <c r="N154">
        <f t="shared" si="0"/>
        <v>200</v>
      </c>
    </row>
    <row r="155" spans="1:14" x14ac:dyDescent="0.25">
      <c r="A155" s="246">
        <v>23</v>
      </c>
      <c r="B155" s="352" t="s">
        <v>3074</v>
      </c>
      <c r="C155" s="233" t="s">
        <v>1615</v>
      </c>
      <c r="D155" s="283" t="s">
        <v>163</v>
      </c>
      <c r="E155" s="230" t="s">
        <v>814</v>
      </c>
      <c r="F155" s="230" t="s">
        <v>53</v>
      </c>
      <c r="G155" s="231" t="s">
        <v>1616</v>
      </c>
      <c r="H155" s="233" t="s">
        <v>40</v>
      </c>
      <c r="I155" s="236">
        <v>10000</v>
      </c>
      <c r="J155" s="271">
        <v>2000</v>
      </c>
      <c r="K155" s="224" t="s">
        <v>147</v>
      </c>
      <c r="L155" s="224" t="s">
        <v>41</v>
      </c>
      <c r="N155">
        <f t="shared" si="0"/>
        <v>2000</v>
      </c>
    </row>
    <row r="156" spans="1:14" x14ac:dyDescent="0.25">
      <c r="A156" s="246">
        <v>23</v>
      </c>
      <c r="B156" s="352" t="s">
        <v>2714</v>
      </c>
      <c r="C156" s="233" t="s">
        <v>2715</v>
      </c>
      <c r="D156" s="230" t="s">
        <v>160</v>
      </c>
      <c r="E156" s="230" t="s">
        <v>2716</v>
      </c>
      <c r="F156" s="230" t="s">
        <v>59</v>
      </c>
      <c r="G156" s="231" t="s">
        <v>2717</v>
      </c>
      <c r="H156" s="230" t="s">
        <v>40</v>
      </c>
      <c r="I156" s="236">
        <v>5000</v>
      </c>
      <c r="J156" s="271">
        <v>1000</v>
      </c>
      <c r="K156" s="224" t="s">
        <v>147</v>
      </c>
      <c r="L156" s="224" t="s">
        <v>41</v>
      </c>
      <c r="N156">
        <f t="shared" si="0"/>
        <v>1000</v>
      </c>
    </row>
    <row r="157" spans="1:14" x14ac:dyDescent="0.25">
      <c r="A157" s="246">
        <v>23</v>
      </c>
      <c r="B157" s="352" t="s">
        <v>1517</v>
      </c>
      <c r="C157" s="233" t="s">
        <v>3075</v>
      </c>
      <c r="D157" s="283" t="s">
        <v>163</v>
      </c>
      <c r="E157" s="230" t="s">
        <v>388</v>
      </c>
      <c r="F157" s="230" t="s">
        <v>57</v>
      </c>
      <c r="G157" s="231" t="s">
        <v>3076</v>
      </c>
      <c r="H157" s="233" t="s">
        <v>40</v>
      </c>
      <c r="I157" s="236">
        <v>2500</v>
      </c>
      <c r="J157" s="271">
        <v>500</v>
      </c>
      <c r="K157" s="224" t="s">
        <v>147</v>
      </c>
      <c r="L157" s="224" t="s">
        <v>41</v>
      </c>
      <c r="N157">
        <f t="shared" si="0"/>
        <v>500</v>
      </c>
    </row>
    <row r="158" spans="1:14" x14ac:dyDescent="0.25">
      <c r="A158" s="246">
        <v>23</v>
      </c>
      <c r="B158" s="352" t="s">
        <v>2540</v>
      </c>
      <c r="C158" s="233" t="s">
        <v>2628</v>
      </c>
      <c r="D158" s="230" t="s">
        <v>160</v>
      </c>
      <c r="E158" s="230" t="s">
        <v>2629</v>
      </c>
      <c r="F158" s="230" t="s">
        <v>50</v>
      </c>
      <c r="G158" s="231" t="s">
        <v>2630</v>
      </c>
      <c r="H158" s="233" t="s">
        <v>40</v>
      </c>
      <c r="I158" s="236">
        <v>4000</v>
      </c>
      <c r="J158" s="271">
        <v>800</v>
      </c>
      <c r="K158" s="224" t="s">
        <v>147</v>
      </c>
      <c r="L158" s="224" t="s">
        <v>41</v>
      </c>
      <c r="N158">
        <f t="shared" si="0"/>
        <v>800</v>
      </c>
    </row>
    <row r="159" spans="1:14" x14ac:dyDescent="0.25">
      <c r="A159" s="246">
        <v>23</v>
      </c>
      <c r="B159" s="352" t="s">
        <v>2540</v>
      </c>
      <c r="C159" s="233" t="s">
        <v>2628</v>
      </c>
      <c r="D159" s="230" t="s">
        <v>160</v>
      </c>
      <c r="E159" s="230" t="s">
        <v>2629</v>
      </c>
      <c r="F159" s="230" t="s">
        <v>50</v>
      </c>
      <c r="G159" s="231" t="s">
        <v>2630</v>
      </c>
      <c r="H159" s="463" t="s">
        <v>377</v>
      </c>
      <c r="I159" s="236">
        <v>3000</v>
      </c>
      <c r="J159" s="271">
        <v>600</v>
      </c>
      <c r="K159" s="224" t="s">
        <v>147</v>
      </c>
      <c r="L159" s="224" t="s">
        <v>41</v>
      </c>
      <c r="N159">
        <f t="shared" si="0"/>
        <v>600</v>
      </c>
    </row>
    <row r="160" spans="1:14" x14ac:dyDescent="0.25">
      <c r="A160" s="246">
        <v>23</v>
      </c>
      <c r="B160" s="352" t="s">
        <v>3077</v>
      </c>
      <c r="C160" s="233" t="s">
        <v>1603</v>
      </c>
      <c r="D160" s="283" t="s">
        <v>163</v>
      </c>
      <c r="E160" s="230" t="s">
        <v>164</v>
      </c>
      <c r="F160" s="230" t="s">
        <v>44</v>
      </c>
      <c r="G160" s="231" t="s">
        <v>3078</v>
      </c>
      <c r="H160" s="233" t="s">
        <v>40</v>
      </c>
      <c r="I160" s="236">
        <v>500</v>
      </c>
      <c r="J160" s="271">
        <v>100</v>
      </c>
      <c r="K160" s="224" t="s">
        <v>147</v>
      </c>
      <c r="L160" s="224" t="s">
        <v>41</v>
      </c>
      <c r="N160">
        <f t="shared" si="0"/>
        <v>100</v>
      </c>
    </row>
    <row r="161" spans="1:14" x14ac:dyDescent="0.25">
      <c r="A161" s="246">
        <v>23</v>
      </c>
      <c r="B161" s="352" t="s">
        <v>1393</v>
      </c>
      <c r="C161" s="233" t="s">
        <v>1394</v>
      </c>
      <c r="D161" s="230" t="s">
        <v>160</v>
      </c>
      <c r="E161" s="230" t="s">
        <v>365</v>
      </c>
      <c r="F161" s="230" t="s">
        <v>44</v>
      </c>
      <c r="G161" s="231" t="s">
        <v>1395</v>
      </c>
      <c r="H161" s="230" t="s">
        <v>40</v>
      </c>
      <c r="I161" s="236">
        <v>6000</v>
      </c>
      <c r="J161" s="271">
        <v>1200</v>
      </c>
      <c r="K161" s="224" t="s">
        <v>147</v>
      </c>
      <c r="L161" s="224" t="s">
        <v>41</v>
      </c>
      <c r="N161">
        <f t="shared" si="0"/>
        <v>1200</v>
      </c>
    </row>
    <row r="162" spans="1:14" x14ac:dyDescent="0.25">
      <c r="A162" s="246">
        <v>23</v>
      </c>
      <c r="B162" s="352" t="s">
        <v>2597</v>
      </c>
      <c r="C162" s="233" t="s">
        <v>3079</v>
      </c>
      <c r="D162" s="283" t="s">
        <v>163</v>
      </c>
      <c r="E162" s="230" t="s">
        <v>234</v>
      </c>
      <c r="F162" s="230" t="s">
        <v>49</v>
      </c>
      <c r="G162" s="231" t="s">
        <v>3080</v>
      </c>
      <c r="H162" s="233" t="s">
        <v>40</v>
      </c>
      <c r="I162" s="236">
        <v>500</v>
      </c>
      <c r="J162" s="271">
        <v>100</v>
      </c>
      <c r="K162" s="224" t="s">
        <v>147</v>
      </c>
      <c r="L162" s="224" t="s">
        <v>41</v>
      </c>
      <c r="N162">
        <f t="shared" si="0"/>
        <v>100</v>
      </c>
    </row>
    <row r="163" spans="1:14" x14ac:dyDescent="0.25">
      <c r="A163" s="273">
        <v>23</v>
      </c>
      <c r="B163" s="352" t="s">
        <v>2663</v>
      </c>
      <c r="C163" s="233" t="s">
        <v>3081</v>
      </c>
      <c r="D163" s="230" t="s">
        <v>160</v>
      </c>
      <c r="E163" s="230" t="s">
        <v>180</v>
      </c>
      <c r="F163" s="230" t="s">
        <v>60</v>
      </c>
      <c r="G163" s="231" t="s">
        <v>3082</v>
      </c>
      <c r="H163" s="233" t="s">
        <v>40</v>
      </c>
      <c r="I163" s="236">
        <v>1500</v>
      </c>
      <c r="J163" s="271">
        <v>300</v>
      </c>
      <c r="K163" s="224" t="s">
        <v>147</v>
      </c>
      <c r="L163" s="224" t="s">
        <v>41</v>
      </c>
      <c r="N163">
        <f t="shared" si="0"/>
        <v>300</v>
      </c>
    </row>
    <row r="164" spans="1:14" x14ac:dyDescent="0.25">
      <c r="A164" s="246"/>
      <c r="B164" s="352"/>
      <c r="C164" s="233"/>
      <c r="D164" s="230"/>
      <c r="E164" s="230"/>
      <c r="F164" s="230"/>
      <c r="G164" s="231"/>
      <c r="H164" s="230"/>
      <c r="I164" s="236"/>
      <c r="J164" s="271"/>
      <c r="K164" s="224" t="s">
        <v>147</v>
      </c>
      <c r="L164" s="224" t="s">
        <v>41</v>
      </c>
      <c r="N164">
        <f t="shared" si="0"/>
        <v>0</v>
      </c>
    </row>
    <row r="165" spans="1:14" x14ac:dyDescent="0.25">
      <c r="A165" s="246"/>
      <c r="B165" s="352"/>
      <c r="C165" s="233"/>
      <c r="D165" s="230"/>
      <c r="E165" s="230"/>
      <c r="F165" s="230"/>
      <c r="G165" s="231"/>
      <c r="H165" s="233"/>
      <c r="I165" s="236"/>
      <c r="J165" s="271"/>
      <c r="K165" s="224" t="s">
        <v>147</v>
      </c>
      <c r="L165" s="224" t="s">
        <v>41</v>
      </c>
      <c r="N165">
        <f t="shared" si="0"/>
        <v>0</v>
      </c>
    </row>
    <row r="166" spans="1:14" x14ac:dyDescent="0.25">
      <c r="A166" s="246"/>
      <c r="B166" s="352"/>
      <c r="C166" s="233"/>
      <c r="D166" s="230"/>
      <c r="E166" s="230"/>
      <c r="F166" s="230"/>
      <c r="G166" s="231"/>
      <c r="H166" s="233"/>
      <c r="I166" s="236"/>
      <c r="J166" s="271"/>
      <c r="K166" s="224" t="s">
        <v>147</v>
      </c>
      <c r="L166" s="224" t="s">
        <v>41</v>
      </c>
      <c r="N166">
        <f t="shared" si="0"/>
        <v>0</v>
      </c>
    </row>
    <row r="167" spans="1:14" x14ac:dyDescent="0.25">
      <c r="A167" s="246"/>
      <c r="B167" s="352"/>
      <c r="C167" s="233"/>
      <c r="D167" s="230"/>
      <c r="E167" s="230"/>
      <c r="F167" s="230"/>
      <c r="G167" s="231"/>
      <c r="H167" s="233"/>
      <c r="I167" s="236"/>
      <c r="J167" s="271"/>
      <c r="K167" s="224" t="s">
        <v>147</v>
      </c>
      <c r="L167" s="224" t="s">
        <v>41</v>
      </c>
      <c r="N167">
        <f t="shared" si="0"/>
        <v>0</v>
      </c>
    </row>
    <row r="168" spans="1:14" x14ac:dyDescent="0.25">
      <c r="A168" s="246"/>
      <c r="B168" s="352"/>
      <c r="C168" s="233"/>
      <c r="D168" s="230"/>
      <c r="E168" s="230"/>
      <c r="F168" s="230"/>
      <c r="G168" s="231"/>
      <c r="H168" s="230"/>
      <c r="I168" s="236"/>
      <c r="J168" s="271"/>
      <c r="K168" s="224" t="s">
        <v>147</v>
      </c>
      <c r="L168" s="224" t="s">
        <v>41</v>
      </c>
      <c r="N168">
        <f t="shared" si="0"/>
        <v>0</v>
      </c>
    </row>
    <row r="169" spans="1:14" x14ac:dyDescent="0.25">
      <c r="A169" s="246"/>
      <c r="B169" s="352"/>
      <c r="C169" s="233"/>
      <c r="D169" s="230"/>
      <c r="E169" s="230"/>
      <c r="F169" s="230"/>
      <c r="G169" s="231"/>
      <c r="H169" s="233"/>
      <c r="I169" s="236"/>
      <c r="J169" s="271"/>
      <c r="K169" s="224" t="s">
        <v>147</v>
      </c>
      <c r="L169" s="224" t="s">
        <v>41</v>
      </c>
      <c r="N169">
        <f t="shared" si="0"/>
        <v>0</v>
      </c>
    </row>
    <row r="170" spans="1:14" x14ac:dyDescent="0.25">
      <c r="A170" s="246"/>
      <c r="B170" s="352"/>
      <c r="C170" s="233"/>
      <c r="D170" s="230"/>
      <c r="E170" s="230"/>
      <c r="F170" s="230"/>
      <c r="G170" s="231"/>
      <c r="H170" s="230"/>
      <c r="I170" s="236"/>
      <c r="J170" s="271"/>
      <c r="K170" s="224" t="s">
        <v>147</v>
      </c>
      <c r="L170" s="224" t="s">
        <v>41</v>
      </c>
      <c r="N170">
        <f t="shared" si="0"/>
        <v>0</v>
      </c>
    </row>
    <row r="171" spans="1:14" x14ac:dyDescent="0.25">
      <c r="A171" s="246"/>
      <c r="B171" s="352"/>
      <c r="C171" s="233"/>
      <c r="D171" s="230"/>
      <c r="E171" s="230"/>
      <c r="F171" s="230"/>
      <c r="G171" s="231"/>
      <c r="H171" s="233"/>
      <c r="I171" s="236"/>
      <c r="J171" s="271"/>
      <c r="K171" s="224" t="s">
        <v>147</v>
      </c>
      <c r="L171" s="224" t="s">
        <v>41</v>
      </c>
      <c r="N171">
        <f t="shared" si="0"/>
        <v>0</v>
      </c>
    </row>
    <row r="172" spans="1:14" x14ac:dyDescent="0.25">
      <c r="A172" s="246"/>
      <c r="B172" s="352"/>
      <c r="C172" s="233"/>
      <c r="D172" s="230"/>
      <c r="E172" s="230"/>
      <c r="F172" s="230"/>
      <c r="G172" s="231"/>
      <c r="H172" s="233"/>
      <c r="I172" s="236"/>
      <c r="J172" s="271"/>
      <c r="K172" s="224" t="s">
        <v>147</v>
      </c>
      <c r="L172" s="224" t="s">
        <v>41</v>
      </c>
      <c r="N172">
        <f t="shared" si="0"/>
        <v>0</v>
      </c>
    </row>
    <row r="173" spans="1:14" x14ac:dyDescent="0.25">
      <c r="A173" s="246"/>
      <c r="B173" s="352"/>
      <c r="C173" s="233"/>
      <c r="D173" s="230"/>
      <c r="E173" s="230"/>
      <c r="F173" s="230"/>
      <c r="G173" s="231"/>
      <c r="H173" s="230"/>
      <c r="I173" s="236"/>
      <c r="J173" s="271"/>
      <c r="K173" s="224" t="s">
        <v>147</v>
      </c>
      <c r="L173" s="224" t="s">
        <v>41</v>
      </c>
      <c r="N173">
        <f t="shared" si="0"/>
        <v>0</v>
      </c>
    </row>
    <row r="174" spans="1:14" x14ac:dyDescent="0.25">
      <c r="A174" s="246"/>
      <c r="B174" s="352"/>
      <c r="C174" s="233"/>
      <c r="D174" s="230"/>
      <c r="E174" s="230"/>
      <c r="F174" s="230"/>
      <c r="G174" s="231"/>
      <c r="H174" s="230"/>
      <c r="I174" s="236"/>
      <c r="J174" s="271"/>
      <c r="K174" s="224" t="s">
        <v>147</v>
      </c>
      <c r="L174" s="224" t="s">
        <v>41</v>
      </c>
      <c r="N174">
        <f t="shared" si="0"/>
        <v>0</v>
      </c>
    </row>
    <row r="175" spans="1:14" x14ac:dyDescent="0.25">
      <c r="A175" s="246"/>
      <c r="B175" s="352"/>
      <c r="C175" s="233"/>
      <c r="D175" s="230"/>
      <c r="E175" s="230"/>
      <c r="F175" s="230"/>
      <c r="G175" s="231"/>
      <c r="H175" s="233"/>
      <c r="I175" s="236"/>
      <c r="J175" s="271"/>
      <c r="K175" s="224" t="s">
        <v>147</v>
      </c>
      <c r="L175" s="224" t="s">
        <v>41</v>
      </c>
      <c r="N175">
        <f t="shared" si="0"/>
        <v>0</v>
      </c>
    </row>
    <row r="176" spans="1:14" x14ac:dyDescent="0.25">
      <c r="A176" s="246"/>
      <c r="B176" s="352"/>
      <c r="C176" s="233"/>
      <c r="D176" s="230"/>
      <c r="E176" s="230"/>
      <c r="F176" s="230"/>
      <c r="G176" s="231"/>
      <c r="H176" s="230"/>
      <c r="I176" s="236"/>
      <c r="J176" s="271"/>
      <c r="K176" s="224" t="s">
        <v>147</v>
      </c>
      <c r="L176" s="224" t="s">
        <v>41</v>
      </c>
      <c r="N176">
        <f t="shared" si="0"/>
        <v>0</v>
      </c>
    </row>
    <row r="177" spans="1:14" x14ac:dyDescent="0.25">
      <c r="A177" s="246"/>
      <c r="B177" s="352"/>
      <c r="C177" s="233"/>
      <c r="D177" s="230"/>
      <c r="E177" s="230"/>
      <c r="F177" s="230"/>
      <c r="G177" s="231"/>
      <c r="H177" s="233"/>
      <c r="I177" s="236"/>
      <c r="J177" s="271"/>
      <c r="K177" s="224" t="s">
        <v>147</v>
      </c>
      <c r="L177" s="224" t="s">
        <v>41</v>
      </c>
      <c r="N177">
        <f t="shared" si="0"/>
        <v>0</v>
      </c>
    </row>
    <row r="178" spans="1:14" x14ac:dyDescent="0.25">
      <c r="A178" s="246"/>
      <c r="B178" s="352"/>
      <c r="C178" s="233"/>
      <c r="D178" s="230"/>
      <c r="E178" s="230"/>
      <c r="F178" s="230"/>
      <c r="G178" s="231"/>
      <c r="H178" s="230"/>
      <c r="I178" s="236"/>
      <c r="J178" s="271"/>
      <c r="K178" s="224" t="s">
        <v>147</v>
      </c>
      <c r="L178" s="224" t="s">
        <v>41</v>
      </c>
      <c r="N178">
        <f t="shared" si="0"/>
        <v>0</v>
      </c>
    </row>
    <row r="179" spans="1:14" x14ac:dyDescent="0.25">
      <c r="A179" s="246"/>
      <c r="B179" s="352"/>
      <c r="C179" s="233"/>
      <c r="D179" s="230"/>
      <c r="E179" s="230"/>
      <c r="F179" s="230"/>
      <c r="G179" s="231"/>
      <c r="H179" s="230"/>
      <c r="I179" s="236"/>
      <c r="J179" s="271"/>
      <c r="K179" s="224" t="s">
        <v>147</v>
      </c>
      <c r="L179" s="224" t="s">
        <v>41</v>
      </c>
      <c r="N179">
        <f t="shared" si="0"/>
        <v>0</v>
      </c>
    </row>
    <row r="180" spans="1:14" x14ac:dyDescent="0.25">
      <c r="A180" s="246"/>
      <c r="B180" s="352"/>
      <c r="C180" s="233"/>
      <c r="D180" s="230"/>
      <c r="E180" s="230"/>
      <c r="F180" s="230"/>
      <c r="G180" s="231"/>
      <c r="H180" s="230"/>
      <c r="I180" s="236"/>
      <c r="J180" s="271"/>
      <c r="K180" s="224" t="s">
        <v>147</v>
      </c>
      <c r="L180" s="224" t="s">
        <v>41</v>
      </c>
      <c r="N180">
        <f t="shared" si="0"/>
        <v>0</v>
      </c>
    </row>
    <row r="181" spans="1:14" x14ac:dyDescent="0.25">
      <c r="A181" s="246"/>
      <c r="B181" s="352"/>
      <c r="C181" s="233"/>
      <c r="D181" s="230"/>
      <c r="E181" s="230"/>
      <c r="F181" s="230"/>
      <c r="G181" s="231"/>
      <c r="H181" s="230"/>
      <c r="I181" s="236"/>
      <c r="J181" s="271"/>
      <c r="K181" s="224" t="s">
        <v>147</v>
      </c>
      <c r="L181" s="224" t="s">
        <v>41</v>
      </c>
      <c r="N181">
        <f t="shared" si="0"/>
        <v>0</v>
      </c>
    </row>
    <row r="182" spans="1:14" x14ac:dyDescent="0.25">
      <c r="A182" s="246"/>
      <c r="B182" s="352"/>
      <c r="C182" s="233"/>
      <c r="D182" s="230"/>
      <c r="E182" s="230"/>
      <c r="F182" s="230"/>
      <c r="G182" s="231"/>
      <c r="H182" s="230"/>
      <c r="I182" s="236"/>
      <c r="J182" s="271"/>
      <c r="K182" s="224" t="s">
        <v>147</v>
      </c>
      <c r="L182" s="224" t="s">
        <v>41</v>
      </c>
      <c r="N182">
        <f t="shared" si="0"/>
        <v>0</v>
      </c>
    </row>
    <row r="183" spans="1:14" x14ac:dyDescent="0.25">
      <c r="A183" s="246"/>
      <c r="B183" s="352"/>
      <c r="C183" s="233"/>
      <c r="D183" s="230"/>
      <c r="E183" s="230"/>
      <c r="F183" s="230"/>
      <c r="G183" s="231"/>
      <c r="H183" s="230"/>
      <c r="I183" s="236"/>
      <c r="J183" s="271"/>
      <c r="K183" s="224" t="s">
        <v>147</v>
      </c>
      <c r="L183" s="224" t="s">
        <v>41</v>
      </c>
      <c r="N183">
        <f t="shared" si="0"/>
        <v>0</v>
      </c>
    </row>
    <row r="184" spans="1:14" x14ac:dyDescent="0.25">
      <c r="A184" s="246"/>
      <c r="B184" s="352"/>
      <c r="C184" s="233"/>
      <c r="D184" s="230"/>
      <c r="E184" s="230"/>
      <c r="F184" s="230"/>
      <c r="G184" s="231"/>
      <c r="H184" s="233"/>
      <c r="I184" s="236"/>
      <c r="J184" s="271"/>
      <c r="K184" s="224" t="s">
        <v>147</v>
      </c>
      <c r="L184" s="224" t="s">
        <v>41</v>
      </c>
      <c r="N184">
        <f t="shared" si="0"/>
        <v>0</v>
      </c>
    </row>
    <row r="185" spans="1:14" x14ac:dyDescent="0.25">
      <c r="A185" s="246"/>
      <c r="B185" s="352"/>
      <c r="C185" s="233"/>
      <c r="D185" s="230"/>
      <c r="E185" s="230"/>
      <c r="F185" s="230"/>
      <c r="G185" s="231"/>
      <c r="H185" s="230"/>
      <c r="I185" s="236"/>
      <c r="J185" s="271"/>
      <c r="K185" s="224" t="s">
        <v>147</v>
      </c>
      <c r="L185" s="224" t="s">
        <v>41</v>
      </c>
      <c r="N185">
        <f t="shared" si="0"/>
        <v>0</v>
      </c>
    </row>
    <row r="186" spans="1:14" x14ac:dyDescent="0.25">
      <c r="A186" s="246"/>
      <c r="B186" s="352"/>
      <c r="C186" s="233"/>
      <c r="D186" s="230"/>
      <c r="E186" s="230"/>
      <c r="F186" s="230"/>
      <c r="G186" s="231"/>
      <c r="H186" s="233"/>
      <c r="I186" s="236"/>
      <c r="J186" s="271"/>
      <c r="K186" s="224" t="s">
        <v>147</v>
      </c>
      <c r="L186" s="224" t="s">
        <v>41</v>
      </c>
      <c r="N186">
        <f t="shared" si="0"/>
        <v>0</v>
      </c>
    </row>
    <row r="187" spans="1:14" x14ac:dyDescent="0.25">
      <c r="A187" s="246"/>
      <c r="B187" s="352"/>
      <c r="C187" s="233"/>
      <c r="D187" s="230"/>
      <c r="E187" s="230"/>
      <c r="F187" s="230"/>
      <c r="G187" s="231"/>
      <c r="H187" s="233"/>
      <c r="I187" s="236"/>
      <c r="J187" s="271"/>
      <c r="K187" s="224" t="s">
        <v>147</v>
      </c>
      <c r="L187" s="224" t="s">
        <v>41</v>
      </c>
      <c r="N187">
        <f t="shared" si="0"/>
        <v>0</v>
      </c>
    </row>
    <row r="188" spans="1:14" x14ac:dyDescent="0.25">
      <c r="A188" s="246"/>
      <c r="B188" s="352"/>
      <c r="C188" s="233"/>
      <c r="D188" s="230"/>
      <c r="E188" s="230"/>
      <c r="F188" s="230"/>
      <c r="G188" s="231"/>
      <c r="H188" s="230"/>
      <c r="I188" s="236"/>
      <c r="J188" s="271"/>
      <c r="K188" s="224" t="s">
        <v>147</v>
      </c>
      <c r="L188" s="224" t="s">
        <v>41</v>
      </c>
      <c r="N188">
        <f t="shared" si="0"/>
        <v>0</v>
      </c>
    </row>
    <row r="189" spans="1:14" x14ac:dyDescent="0.25">
      <c r="A189" s="246"/>
      <c r="B189" s="352"/>
      <c r="C189" s="233"/>
      <c r="D189" s="230"/>
      <c r="E189" s="230"/>
      <c r="F189" s="230"/>
      <c r="G189" s="231"/>
      <c r="H189" s="233"/>
      <c r="I189" s="236"/>
      <c r="J189" s="271"/>
      <c r="K189" s="224" t="s">
        <v>147</v>
      </c>
      <c r="L189" s="224" t="s">
        <v>41</v>
      </c>
      <c r="N189">
        <f t="shared" si="0"/>
        <v>0</v>
      </c>
    </row>
    <row r="190" spans="1:14" x14ac:dyDescent="0.25">
      <c r="A190" s="246"/>
      <c r="B190" s="352"/>
      <c r="C190" s="233"/>
      <c r="D190" s="230"/>
      <c r="E190" s="230"/>
      <c r="F190" s="230"/>
      <c r="G190" s="231"/>
      <c r="H190" s="230"/>
      <c r="I190" s="236"/>
      <c r="J190" s="271"/>
      <c r="K190" s="224" t="s">
        <v>147</v>
      </c>
      <c r="L190" s="224" t="s">
        <v>41</v>
      </c>
      <c r="N190">
        <f t="shared" si="0"/>
        <v>0</v>
      </c>
    </row>
    <row r="191" spans="1:14" x14ac:dyDescent="0.25">
      <c r="A191" s="246"/>
      <c r="B191" s="352"/>
      <c r="C191" s="233"/>
      <c r="D191" s="230"/>
      <c r="E191" s="230"/>
      <c r="F191" s="230"/>
      <c r="G191" s="231"/>
      <c r="H191" s="233"/>
      <c r="I191" s="236"/>
      <c r="J191" s="271"/>
      <c r="K191" s="224" t="s">
        <v>147</v>
      </c>
      <c r="L191" s="224" t="s">
        <v>41</v>
      </c>
      <c r="N191">
        <f t="shared" si="0"/>
        <v>0</v>
      </c>
    </row>
    <row r="192" spans="1:14" x14ac:dyDescent="0.25">
      <c r="A192" s="246"/>
      <c r="B192" s="352"/>
      <c r="C192" s="233"/>
      <c r="D192" s="230"/>
      <c r="E192" s="230"/>
      <c r="F192" s="230"/>
      <c r="G192" s="231"/>
      <c r="H192" s="233"/>
      <c r="I192" s="236"/>
      <c r="J192" s="271"/>
      <c r="K192" s="224" t="s">
        <v>147</v>
      </c>
      <c r="L192" s="224" t="s">
        <v>41</v>
      </c>
      <c r="N192">
        <f t="shared" si="0"/>
        <v>0</v>
      </c>
    </row>
    <row r="193" spans="1:14" x14ac:dyDescent="0.25">
      <c r="A193" s="246"/>
      <c r="B193" s="352"/>
      <c r="C193" s="233"/>
      <c r="D193" s="230"/>
      <c r="E193" s="230"/>
      <c r="F193" s="230"/>
      <c r="G193" s="231"/>
      <c r="H193" s="230"/>
      <c r="I193" s="236"/>
      <c r="J193" s="271"/>
      <c r="K193" s="224" t="s">
        <v>147</v>
      </c>
      <c r="L193" s="224" t="s">
        <v>41</v>
      </c>
      <c r="N193">
        <f t="shared" si="0"/>
        <v>0</v>
      </c>
    </row>
    <row r="194" spans="1:14" x14ac:dyDescent="0.25">
      <c r="A194" s="246"/>
      <c r="B194" s="352"/>
      <c r="C194" s="233"/>
      <c r="D194" s="230"/>
      <c r="E194" s="230"/>
      <c r="F194" s="230"/>
      <c r="G194" s="231"/>
      <c r="H194" s="233"/>
      <c r="I194" s="236"/>
      <c r="J194" s="271"/>
      <c r="K194" s="224" t="s">
        <v>147</v>
      </c>
      <c r="L194" s="224" t="s">
        <v>41</v>
      </c>
      <c r="N194">
        <f t="shared" si="0"/>
        <v>0</v>
      </c>
    </row>
    <row r="195" spans="1:14" x14ac:dyDescent="0.25">
      <c r="A195" s="246"/>
      <c r="B195" s="352"/>
      <c r="C195" s="233"/>
      <c r="D195" s="230"/>
      <c r="E195" s="230"/>
      <c r="F195" s="230"/>
      <c r="G195" s="231"/>
      <c r="H195" s="230"/>
      <c r="I195" s="236"/>
      <c r="J195" s="271"/>
      <c r="K195" s="224" t="s">
        <v>147</v>
      </c>
      <c r="L195" s="224" t="s">
        <v>41</v>
      </c>
      <c r="N195">
        <f t="shared" si="0"/>
        <v>0</v>
      </c>
    </row>
    <row r="196" spans="1:14" x14ac:dyDescent="0.25">
      <c r="A196" s="246"/>
      <c r="B196" s="352"/>
      <c r="C196" s="233"/>
      <c r="D196" s="230"/>
      <c r="E196" s="230"/>
      <c r="F196" s="230"/>
      <c r="G196" s="231"/>
      <c r="H196" s="233"/>
      <c r="I196" s="236"/>
      <c r="J196" s="271"/>
      <c r="K196" s="224" t="s">
        <v>147</v>
      </c>
      <c r="L196" s="224" t="s">
        <v>41</v>
      </c>
      <c r="N196">
        <f t="shared" si="0"/>
        <v>0</v>
      </c>
    </row>
    <row r="197" spans="1:14" x14ac:dyDescent="0.25">
      <c r="A197" s="246"/>
      <c r="B197" s="352"/>
      <c r="C197" s="233"/>
      <c r="D197" s="230"/>
      <c r="E197" s="230"/>
      <c r="F197" s="230"/>
      <c r="G197" s="231"/>
      <c r="H197" s="233"/>
      <c r="I197" s="236"/>
      <c r="J197" s="271"/>
      <c r="K197" s="224" t="s">
        <v>147</v>
      </c>
      <c r="L197" s="224" t="s">
        <v>41</v>
      </c>
      <c r="N197">
        <f t="shared" si="0"/>
        <v>0</v>
      </c>
    </row>
    <row r="198" spans="1:14" x14ac:dyDescent="0.25">
      <c r="A198" s="246"/>
      <c r="B198" s="352"/>
      <c r="C198" s="233"/>
      <c r="D198" s="230"/>
      <c r="E198" s="230"/>
      <c r="F198" s="230"/>
      <c r="G198" s="231"/>
      <c r="H198" s="230"/>
      <c r="I198" s="236"/>
      <c r="J198" s="271"/>
      <c r="K198" s="224" t="s">
        <v>147</v>
      </c>
      <c r="L198" s="224" t="s">
        <v>41</v>
      </c>
      <c r="N198">
        <f t="shared" si="0"/>
        <v>0</v>
      </c>
    </row>
    <row r="199" spans="1:14" x14ac:dyDescent="0.25">
      <c r="A199" s="246"/>
      <c r="B199" s="352"/>
      <c r="C199" s="233"/>
      <c r="D199" s="230"/>
      <c r="E199" s="230"/>
      <c r="F199" s="230"/>
      <c r="G199" s="231"/>
      <c r="H199" s="230"/>
      <c r="I199" s="236"/>
      <c r="J199" s="271"/>
      <c r="K199" s="224" t="s">
        <v>147</v>
      </c>
      <c r="L199" s="224" t="s">
        <v>41</v>
      </c>
      <c r="N199">
        <f t="shared" si="0"/>
        <v>0</v>
      </c>
    </row>
    <row r="200" spans="1:14" x14ac:dyDescent="0.25">
      <c r="A200" s="246"/>
      <c r="B200" s="352"/>
      <c r="C200" s="233"/>
      <c r="D200" s="230"/>
      <c r="E200" s="230"/>
      <c r="F200" s="230"/>
      <c r="G200" s="231"/>
      <c r="H200" s="233"/>
      <c r="I200" s="236"/>
      <c r="J200" s="271"/>
      <c r="K200" s="224" t="s">
        <v>147</v>
      </c>
      <c r="L200" s="224" t="s">
        <v>41</v>
      </c>
      <c r="N200">
        <f t="shared" si="0"/>
        <v>0</v>
      </c>
    </row>
    <row r="201" spans="1:14" x14ac:dyDescent="0.25">
      <c r="A201" s="246"/>
      <c r="B201" s="352"/>
      <c r="C201" s="233"/>
      <c r="D201" s="230"/>
      <c r="E201" s="230"/>
      <c r="F201" s="230"/>
      <c r="G201" s="231"/>
      <c r="H201" s="230"/>
      <c r="I201" s="236"/>
      <c r="J201" s="271"/>
      <c r="K201" s="224" t="s">
        <v>147</v>
      </c>
      <c r="L201" s="224" t="s">
        <v>41</v>
      </c>
      <c r="N201">
        <f t="shared" si="0"/>
        <v>0</v>
      </c>
    </row>
    <row r="202" spans="1:14" x14ac:dyDescent="0.25">
      <c r="A202" s="246"/>
      <c r="B202" s="352"/>
      <c r="C202" s="233"/>
      <c r="D202" s="230"/>
      <c r="E202" s="230"/>
      <c r="F202" s="230"/>
      <c r="G202" s="231"/>
      <c r="H202" s="233"/>
      <c r="I202" s="236"/>
      <c r="J202" s="271"/>
      <c r="K202" s="224" t="s">
        <v>147</v>
      </c>
      <c r="L202" s="224" t="s">
        <v>41</v>
      </c>
      <c r="N202">
        <f t="shared" si="0"/>
        <v>0</v>
      </c>
    </row>
    <row r="203" spans="1:14" x14ac:dyDescent="0.25">
      <c r="A203" s="246"/>
      <c r="B203" s="352"/>
      <c r="C203" s="233"/>
      <c r="D203" s="230"/>
      <c r="E203" s="230"/>
      <c r="F203" s="230"/>
      <c r="G203" s="231"/>
      <c r="H203" s="233"/>
      <c r="I203" s="236"/>
      <c r="J203" s="271"/>
      <c r="K203" s="224" t="s">
        <v>147</v>
      </c>
      <c r="L203" s="224" t="s">
        <v>41</v>
      </c>
    </row>
    <row r="204" spans="1:14" x14ac:dyDescent="0.25">
      <c r="A204" s="246"/>
      <c r="B204" s="352"/>
      <c r="C204" s="233"/>
      <c r="D204" s="230"/>
      <c r="E204" s="230"/>
      <c r="F204" s="230"/>
      <c r="G204" s="231"/>
      <c r="H204" s="230"/>
      <c r="I204" s="236"/>
      <c r="J204" s="271"/>
      <c r="K204" s="224" t="s">
        <v>147</v>
      </c>
      <c r="L204" s="224" t="s">
        <v>41</v>
      </c>
    </row>
    <row r="205" spans="1:14" x14ac:dyDescent="0.25">
      <c r="A205" s="246"/>
      <c r="B205" s="352"/>
      <c r="C205" s="233"/>
      <c r="D205" s="230"/>
      <c r="E205" s="230"/>
      <c r="F205" s="230"/>
      <c r="G205" s="231"/>
      <c r="H205" s="233"/>
      <c r="I205" s="236"/>
      <c r="J205" s="271"/>
      <c r="K205" s="224" t="s">
        <v>147</v>
      </c>
      <c r="L205" s="224" t="s">
        <v>41</v>
      </c>
    </row>
    <row r="206" spans="1:14" x14ac:dyDescent="0.25">
      <c r="A206" s="246"/>
      <c r="B206" s="352"/>
      <c r="C206" s="233"/>
      <c r="D206" s="230"/>
      <c r="E206" s="230"/>
      <c r="F206" s="230"/>
      <c r="G206" s="231"/>
      <c r="H206" s="230"/>
      <c r="I206" s="236"/>
      <c r="J206" s="271"/>
      <c r="K206" s="224" t="s">
        <v>147</v>
      </c>
      <c r="L206" s="224" t="s">
        <v>41</v>
      </c>
    </row>
    <row r="207" spans="1:14" x14ac:dyDescent="0.25">
      <c r="A207" s="246"/>
      <c r="B207" s="352"/>
      <c r="C207" s="233"/>
      <c r="D207" s="230"/>
      <c r="E207" s="230"/>
      <c r="F207" s="230"/>
      <c r="G207" s="231"/>
      <c r="H207" s="230"/>
      <c r="I207" s="236"/>
      <c r="J207" s="271"/>
      <c r="K207" s="224" t="s">
        <v>147</v>
      </c>
      <c r="L207" s="224" t="s">
        <v>41</v>
      </c>
    </row>
    <row r="208" spans="1:14" x14ac:dyDescent="0.25">
      <c r="A208" s="246"/>
      <c r="B208" s="352"/>
      <c r="C208" s="233"/>
      <c r="D208" s="230"/>
      <c r="E208" s="230"/>
      <c r="F208" s="230"/>
      <c r="G208" s="231"/>
      <c r="H208" s="233"/>
      <c r="I208" s="236"/>
      <c r="J208" s="271"/>
      <c r="K208" s="224" t="s">
        <v>147</v>
      </c>
      <c r="L208" s="224" t="s">
        <v>41</v>
      </c>
    </row>
    <row r="209" spans="1:12" x14ac:dyDescent="0.25">
      <c r="A209" s="246"/>
      <c r="B209" s="352"/>
      <c r="C209" s="233"/>
      <c r="D209" s="230"/>
      <c r="E209" s="230"/>
      <c r="F209" s="230"/>
      <c r="G209" s="231"/>
      <c r="H209" s="233"/>
      <c r="I209" s="236"/>
      <c r="J209" s="271"/>
      <c r="K209" s="224" t="s">
        <v>147</v>
      </c>
      <c r="L209" s="224" t="s">
        <v>41</v>
      </c>
    </row>
    <row r="210" spans="1:12" x14ac:dyDescent="0.25">
      <c r="A210" s="246"/>
      <c r="B210" s="352"/>
      <c r="C210" s="233"/>
      <c r="D210" s="230"/>
      <c r="E210" s="230"/>
      <c r="F210" s="230"/>
      <c r="G210" s="231"/>
      <c r="H210" s="230"/>
      <c r="I210" s="236"/>
      <c r="J210" s="271"/>
      <c r="K210" s="224" t="s">
        <v>147</v>
      </c>
      <c r="L210" s="224" t="s">
        <v>41</v>
      </c>
    </row>
    <row r="211" spans="1:12" x14ac:dyDescent="0.25">
      <c r="A211" s="246"/>
      <c r="B211" s="352"/>
      <c r="C211" s="233"/>
      <c r="D211" s="230"/>
      <c r="E211" s="230"/>
      <c r="F211" s="230"/>
      <c r="G211" s="231"/>
      <c r="H211" s="230"/>
      <c r="I211" s="236"/>
      <c r="J211" s="271"/>
      <c r="K211" s="224" t="s">
        <v>147</v>
      </c>
      <c r="L211" s="224" t="s">
        <v>41</v>
      </c>
    </row>
    <row r="212" spans="1:12" x14ac:dyDescent="0.25">
      <c r="A212" s="246"/>
      <c r="B212" s="352"/>
      <c r="C212" s="233"/>
      <c r="D212" s="230"/>
      <c r="E212" s="230"/>
      <c r="F212" s="230"/>
      <c r="G212" s="231"/>
      <c r="H212" s="230"/>
      <c r="I212" s="236"/>
      <c r="J212" s="271"/>
      <c r="K212" s="224" t="s">
        <v>147</v>
      </c>
      <c r="L212" s="224" t="s">
        <v>41</v>
      </c>
    </row>
    <row r="213" spans="1:12" x14ac:dyDescent="0.25">
      <c r="A213" s="246"/>
      <c r="B213" s="352"/>
      <c r="C213" s="233"/>
      <c r="D213" s="230"/>
      <c r="E213" s="230"/>
      <c r="F213" s="230"/>
      <c r="G213" s="231"/>
      <c r="H213" s="233"/>
      <c r="I213" s="236"/>
      <c r="J213" s="271"/>
      <c r="K213" s="224" t="s">
        <v>147</v>
      </c>
      <c r="L213" s="224" t="s">
        <v>41</v>
      </c>
    </row>
    <row r="214" spans="1:12" x14ac:dyDescent="0.25">
      <c r="A214" s="246"/>
      <c r="B214" s="352"/>
      <c r="C214" s="233"/>
      <c r="D214" s="230"/>
      <c r="E214" s="230"/>
      <c r="F214" s="230"/>
      <c r="G214" s="231"/>
      <c r="H214" s="230"/>
      <c r="I214" s="236"/>
      <c r="J214" s="271"/>
      <c r="K214" s="224" t="s">
        <v>147</v>
      </c>
      <c r="L214" s="224" t="s">
        <v>41</v>
      </c>
    </row>
    <row r="215" spans="1:12" x14ac:dyDescent="0.25">
      <c r="A215" s="246"/>
      <c r="B215" s="352"/>
      <c r="C215" s="233"/>
      <c r="D215" s="230"/>
      <c r="E215" s="230"/>
      <c r="F215" s="230"/>
      <c r="G215" s="231"/>
      <c r="H215" s="230"/>
      <c r="I215" s="236"/>
      <c r="J215" s="271"/>
      <c r="K215" s="224" t="s">
        <v>147</v>
      </c>
      <c r="L215" s="224" t="s">
        <v>41</v>
      </c>
    </row>
    <row r="216" spans="1:12" x14ac:dyDescent="0.25">
      <c r="A216" s="246"/>
      <c r="B216" s="352"/>
      <c r="C216" s="233"/>
      <c r="D216" s="230"/>
      <c r="E216" s="230"/>
      <c r="F216" s="230"/>
      <c r="G216" s="231"/>
      <c r="H216" s="230"/>
      <c r="I216" s="236"/>
      <c r="J216" s="271"/>
      <c r="K216" s="224" t="s">
        <v>147</v>
      </c>
      <c r="L216" s="224" t="s">
        <v>41</v>
      </c>
    </row>
    <row r="217" spans="1:12" x14ac:dyDescent="0.25">
      <c r="A217" s="246"/>
      <c r="B217" s="352"/>
      <c r="C217" s="233"/>
      <c r="D217" s="230"/>
      <c r="E217" s="230"/>
      <c r="F217" s="230"/>
      <c r="G217" s="231"/>
      <c r="H217" s="230"/>
      <c r="I217" s="236"/>
      <c r="J217" s="271"/>
      <c r="K217" s="224" t="s">
        <v>147</v>
      </c>
      <c r="L217" s="224" t="s">
        <v>41</v>
      </c>
    </row>
    <row r="218" spans="1:12" x14ac:dyDescent="0.25">
      <c r="A218" s="246"/>
      <c r="B218" s="352"/>
      <c r="C218" s="233"/>
      <c r="D218" s="230"/>
      <c r="E218" s="230"/>
      <c r="F218" s="230"/>
      <c r="G218" s="231"/>
      <c r="H218" s="230"/>
      <c r="I218" s="236"/>
      <c r="J218" s="271"/>
      <c r="K218" s="224" t="s">
        <v>147</v>
      </c>
      <c r="L218" s="224" t="s">
        <v>41</v>
      </c>
    </row>
    <row r="219" spans="1:12" x14ac:dyDescent="0.25">
      <c r="A219" s="246"/>
      <c r="B219" s="352"/>
      <c r="C219" s="233"/>
      <c r="D219" s="230"/>
      <c r="E219" s="230"/>
      <c r="F219" s="230"/>
      <c r="G219" s="231"/>
      <c r="H219" s="230"/>
      <c r="I219" s="236"/>
      <c r="J219" s="271"/>
      <c r="K219" s="224" t="s">
        <v>147</v>
      </c>
      <c r="L219" s="224" t="s">
        <v>41</v>
      </c>
    </row>
    <row r="220" spans="1:12" x14ac:dyDescent="0.25">
      <c r="A220" s="246"/>
      <c r="B220" s="352"/>
      <c r="C220" s="233"/>
      <c r="D220" s="230"/>
      <c r="E220" s="230"/>
      <c r="F220" s="230"/>
      <c r="G220" s="231"/>
      <c r="H220" s="230"/>
      <c r="I220" s="236"/>
      <c r="J220" s="271"/>
      <c r="K220" s="224" t="s">
        <v>147</v>
      </c>
      <c r="L220" s="224" t="s">
        <v>41</v>
      </c>
    </row>
    <row r="221" spans="1:12" x14ac:dyDescent="0.25">
      <c r="A221" s="246"/>
      <c r="B221" s="352"/>
      <c r="C221" s="233"/>
      <c r="D221" s="230"/>
      <c r="E221" s="230"/>
      <c r="F221" s="230"/>
      <c r="G221" s="231"/>
      <c r="H221" s="230"/>
      <c r="I221" s="236"/>
      <c r="J221" s="271"/>
      <c r="K221" s="224" t="s">
        <v>147</v>
      </c>
      <c r="L221" s="224" t="s">
        <v>41</v>
      </c>
    </row>
    <row r="222" spans="1:12" x14ac:dyDescent="0.25">
      <c r="A222" s="246"/>
      <c r="B222" s="352"/>
      <c r="C222" s="233"/>
      <c r="D222" s="230"/>
      <c r="E222" s="230"/>
      <c r="F222" s="230"/>
      <c r="G222" s="231"/>
      <c r="H222" s="230"/>
      <c r="I222" s="236"/>
      <c r="J222" s="271"/>
      <c r="K222" s="224" t="s">
        <v>147</v>
      </c>
      <c r="L222" s="224" t="s">
        <v>41</v>
      </c>
    </row>
    <row r="223" spans="1:12" x14ac:dyDescent="0.25">
      <c r="A223" s="246"/>
      <c r="B223" s="352"/>
      <c r="C223" s="233"/>
      <c r="D223" s="230"/>
      <c r="E223" s="230"/>
      <c r="F223" s="230"/>
      <c r="G223" s="231"/>
      <c r="H223" s="230"/>
      <c r="I223" s="236"/>
      <c r="J223" s="271"/>
      <c r="K223" s="224" t="s">
        <v>147</v>
      </c>
      <c r="L223" s="224" t="s">
        <v>41</v>
      </c>
    </row>
    <row r="224" spans="1:12" x14ac:dyDescent="0.25">
      <c r="A224" s="246"/>
      <c r="B224" s="352"/>
      <c r="C224" s="233"/>
      <c r="D224" s="230"/>
      <c r="E224" s="230"/>
      <c r="F224" s="230"/>
      <c r="G224" s="231"/>
      <c r="H224" s="230"/>
      <c r="I224" s="236"/>
      <c r="J224" s="271"/>
      <c r="K224" s="224" t="s">
        <v>147</v>
      </c>
      <c r="L224" s="224" t="s">
        <v>41</v>
      </c>
    </row>
    <row r="225" spans="1:17" x14ac:dyDescent="0.25">
      <c r="A225" s="246"/>
      <c r="B225" s="352"/>
      <c r="C225" s="233"/>
      <c r="D225" s="230"/>
      <c r="E225" s="230"/>
      <c r="F225" s="230"/>
      <c r="G225" s="231"/>
      <c r="H225" s="230"/>
      <c r="I225" s="236"/>
      <c r="J225" s="271"/>
      <c r="K225" s="224" t="s">
        <v>147</v>
      </c>
      <c r="L225" s="224" t="s">
        <v>41</v>
      </c>
    </row>
    <row r="226" spans="1:17" x14ac:dyDescent="0.25">
      <c r="A226" s="246"/>
      <c r="B226" s="352"/>
      <c r="C226" s="233"/>
      <c r="D226" s="230"/>
      <c r="E226" s="230"/>
      <c r="F226" s="230"/>
      <c r="G226" s="231"/>
      <c r="H226" s="230"/>
      <c r="I226" s="236"/>
      <c r="J226" s="271"/>
      <c r="K226" s="224" t="s">
        <v>147</v>
      </c>
      <c r="L226" s="224" t="s">
        <v>41</v>
      </c>
    </row>
    <row r="227" spans="1:17" x14ac:dyDescent="0.25">
      <c r="A227" s="246"/>
      <c r="B227" s="352"/>
      <c r="C227" s="233"/>
      <c r="D227" s="230"/>
      <c r="E227" s="230"/>
      <c r="F227" s="230"/>
      <c r="G227" s="231"/>
      <c r="H227" s="230"/>
      <c r="I227" s="236"/>
      <c r="J227" s="271"/>
      <c r="K227" s="224" t="s">
        <v>147</v>
      </c>
      <c r="L227" s="224" t="s">
        <v>41</v>
      </c>
    </row>
    <row r="228" spans="1:17" x14ac:dyDescent="0.25">
      <c r="A228" s="246"/>
      <c r="B228" s="352"/>
      <c r="C228" s="233"/>
      <c r="D228" s="230"/>
      <c r="E228" s="230"/>
      <c r="F228" s="230"/>
      <c r="G228" s="231"/>
      <c r="H228" s="233"/>
      <c r="I228" s="236"/>
      <c r="J228" s="271"/>
      <c r="K228" s="224" t="s">
        <v>147</v>
      </c>
      <c r="L228" s="224" t="s">
        <v>41</v>
      </c>
    </row>
    <row r="229" spans="1:17" x14ac:dyDescent="0.25">
      <c r="A229" s="246"/>
      <c r="B229" s="352"/>
      <c r="C229" s="233"/>
      <c r="D229" s="230"/>
      <c r="E229" s="230"/>
      <c r="F229" s="230"/>
      <c r="G229" s="231"/>
      <c r="H229" s="230"/>
      <c r="I229" s="236"/>
      <c r="J229" s="271"/>
      <c r="K229" s="224" t="s">
        <v>147</v>
      </c>
      <c r="L229" s="224" t="s">
        <v>41</v>
      </c>
      <c r="Q229" s="69">
        <f>SUM(I229:I231,I227,I236:I237,I239:I241,I244:I247,I249:I250,I253:I256,I258:I261,I263:I265,I267,I269:I272)</f>
        <v>0</v>
      </c>
    </row>
    <row r="230" spans="1:17" x14ac:dyDescent="0.25">
      <c r="A230" s="246"/>
      <c r="B230" s="352"/>
      <c r="C230" s="233"/>
      <c r="D230" s="230"/>
      <c r="E230" s="230"/>
      <c r="F230" s="230"/>
      <c r="G230" s="231"/>
      <c r="H230" s="230"/>
      <c r="I230" s="236"/>
      <c r="J230" s="271"/>
      <c r="K230" s="224" t="s">
        <v>147</v>
      </c>
      <c r="L230" s="224" t="s">
        <v>41</v>
      </c>
    </row>
    <row r="231" spans="1:17" x14ac:dyDescent="0.25">
      <c r="A231" s="246"/>
      <c r="B231" s="352"/>
      <c r="C231" s="233"/>
      <c r="D231" s="230"/>
      <c r="E231" s="230"/>
      <c r="F231" s="230"/>
      <c r="G231" s="231"/>
      <c r="H231" s="230"/>
      <c r="I231" s="236"/>
      <c r="J231" s="271"/>
      <c r="K231" s="224" t="s">
        <v>147</v>
      </c>
      <c r="L231" s="224" t="s">
        <v>41</v>
      </c>
    </row>
    <row r="232" spans="1:17" x14ac:dyDescent="0.25">
      <c r="A232" s="246"/>
      <c r="B232" s="352"/>
      <c r="C232" s="233"/>
      <c r="D232" s="230"/>
      <c r="E232" s="230"/>
      <c r="F232" s="230"/>
      <c r="G232" s="231"/>
      <c r="H232" s="233"/>
      <c r="I232" s="236"/>
      <c r="J232" s="271"/>
      <c r="K232" s="224" t="s">
        <v>147</v>
      </c>
      <c r="L232" s="224" t="s">
        <v>41</v>
      </c>
    </row>
    <row r="233" spans="1:17" x14ac:dyDescent="0.25">
      <c r="A233" s="246"/>
      <c r="B233" s="352"/>
      <c r="C233" s="233"/>
      <c r="D233" s="230"/>
      <c r="E233" s="230"/>
      <c r="F233" s="230"/>
      <c r="G233" s="231"/>
      <c r="H233" s="230"/>
      <c r="I233" s="236"/>
      <c r="J233" s="271"/>
      <c r="K233" s="224" t="s">
        <v>147</v>
      </c>
      <c r="L233" s="224" t="s">
        <v>41</v>
      </c>
    </row>
    <row r="234" spans="1:17" x14ac:dyDescent="0.25">
      <c r="A234" s="246"/>
      <c r="B234" s="352"/>
      <c r="C234" s="233"/>
      <c r="D234" s="230"/>
      <c r="E234" s="230"/>
      <c r="F234" s="230"/>
      <c r="G234" s="231"/>
      <c r="H234" s="230"/>
      <c r="I234" s="236"/>
      <c r="J234" s="271"/>
      <c r="K234" s="224" t="s">
        <v>147</v>
      </c>
      <c r="L234" s="224" t="s">
        <v>41</v>
      </c>
    </row>
    <row r="235" spans="1:17" x14ac:dyDescent="0.25">
      <c r="A235" s="246"/>
      <c r="B235" s="352"/>
      <c r="C235" s="233"/>
      <c r="D235" s="230"/>
      <c r="E235" s="230"/>
      <c r="F235" s="230"/>
      <c r="G235" s="231"/>
      <c r="H235" s="230"/>
      <c r="I235" s="236"/>
      <c r="J235" s="271"/>
      <c r="K235" s="224" t="s">
        <v>147</v>
      </c>
      <c r="L235" s="224" t="s">
        <v>41</v>
      </c>
    </row>
    <row r="236" spans="1:17" x14ac:dyDescent="0.25">
      <c r="A236" s="246"/>
      <c r="B236" s="352"/>
      <c r="C236" s="233"/>
      <c r="D236" s="230"/>
      <c r="E236" s="230"/>
      <c r="F236" s="230"/>
      <c r="G236" s="231"/>
      <c r="H236" s="230"/>
      <c r="I236" s="236"/>
      <c r="J236" s="271"/>
      <c r="K236" s="224" t="s">
        <v>147</v>
      </c>
      <c r="L236" s="224" t="s">
        <v>41</v>
      </c>
    </row>
    <row r="237" spans="1:17" x14ac:dyDescent="0.25">
      <c r="A237" s="246"/>
      <c r="B237" s="352"/>
      <c r="C237" s="233"/>
      <c r="D237" s="230"/>
      <c r="E237" s="230"/>
      <c r="F237" s="230"/>
      <c r="G237" s="231"/>
      <c r="H237" s="230"/>
      <c r="I237" s="236"/>
      <c r="J237" s="271"/>
      <c r="K237" s="224" t="s">
        <v>147</v>
      </c>
      <c r="L237" s="224" t="s">
        <v>41</v>
      </c>
    </row>
    <row r="238" spans="1:17" x14ac:dyDescent="0.25">
      <c r="A238" s="246"/>
      <c r="B238" s="352"/>
      <c r="C238" s="233"/>
      <c r="D238" s="230"/>
      <c r="E238" s="230"/>
      <c r="F238" s="230"/>
      <c r="G238" s="231"/>
      <c r="H238" s="233"/>
      <c r="I238" s="236"/>
      <c r="J238" s="271"/>
      <c r="K238" s="224" t="s">
        <v>147</v>
      </c>
      <c r="L238" s="224" t="s">
        <v>41</v>
      </c>
    </row>
    <row r="239" spans="1:17" x14ac:dyDescent="0.25">
      <c r="A239" s="246"/>
      <c r="B239" s="352"/>
      <c r="C239" s="233"/>
      <c r="D239" s="230"/>
      <c r="E239" s="230"/>
      <c r="F239" s="230"/>
      <c r="G239" s="231"/>
      <c r="H239" s="230"/>
      <c r="I239" s="236"/>
      <c r="J239" s="271"/>
      <c r="K239" s="224" t="s">
        <v>147</v>
      </c>
      <c r="L239" s="224" t="s">
        <v>41</v>
      </c>
    </row>
    <row r="240" spans="1:17" x14ac:dyDescent="0.25">
      <c r="A240" s="246"/>
      <c r="B240" s="352"/>
      <c r="C240" s="233"/>
      <c r="D240" s="230"/>
      <c r="E240" s="230"/>
      <c r="F240" s="230"/>
      <c r="G240" s="231"/>
      <c r="H240" s="230"/>
      <c r="I240" s="236"/>
      <c r="J240" s="271"/>
      <c r="K240" s="224" t="s">
        <v>147</v>
      </c>
      <c r="L240" s="224" t="s">
        <v>41</v>
      </c>
    </row>
    <row r="241" spans="1:12" x14ac:dyDescent="0.25">
      <c r="A241" s="246"/>
      <c r="B241" s="352"/>
      <c r="C241" s="233"/>
      <c r="D241" s="230"/>
      <c r="E241" s="230"/>
      <c r="F241" s="230"/>
      <c r="G241" s="231"/>
      <c r="H241" s="230"/>
      <c r="I241" s="236"/>
      <c r="J241" s="271"/>
      <c r="K241" s="224" t="s">
        <v>147</v>
      </c>
      <c r="L241" s="224" t="s">
        <v>41</v>
      </c>
    </row>
    <row r="242" spans="1:12" x14ac:dyDescent="0.25">
      <c r="A242" s="246"/>
      <c r="B242" s="352"/>
      <c r="C242" s="233"/>
      <c r="D242" s="230"/>
      <c r="E242" s="230"/>
      <c r="F242" s="230"/>
      <c r="G242" s="231"/>
      <c r="H242" s="233"/>
      <c r="I242" s="236"/>
      <c r="J242" s="271"/>
      <c r="K242" s="224" t="s">
        <v>147</v>
      </c>
      <c r="L242" s="224" t="s">
        <v>41</v>
      </c>
    </row>
    <row r="243" spans="1:12" x14ac:dyDescent="0.25">
      <c r="A243" s="246"/>
      <c r="B243" s="352"/>
      <c r="C243" s="233"/>
      <c r="D243" s="230"/>
      <c r="E243" s="230"/>
      <c r="F243" s="230"/>
      <c r="G243" s="231"/>
      <c r="H243" s="230"/>
      <c r="I243" s="236"/>
      <c r="J243" s="271"/>
      <c r="K243" s="224" t="s">
        <v>147</v>
      </c>
      <c r="L243" s="224" t="s">
        <v>41</v>
      </c>
    </row>
    <row r="244" spans="1:12" x14ac:dyDescent="0.25">
      <c r="A244" s="246"/>
      <c r="B244" s="352"/>
      <c r="C244" s="233"/>
      <c r="D244" s="230"/>
      <c r="E244" s="230"/>
      <c r="F244" s="230"/>
      <c r="G244" s="231"/>
      <c r="H244" s="230"/>
      <c r="I244" s="236"/>
      <c r="J244" s="271"/>
      <c r="K244" s="224" t="s">
        <v>147</v>
      </c>
      <c r="L244" s="224" t="s">
        <v>41</v>
      </c>
    </row>
    <row r="245" spans="1:12" x14ac:dyDescent="0.25">
      <c r="A245" s="246"/>
      <c r="B245" s="352"/>
      <c r="C245" s="233"/>
      <c r="D245" s="230"/>
      <c r="E245" s="230"/>
      <c r="F245" s="230"/>
      <c r="G245" s="231"/>
      <c r="H245" s="230"/>
      <c r="I245" s="236"/>
      <c r="J245" s="271"/>
      <c r="K245" s="224" t="s">
        <v>147</v>
      </c>
      <c r="L245" s="224" t="s">
        <v>41</v>
      </c>
    </row>
    <row r="246" spans="1:12" x14ac:dyDescent="0.25">
      <c r="A246" s="246"/>
      <c r="B246" s="352"/>
      <c r="C246" s="233"/>
      <c r="D246" s="230"/>
      <c r="E246" s="230"/>
      <c r="F246" s="230"/>
      <c r="G246" s="231"/>
      <c r="H246" s="230"/>
      <c r="I246" s="236"/>
      <c r="J246" s="271"/>
      <c r="K246" s="224" t="s">
        <v>147</v>
      </c>
      <c r="L246" s="224" t="s">
        <v>41</v>
      </c>
    </row>
    <row r="247" spans="1:12" x14ac:dyDescent="0.25">
      <c r="A247" s="246"/>
      <c r="B247" s="352"/>
      <c r="C247" s="233"/>
      <c r="D247" s="230"/>
      <c r="E247" s="230"/>
      <c r="F247" s="230"/>
      <c r="G247" s="231"/>
      <c r="H247" s="230"/>
      <c r="I247" s="236"/>
      <c r="J247" s="271"/>
      <c r="K247" s="224" t="s">
        <v>147</v>
      </c>
      <c r="L247" s="224" t="s">
        <v>41</v>
      </c>
    </row>
    <row r="248" spans="1:12" x14ac:dyDescent="0.25">
      <c r="A248" s="246"/>
      <c r="B248" s="352"/>
      <c r="C248" s="233"/>
      <c r="D248" s="230"/>
      <c r="E248" s="230"/>
      <c r="F248" s="230"/>
      <c r="G248" s="231"/>
      <c r="H248" s="233"/>
      <c r="I248" s="236"/>
      <c r="J248" s="271"/>
      <c r="K248" s="224" t="s">
        <v>147</v>
      </c>
      <c r="L248" s="224" t="s">
        <v>41</v>
      </c>
    </row>
    <row r="249" spans="1:12" x14ac:dyDescent="0.25">
      <c r="A249" s="246"/>
      <c r="B249" s="352"/>
      <c r="C249" s="233"/>
      <c r="D249" s="230"/>
      <c r="E249" s="230"/>
      <c r="F249" s="230"/>
      <c r="G249" s="231"/>
      <c r="H249" s="230"/>
      <c r="I249" s="236"/>
      <c r="J249" s="271"/>
      <c r="K249" s="224" t="s">
        <v>147</v>
      </c>
      <c r="L249" s="224" t="s">
        <v>41</v>
      </c>
    </row>
    <row r="250" spans="1:12" x14ac:dyDescent="0.25">
      <c r="A250" s="246"/>
      <c r="B250" s="352"/>
      <c r="C250" s="233"/>
      <c r="D250" s="230"/>
      <c r="E250" s="230"/>
      <c r="F250" s="230"/>
      <c r="G250" s="231"/>
      <c r="H250" s="230"/>
      <c r="I250" s="236"/>
      <c r="J250" s="271"/>
      <c r="K250" s="224" t="s">
        <v>147</v>
      </c>
      <c r="L250" s="224" t="s">
        <v>41</v>
      </c>
    </row>
    <row r="251" spans="1:12" x14ac:dyDescent="0.25">
      <c r="A251" s="246"/>
      <c r="B251" s="352"/>
      <c r="C251" s="233"/>
      <c r="D251" s="230"/>
      <c r="E251" s="230"/>
      <c r="F251" s="230"/>
      <c r="G251" s="231"/>
      <c r="H251" s="233"/>
      <c r="I251" s="236"/>
      <c r="J251" s="271"/>
      <c r="K251" s="224" t="s">
        <v>147</v>
      </c>
      <c r="L251" s="224" t="s">
        <v>41</v>
      </c>
    </row>
    <row r="252" spans="1:12" x14ac:dyDescent="0.25">
      <c r="A252" s="246"/>
      <c r="B252" s="352"/>
      <c r="C252" s="233"/>
      <c r="D252" s="230"/>
      <c r="E252" s="230"/>
      <c r="F252" s="230"/>
      <c r="G252" s="231"/>
      <c r="H252" s="230"/>
      <c r="I252" s="236"/>
      <c r="J252" s="271"/>
      <c r="K252" s="224" t="s">
        <v>147</v>
      </c>
      <c r="L252" s="224" t="s">
        <v>41</v>
      </c>
    </row>
    <row r="253" spans="1:12" x14ac:dyDescent="0.25">
      <c r="A253" s="246"/>
      <c r="B253" s="352"/>
      <c r="C253" s="233"/>
      <c r="D253" s="230"/>
      <c r="E253" s="230"/>
      <c r="F253" s="230"/>
      <c r="G253" s="231"/>
      <c r="H253" s="230"/>
      <c r="I253" s="236"/>
      <c r="J253" s="271"/>
      <c r="K253" s="224" t="s">
        <v>147</v>
      </c>
      <c r="L253" s="224" t="s">
        <v>41</v>
      </c>
    </row>
    <row r="254" spans="1:12" x14ac:dyDescent="0.25">
      <c r="A254" s="246"/>
      <c r="B254" s="352"/>
      <c r="C254" s="233"/>
      <c r="D254" s="230"/>
      <c r="E254" s="230"/>
      <c r="F254" s="230"/>
      <c r="G254" s="231"/>
      <c r="H254" s="230"/>
      <c r="I254" s="236"/>
      <c r="J254" s="271"/>
      <c r="K254" s="224" t="s">
        <v>147</v>
      </c>
      <c r="L254" s="224" t="s">
        <v>41</v>
      </c>
    </row>
    <row r="255" spans="1:12" x14ac:dyDescent="0.25">
      <c r="A255" s="246"/>
      <c r="B255" s="352"/>
      <c r="C255" s="233"/>
      <c r="D255" s="230"/>
      <c r="E255" s="230"/>
      <c r="F255" s="230"/>
      <c r="G255" s="231"/>
      <c r="H255" s="230"/>
      <c r="I255" s="236"/>
      <c r="J255" s="271"/>
      <c r="K255" s="224" t="s">
        <v>147</v>
      </c>
      <c r="L255" s="224" t="s">
        <v>41</v>
      </c>
    </row>
    <row r="256" spans="1:12" x14ac:dyDescent="0.25">
      <c r="A256" s="246"/>
      <c r="B256" s="352"/>
      <c r="C256" s="233"/>
      <c r="D256" s="230"/>
      <c r="E256" s="230"/>
      <c r="F256" s="230"/>
      <c r="G256" s="231"/>
      <c r="H256" s="230"/>
      <c r="I256" s="236"/>
      <c r="J256" s="271"/>
      <c r="K256" s="224" t="s">
        <v>147</v>
      </c>
      <c r="L256" s="224" t="s">
        <v>41</v>
      </c>
    </row>
    <row r="257" spans="1:12" x14ac:dyDescent="0.25">
      <c r="A257" s="246"/>
      <c r="B257" s="352"/>
      <c r="C257" s="233"/>
      <c r="D257" s="230"/>
      <c r="E257" s="230"/>
      <c r="F257" s="230"/>
      <c r="G257" s="231"/>
      <c r="H257" s="233"/>
      <c r="I257" s="236"/>
      <c r="J257" s="271"/>
      <c r="K257" s="224" t="s">
        <v>147</v>
      </c>
      <c r="L257" s="224" t="s">
        <v>41</v>
      </c>
    </row>
    <row r="258" spans="1:12" x14ac:dyDescent="0.25">
      <c r="A258" s="246"/>
      <c r="B258" s="352"/>
      <c r="C258" s="233"/>
      <c r="D258" s="230"/>
      <c r="E258" s="230"/>
      <c r="F258" s="230"/>
      <c r="G258" s="231"/>
      <c r="H258" s="230"/>
      <c r="I258" s="236"/>
      <c r="J258" s="271"/>
      <c r="K258" s="224" t="s">
        <v>147</v>
      </c>
      <c r="L258" s="224" t="s">
        <v>41</v>
      </c>
    </row>
    <row r="259" spans="1:12" x14ac:dyDescent="0.25">
      <c r="A259" s="246"/>
      <c r="B259" s="352"/>
      <c r="C259" s="233"/>
      <c r="D259" s="230"/>
      <c r="E259" s="230"/>
      <c r="F259" s="230"/>
      <c r="G259" s="231"/>
      <c r="H259" s="230"/>
      <c r="I259" s="236"/>
      <c r="J259" s="271"/>
      <c r="K259" s="224" t="s">
        <v>147</v>
      </c>
      <c r="L259" s="224" t="s">
        <v>41</v>
      </c>
    </row>
    <row r="260" spans="1:12" x14ac:dyDescent="0.25">
      <c r="A260" s="246"/>
      <c r="B260" s="352"/>
      <c r="C260" s="233"/>
      <c r="D260" s="230"/>
      <c r="E260" s="230"/>
      <c r="F260" s="230"/>
      <c r="G260" s="231"/>
      <c r="H260" s="230"/>
      <c r="I260" s="236"/>
      <c r="J260" s="271"/>
      <c r="K260" s="224" t="s">
        <v>147</v>
      </c>
      <c r="L260" s="224" t="s">
        <v>41</v>
      </c>
    </row>
    <row r="261" spans="1:12" x14ac:dyDescent="0.25">
      <c r="A261" s="246"/>
      <c r="B261" s="352"/>
      <c r="C261" s="233"/>
      <c r="D261" s="230"/>
      <c r="E261" s="230"/>
      <c r="F261" s="230"/>
      <c r="G261" s="231"/>
      <c r="H261" s="230"/>
      <c r="I261" s="236"/>
      <c r="J261" s="271"/>
      <c r="K261" s="224" t="s">
        <v>147</v>
      </c>
      <c r="L261" s="224" t="s">
        <v>41</v>
      </c>
    </row>
    <row r="262" spans="1:12" x14ac:dyDescent="0.25">
      <c r="A262" s="246"/>
      <c r="B262" s="352"/>
      <c r="C262" s="233"/>
      <c r="D262" s="230"/>
      <c r="E262" s="230"/>
      <c r="F262" s="230"/>
      <c r="G262" s="231"/>
      <c r="H262" s="230"/>
      <c r="I262" s="236"/>
      <c r="J262" s="271"/>
      <c r="K262" s="224" t="s">
        <v>147</v>
      </c>
      <c r="L262" s="224" t="s">
        <v>41</v>
      </c>
    </row>
    <row r="263" spans="1:12" x14ac:dyDescent="0.25">
      <c r="A263" s="246"/>
      <c r="B263" s="352"/>
      <c r="C263" s="233"/>
      <c r="D263" s="230"/>
      <c r="E263" s="230"/>
      <c r="F263" s="230"/>
      <c r="G263" s="231"/>
      <c r="H263" s="230"/>
      <c r="I263" s="236"/>
      <c r="J263" s="271"/>
      <c r="K263" s="224" t="s">
        <v>147</v>
      </c>
      <c r="L263" s="224" t="s">
        <v>41</v>
      </c>
    </row>
    <row r="264" spans="1:12" x14ac:dyDescent="0.25">
      <c r="A264" s="246"/>
      <c r="B264" s="352"/>
      <c r="C264" s="233"/>
      <c r="D264" s="230"/>
      <c r="E264" s="230"/>
      <c r="F264" s="230"/>
      <c r="G264" s="231"/>
      <c r="H264" s="230"/>
      <c r="I264" s="236"/>
      <c r="J264" s="271"/>
      <c r="K264" s="224" t="s">
        <v>147</v>
      </c>
      <c r="L264" s="224" t="s">
        <v>41</v>
      </c>
    </row>
    <row r="265" spans="1:12" x14ac:dyDescent="0.25">
      <c r="A265" s="246"/>
      <c r="B265" s="352"/>
      <c r="C265" s="233"/>
      <c r="D265" s="230"/>
      <c r="E265" s="230"/>
      <c r="F265" s="230"/>
      <c r="G265" s="231"/>
      <c r="H265" s="230"/>
      <c r="I265" s="236"/>
      <c r="J265" s="271"/>
      <c r="K265" s="224" t="s">
        <v>147</v>
      </c>
      <c r="L265" s="224" t="s">
        <v>41</v>
      </c>
    </row>
    <row r="266" spans="1:12" x14ac:dyDescent="0.25">
      <c r="A266" s="246"/>
      <c r="B266" s="352"/>
      <c r="C266" s="233"/>
      <c r="D266" s="230"/>
      <c r="E266" s="230"/>
      <c r="F266" s="230"/>
      <c r="G266" s="231"/>
      <c r="H266" s="233"/>
      <c r="I266" s="236"/>
      <c r="J266" s="271"/>
      <c r="K266" s="224" t="s">
        <v>147</v>
      </c>
      <c r="L266" s="224" t="s">
        <v>41</v>
      </c>
    </row>
    <row r="267" spans="1:12" x14ac:dyDescent="0.25">
      <c r="A267" s="246"/>
      <c r="B267" s="352"/>
      <c r="C267" s="233"/>
      <c r="D267" s="230"/>
      <c r="E267" s="230"/>
      <c r="F267" s="230"/>
      <c r="G267" s="231"/>
      <c r="H267" s="230"/>
      <c r="I267" s="236"/>
      <c r="J267" s="271"/>
      <c r="K267" s="224" t="s">
        <v>147</v>
      </c>
      <c r="L267" s="224" t="s">
        <v>41</v>
      </c>
    </row>
    <row r="268" spans="1:12" x14ac:dyDescent="0.25">
      <c r="A268" s="246"/>
      <c r="B268" s="352"/>
      <c r="C268" s="233"/>
      <c r="D268" s="230"/>
      <c r="E268" s="230"/>
      <c r="F268" s="230"/>
      <c r="G268" s="231"/>
      <c r="H268" s="230"/>
      <c r="I268" s="236"/>
      <c r="J268" s="271"/>
      <c r="K268" s="224" t="s">
        <v>147</v>
      </c>
      <c r="L268" s="224" t="s">
        <v>41</v>
      </c>
    </row>
    <row r="269" spans="1:12" x14ac:dyDescent="0.25">
      <c r="A269" s="246"/>
      <c r="B269" s="352"/>
      <c r="C269" s="233"/>
      <c r="D269" s="230"/>
      <c r="E269" s="230"/>
      <c r="F269" s="230"/>
      <c r="G269" s="231"/>
      <c r="H269" s="230"/>
      <c r="I269" s="236"/>
      <c r="J269" s="271"/>
      <c r="K269" s="224" t="s">
        <v>147</v>
      </c>
      <c r="L269" s="224" t="s">
        <v>41</v>
      </c>
    </row>
    <row r="270" spans="1:12" x14ac:dyDescent="0.25">
      <c r="A270" s="246"/>
      <c r="B270" s="352"/>
      <c r="C270" s="233"/>
      <c r="D270" s="230"/>
      <c r="E270" s="230"/>
      <c r="F270" s="230"/>
      <c r="G270" s="231"/>
      <c r="H270" s="230"/>
      <c r="I270" s="236"/>
      <c r="J270" s="271"/>
      <c r="K270" s="224" t="s">
        <v>147</v>
      </c>
      <c r="L270" s="224" t="s">
        <v>41</v>
      </c>
    </row>
    <row r="271" spans="1:12" x14ac:dyDescent="0.25">
      <c r="A271" s="246"/>
      <c r="B271" s="352"/>
      <c r="C271" s="233"/>
      <c r="D271" s="230"/>
      <c r="E271" s="230"/>
      <c r="F271" s="230"/>
      <c r="G271" s="231"/>
      <c r="H271" s="230"/>
      <c r="I271" s="236"/>
      <c r="J271" s="271"/>
      <c r="K271" s="224" t="s">
        <v>147</v>
      </c>
      <c r="L271" s="224" t="s">
        <v>41</v>
      </c>
    </row>
    <row r="272" spans="1:12" x14ac:dyDescent="0.25">
      <c r="A272" s="246"/>
      <c r="B272" s="352"/>
      <c r="C272" s="233"/>
      <c r="D272" s="230"/>
      <c r="E272" s="230"/>
      <c r="F272" s="230"/>
      <c r="G272" s="231"/>
      <c r="H272" s="230"/>
      <c r="I272" s="236"/>
      <c r="J272" s="271"/>
      <c r="K272" s="224" t="s">
        <v>147</v>
      </c>
      <c r="L272" s="224" t="s">
        <v>41</v>
      </c>
    </row>
    <row r="273" spans="1:17" x14ac:dyDescent="0.25">
      <c r="A273" s="246"/>
      <c r="B273" s="352"/>
      <c r="C273" s="233"/>
      <c r="D273" s="230"/>
      <c r="E273" s="230"/>
      <c r="F273" s="230"/>
      <c r="G273" s="231"/>
      <c r="H273" s="230"/>
      <c r="I273" s="236"/>
      <c r="J273" s="271"/>
      <c r="K273" s="224"/>
      <c r="L273" s="224"/>
    </row>
    <row r="274" spans="1:17" x14ac:dyDescent="0.25">
      <c r="A274" s="246"/>
      <c r="B274" s="352"/>
      <c r="C274" s="233"/>
      <c r="D274" s="230"/>
      <c r="E274" s="230"/>
      <c r="F274" s="230"/>
      <c r="G274" s="231"/>
      <c r="H274" s="230"/>
      <c r="I274" s="236"/>
      <c r="J274" s="271"/>
      <c r="K274" s="224"/>
      <c r="L274" s="224"/>
    </row>
    <row r="275" spans="1:17" x14ac:dyDescent="0.25">
      <c r="A275" s="222"/>
      <c r="B275" s="353"/>
      <c r="C275" s="100"/>
      <c r="D275" s="224"/>
      <c r="E275" s="224"/>
      <c r="F275" s="224"/>
      <c r="G275" s="225"/>
      <c r="H275" s="224"/>
      <c r="I275" s="234"/>
      <c r="J275" s="235"/>
      <c r="K275" s="224"/>
      <c r="L275" s="224"/>
      <c r="N275">
        <f>SUM(N12:N194)</f>
        <v>59993</v>
      </c>
    </row>
    <row r="276" spans="1:17" x14ac:dyDescent="0.25">
      <c r="A276" s="285"/>
      <c r="B276" s="350"/>
      <c r="C276" s="60"/>
      <c r="D276" s="60"/>
      <c r="E276" s="60"/>
      <c r="F276" s="60"/>
      <c r="G276" s="60"/>
      <c r="H276" s="60"/>
      <c r="I276" s="61"/>
      <c r="J276" s="121"/>
      <c r="K276" s="60"/>
    </row>
    <row r="278" spans="1:17" x14ac:dyDescent="0.25">
      <c r="J278" s="123"/>
      <c r="K278" s="70"/>
    </row>
    <row r="279" spans="1:17" ht="16.5" customHeight="1" x14ac:dyDescent="0.25">
      <c r="C279" s="62" t="s">
        <v>20</v>
      </c>
      <c r="F279" s="62" t="s">
        <v>21</v>
      </c>
      <c r="J279" s="103" t="s">
        <v>109</v>
      </c>
      <c r="K279" s="127"/>
      <c r="Q279" s="30"/>
    </row>
    <row r="280" spans="1:17" x14ac:dyDescent="0.25">
      <c r="J280" s="103" t="s">
        <v>110</v>
      </c>
      <c r="K280" s="127"/>
      <c r="L280" s="98"/>
    </row>
    <row r="281" spans="1:17" x14ac:dyDescent="0.25">
      <c r="J281" s="103" t="s">
        <v>138</v>
      </c>
      <c r="K281" s="128"/>
    </row>
    <row r="282" spans="1:17" x14ac:dyDescent="0.25">
      <c r="C282" s="124" t="s">
        <v>1577</v>
      </c>
      <c r="F282" s="617" t="s">
        <v>157</v>
      </c>
      <c r="G282" s="617"/>
      <c r="H282" s="617"/>
      <c r="I282" s="617"/>
      <c r="J282" s="103" t="s">
        <v>1265</v>
      </c>
      <c r="K282" s="128"/>
    </row>
    <row r="283" spans="1:17" x14ac:dyDescent="0.25">
      <c r="C283" s="62" t="s">
        <v>967</v>
      </c>
      <c r="F283" s="618" t="s">
        <v>158</v>
      </c>
      <c r="G283" s="618"/>
      <c r="H283" s="618"/>
      <c r="I283" s="618"/>
      <c r="J283" s="103" t="s">
        <v>111</v>
      </c>
      <c r="K283" s="127"/>
    </row>
    <row r="284" spans="1:17" x14ac:dyDescent="0.25">
      <c r="J284" s="103" t="s">
        <v>112</v>
      </c>
      <c r="K284" s="128"/>
    </row>
    <row r="285" spans="1:17" s="62" customFormat="1" x14ac:dyDescent="0.25">
      <c r="A285" s="453"/>
      <c r="B285" s="453"/>
      <c r="J285" s="103" t="s">
        <v>114</v>
      </c>
      <c r="K285" s="288"/>
      <c r="M285"/>
      <c r="N285"/>
      <c r="O285"/>
    </row>
    <row r="286" spans="1:17" s="62" customFormat="1" x14ac:dyDescent="0.25">
      <c r="A286" s="453"/>
      <c r="B286" s="453"/>
      <c r="J286" s="103" t="s">
        <v>22</v>
      </c>
      <c r="K286" s="128"/>
      <c r="M286"/>
      <c r="N286"/>
      <c r="O286"/>
    </row>
    <row r="287" spans="1:17" s="62" customFormat="1" x14ac:dyDescent="0.25">
      <c r="A287" s="453"/>
      <c r="B287" s="453"/>
      <c r="C287" s="99"/>
      <c r="F287" s="99"/>
      <c r="G287" s="99"/>
      <c r="H287" s="99"/>
      <c r="J287" s="125" t="s">
        <v>107</v>
      </c>
      <c r="K287" s="71"/>
      <c r="M287"/>
      <c r="N287"/>
      <c r="O287"/>
    </row>
    <row r="288" spans="1:17" s="62" customFormat="1" x14ac:dyDescent="0.25">
      <c r="A288" s="453"/>
      <c r="B288" s="453"/>
      <c r="J288" s="125" t="s">
        <v>108</v>
      </c>
      <c r="K288" s="70"/>
      <c r="M288"/>
      <c r="N288"/>
      <c r="O288"/>
    </row>
    <row r="289" spans="1:15" s="62" customFormat="1" x14ac:dyDescent="0.25">
      <c r="A289" s="453"/>
      <c r="B289" s="453"/>
      <c r="J289" s="103"/>
      <c r="K289" s="70"/>
      <c r="M289"/>
      <c r="N289"/>
      <c r="O289"/>
    </row>
    <row r="290" spans="1:15" s="62" customFormat="1" x14ac:dyDescent="0.25">
      <c r="A290" s="453"/>
      <c r="B290" s="453"/>
      <c r="J290" s="103"/>
      <c r="K290" s="71"/>
      <c r="M290"/>
      <c r="N290"/>
      <c r="O290"/>
    </row>
    <row r="291" spans="1:15" s="62" customFormat="1" x14ac:dyDescent="0.25">
      <c r="A291" s="453"/>
      <c r="B291" s="453"/>
      <c r="J291" s="103"/>
      <c r="K291" s="71"/>
      <c r="M291"/>
      <c r="N291"/>
      <c r="O291"/>
    </row>
    <row r="311" spans="13:13" x14ac:dyDescent="0.25">
      <c r="M311" s="30"/>
    </row>
    <row r="334" spans="13:13" x14ac:dyDescent="0.25">
      <c r="M334" s="30"/>
    </row>
    <row r="461" spans="13:13" x14ac:dyDescent="0.25">
      <c r="M461" s="30"/>
    </row>
  </sheetData>
  <mergeCells count="8">
    <mergeCell ref="F282:I282"/>
    <mergeCell ref="F283:I283"/>
    <mergeCell ref="A1:L1"/>
    <mergeCell ref="A2:L2"/>
    <mergeCell ref="A6:C6"/>
    <mergeCell ref="G7:I7"/>
    <mergeCell ref="K7:L7"/>
    <mergeCell ref="A8:C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C3216-CA2D-4647-9952-4365DAE56E3D}">
  <sheetPr>
    <tabColor theme="5"/>
  </sheetPr>
  <dimension ref="A1:O41"/>
  <sheetViews>
    <sheetView view="pageBreakPreview" topLeftCell="A2" zoomScale="96" zoomScaleNormal="100" zoomScaleSheetLayoutView="96" workbookViewId="0">
      <selection activeCell="H19" sqref="H19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1.71093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2306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/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/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429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429" t="s">
        <v>13</v>
      </c>
      <c r="L9" s="429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20.25" customHeight="1" x14ac:dyDescent="0.25">
      <c r="A12" s="294">
        <v>2</v>
      </c>
      <c r="B12" s="333" t="s">
        <v>489</v>
      </c>
      <c r="C12" s="334"/>
      <c r="D12" s="333" t="s">
        <v>420</v>
      </c>
      <c r="E12" s="355" t="s">
        <v>69</v>
      </c>
      <c r="F12" s="336" t="s">
        <v>2388</v>
      </c>
      <c r="G12" s="333" t="s">
        <v>2389</v>
      </c>
      <c r="H12" s="333" t="s">
        <v>40</v>
      </c>
      <c r="I12" s="337">
        <v>15135</v>
      </c>
      <c r="J12" s="220" t="s">
        <v>152</v>
      </c>
      <c r="K12" s="100"/>
      <c r="L12" s="181" t="s">
        <v>41</v>
      </c>
    </row>
    <row r="13" spans="1:15" ht="22.5" customHeight="1" x14ac:dyDescent="0.25">
      <c r="A13" s="294">
        <v>5</v>
      </c>
      <c r="B13" s="333" t="s">
        <v>2428</v>
      </c>
      <c r="C13" s="334"/>
      <c r="D13" s="335"/>
      <c r="E13" s="355" t="s">
        <v>70</v>
      </c>
      <c r="F13" s="336" t="s">
        <v>1854</v>
      </c>
      <c r="G13" s="333" t="s">
        <v>1855</v>
      </c>
      <c r="H13" s="333" t="s">
        <v>40</v>
      </c>
      <c r="I13" s="337">
        <v>15500</v>
      </c>
      <c r="J13" s="220" t="s">
        <v>152</v>
      </c>
      <c r="K13" s="100"/>
      <c r="L13" s="181" t="s">
        <v>41</v>
      </c>
    </row>
    <row r="14" spans="1:15" s="62" customFormat="1" ht="20.25" customHeight="1" x14ac:dyDescent="0.25">
      <c r="A14" s="294">
        <v>5</v>
      </c>
      <c r="B14" s="333" t="s">
        <v>1490</v>
      </c>
      <c r="C14" s="334"/>
      <c r="D14" s="335"/>
      <c r="E14" s="333" t="s">
        <v>2444</v>
      </c>
      <c r="F14" s="336" t="s">
        <v>1491</v>
      </c>
      <c r="G14" s="231" t="s">
        <v>1492</v>
      </c>
      <c r="H14" s="233" t="s">
        <v>40</v>
      </c>
      <c r="I14" s="343">
        <v>15000</v>
      </c>
      <c r="J14" s="220" t="s">
        <v>152</v>
      </c>
      <c r="K14" s="100"/>
      <c r="L14" s="181" t="s">
        <v>41</v>
      </c>
      <c r="M14" s="166"/>
    </row>
    <row r="15" spans="1:15" s="62" customFormat="1" ht="16.5" customHeight="1" x14ac:dyDescent="0.25">
      <c r="A15" s="275">
        <v>6</v>
      </c>
      <c r="B15" s="345" t="s">
        <v>2469</v>
      </c>
      <c r="C15" s="446"/>
      <c r="D15" s="447" t="s">
        <v>2470</v>
      </c>
      <c r="E15" s="447" t="s">
        <v>67</v>
      </c>
      <c r="F15" s="448" t="s">
        <v>2471</v>
      </c>
      <c r="G15" s="447" t="s">
        <v>2472</v>
      </c>
      <c r="H15" s="342" t="s">
        <v>465</v>
      </c>
      <c r="I15" s="344">
        <v>2000</v>
      </c>
      <c r="J15" s="220" t="s">
        <v>152</v>
      </c>
      <c r="K15" s="100"/>
      <c r="L15" s="181" t="s">
        <v>41</v>
      </c>
      <c r="M15" s="166"/>
      <c r="O15" s="98"/>
    </row>
    <row r="16" spans="1:15" s="62" customFormat="1" ht="34.5" customHeight="1" x14ac:dyDescent="0.25">
      <c r="A16" s="295">
        <v>7</v>
      </c>
      <c r="B16" s="355" t="s">
        <v>805</v>
      </c>
      <c r="C16" s="339"/>
      <c r="D16" s="340" t="s">
        <v>358</v>
      </c>
      <c r="E16" s="340" t="s">
        <v>43</v>
      </c>
      <c r="F16" s="341" t="s">
        <v>806</v>
      </c>
      <c r="G16" s="340" t="s">
        <v>2484</v>
      </c>
      <c r="H16" s="345" t="s">
        <v>40</v>
      </c>
      <c r="I16" s="344">
        <v>1000</v>
      </c>
      <c r="J16" s="220" t="s">
        <v>152</v>
      </c>
      <c r="K16" s="100"/>
      <c r="L16" s="181" t="s">
        <v>41</v>
      </c>
      <c r="O16" s="98"/>
    </row>
    <row r="17" spans="1:15" s="62" customFormat="1" ht="18" customHeight="1" x14ac:dyDescent="0.25">
      <c r="A17" s="295">
        <v>8</v>
      </c>
      <c r="B17" s="338" t="s">
        <v>993</v>
      </c>
      <c r="C17" s="339"/>
      <c r="D17" s="340"/>
      <c r="E17" s="340" t="s">
        <v>67</v>
      </c>
      <c r="F17" s="341" t="s">
        <v>994</v>
      </c>
      <c r="G17" s="340" t="s">
        <v>2504</v>
      </c>
      <c r="H17" s="345" t="s">
        <v>40</v>
      </c>
      <c r="I17" s="344">
        <v>5000</v>
      </c>
      <c r="J17" s="220" t="s">
        <v>152</v>
      </c>
      <c r="K17" s="100"/>
      <c r="L17" s="181" t="s">
        <v>41</v>
      </c>
      <c r="O17" s="98"/>
    </row>
    <row r="18" spans="1:15" s="62" customFormat="1" ht="18" customHeight="1" x14ac:dyDescent="0.25">
      <c r="A18" s="295">
        <v>9</v>
      </c>
      <c r="B18" s="338" t="s">
        <v>594</v>
      </c>
      <c r="C18" s="339"/>
      <c r="D18" s="449" t="s">
        <v>2505</v>
      </c>
      <c r="E18" s="340" t="s">
        <v>795</v>
      </c>
      <c r="F18" s="341"/>
      <c r="G18" s="340" t="s">
        <v>2506</v>
      </c>
      <c r="H18" s="345" t="s">
        <v>465</v>
      </c>
      <c r="I18" s="344">
        <v>5000</v>
      </c>
      <c r="J18" s="220" t="s">
        <v>152</v>
      </c>
      <c r="K18" s="100"/>
      <c r="L18" s="181" t="s">
        <v>41</v>
      </c>
      <c r="O18" s="98"/>
    </row>
    <row r="19" spans="1:15" s="62" customFormat="1" ht="18" customHeight="1" x14ac:dyDescent="0.25">
      <c r="A19" s="295">
        <v>14</v>
      </c>
      <c r="B19" s="338" t="s">
        <v>2616</v>
      </c>
      <c r="C19" s="339"/>
      <c r="D19" s="340"/>
      <c r="E19" s="340" t="s">
        <v>58</v>
      </c>
      <c r="F19" s="341"/>
      <c r="G19" s="340" t="s">
        <v>2617</v>
      </c>
      <c r="H19" s="345" t="s">
        <v>465</v>
      </c>
      <c r="I19" s="344">
        <v>1000</v>
      </c>
      <c r="J19" s="220" t="s">
        <v>152</v>
      </c>
      <c r="K19" s="100"/>
      <c r="L19" s="181" t="s">
        <v>41</v>
      </c>
      <c r="O19" s="98"/>
    </row>
    <row r="20" spans="1:15" s="62" customFormat="1" ht="18" customHeight="1" x14ac:dyDescent="0.25">
      <c r="A20" s="275">
        <v>14</v>
      </c>
      <c r="B20" s="338" t="s">
        <v>2616</v>
      </c>
      <c r="C20" s="339"/>
      <c r="D20" s="340"/>
      <c r="E20" s="340" t="s">
        <v>58</v>
      </c>
      <c r="F20" s="341"/>
      <c r="G20" s="340" t="s">
        <v>2617</v>
      </c>
      <c r="H20" s="345" t="s">
        <v>40</v>
      </c>
      <c r="I20" s="344">
        <v>1500</v>
      </c>
      <c r="J20" s="220" t="s">
        <v>152</v>
      </c>
      <c r="K20" s="100"/>
      <c r="L20" s="181" t="s">
        <v>41</v>
      </c>
      <c r="O20" s="98"/>
    </row>
    <row r="21" spans="1:15" s="62" customFormat="1" ht="18" customHeight="1" x14ac:dyDescent="0.25">
      <c r="A21" s="295">
        <v>15</v>
      </c>
      <c r="B21" s="338" t="s">
        <v>2634</v>
      </c>
      <c r="C21" s="339"/>
      <c r="D21" s="340"/>
      <c r="E21" s="340" t="s">
        <v>82</v>
      </c>
      <c r="F21" s="341" t="s">
        <v>2635</v>
      </c>
      <c r="G21" s="340" t="s">
        <v>2636</v>
      </c>
      <c r="H21" s="345" t="s">
        <v>40</v>
      </c>
      <c r="I21" s="344">
        <v>10000</v>
      </c>
      <c r="J21" s="220" t="s">
        <v>152</v>
      </c>
      <c r="K21" s="100"/>
      <c r="L21" s="181" t="s">
        <v>41</v>
      </c>
      <c r="O21" s="98"/>
    </row>
    <row r="22" spans="1:15" s="62" customFormat="1" ht="18" customHeight="1" x14ac:dyDescent="0.25">
      <c r="A22" s="295">
        <v>15</v>
      </c>
      <c r="B22" s="277" t="s">
        <v>2637</v>
      </c>
      <c r="C22" s="216"/>
      <c r="D22" s="181"/>
      <c r="E22" s="181" t="s">
        <v>52</v>
      </c>
      <c r="F22" s="217" t="s">
        <v>2638</v>
      </c>
      <c r="G22" s="181" t="s">
        <v>2639</v>
      </c>
      <c r="H22" s="242" t="s">
        <v>40</v>
      </c>
      <c r="I22" s="221">
        <v>5000</v>
      </c>
      <c r="J22" s="220" t="s">
        <v>152</v>
      </c>
      <c r="K22" s="100"/>
      <c r="L22" s="181" t="s">
        <v>41</v>
      </c>
      <c r="O22" s="98"/>
    </row>
    <row r="23" spans="1:15" s="62" customFormat="1" ht="18" customHeight="1" x14ac:dyDescent="0.25">
      <c r="A23" s="215">
        <v>19</v>
      </c>
      <c r="B23" s="277" t="s">
        <v>2673</v>
      </c>
      <c r="C23" s="216"/>
      <c r="D23" s="181"/>
      <c r="E23" s="181" t="s">
        <v>46</v>
      </c>
      <c r="F23" s="217" t="s">
        <v>2672</v>
      </c>
      <c r="G23" s="181" t="s">
        <v>2674</v>
      </c>
      <c r="H23" s="242" t="s">
        <v>40</v>
      </c>
      <c r="I23" s="221">
        <v>3500</v>
      </c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75">
        <v>19</v>
      </c>
      <c r="B24" s="277" t="s">
        <v>2673</v>
      </c>
      <c r="C24" s="216"/>
      <c r="D24" s="181"/>
      <c r="E24" s="181" t="s">
        <v>46</v>
      </c>
      <c r="F24" s="217" t="s">
        <v>2672</v>
      </c>
      <c r="G24" s="181" t="s">
        <v>2674</v>
      </c>
      <c r="H24" s="242" t="s">
        <v>40</v>
      </c>
      <c r="I24" s="221">
        <v>19000</v>
      </c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240">
        <v>21</v>
      </c>
      <c r="B25" s="207" t="s">
        <v>983</v>
      </c>
      <c r="C25" s="100"/>
      <c r="D25" s="100"/>
      <c r="E25" s="100" t="s">
        <v>66</v>
      </c>
      <c r="F25" s="241" t="s">
        <v>2700</v>
      </c>
      <c r="G25" s="218" t="s">
        <v>2701</v>
      </c>
      <c r="H25" s="242" t="s">
        <v>40</v>
      </c>
      <c r="I25" s="221">
        <v>5000</v>
      </c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240">
        <v>21</v>
      </c>
      <c r="B26" s="207" t="s">
        <v>983</v>
      </c>
      <c r="C26" s="100"/>
      <c r="D26" s="100"/>
      <c r="E26" s="100" t="s">
        <v>66</v>
      </c>
      <c r="F26" s="241" t="s">
        <v>2700</v>
      </c>
      <c r="G26" s="218" t="s">
        <v>2701</v>
      </c>
      <c r="H26" s="242" t="s">
        <v>40</v>
      </c>
      <c r="I26" s="221">
        <v>5000</v>
      </c>
      <c r="J26" s="220" t="s">
        <v>152</v>
      </c>
      <c r="K26" s="100"/>
      <c r="L26" s="181" t="s">
        <v>41</v>
      </c>
      <c r="O26" s="98"/>
    </row>
    <row r="27" spans="1:15" s="62" customFormat="1" ht="16.5" customHeight="1" x14ac:dyDescent="0.25">
      <c r="A27" s="451">
        <v>27</v>
      </c>
      <c r="B27" s="207" t="s">
        <v>1490</v>
      </c>
      <c r="C27" s="100"/>
      <c r="D27" s="100"/>
      <c r="E27" s="100" t="s">
        <v>2444</v>
      </c>
      <c r="F27" s="241" t="s">
        <v>1491</v>
      </c>
      <c r="G27" s="100" t="s">
        <v>1492</v>
      </c>
      <c r="H27" s="242" t="s">
        <v>40</v>
      </c>
      <c r="I27" s="221">
        <v>5000</v>
      </c>
      <c r="J27" s="220" t="s">
        <v>152</v>
      </c>
      <c r="K27" s="100"/>
      <c r="L27" s="181" t="s">
        <v>41</v>
      </c>
      <c r="O27" s="98"/>
    </row>
    <row r="28" spans="1:15" s="62" customFormat="1" x14ac:dyDescent="0.25">
      <c r="A28" s="240"/>
      <c r="B28" s="100"/>
      <c r="C28" s="216"/>
      <c r="D28" s="100"/>
      <c r="E28" s="100"/>
      <c r="F28" s="241"/>
      <c r="G28" s="100"/>
      <c r="H28" s="140"/>
      <c r="I28" s="221"/>
      <c r="J28" s="216"/>
      <c r="K28" s="100"/>
      <c r="L28" s="100"/>
      <c r="O28" s="98"/>
    </row>
    <row r="29" spans="1:15" x14ac:dyDescent="0.25">
      <c r="I29" s="28"/>
      <c r="J29" s="28"/>
    </row>
    <row r="30" spans="1:15" x14ac:dyDescent="0.25">
      <c r="F30" s="30"/>
      <c r="I30" s="63" t="s">
        <v>19</v>
      </c>
      <c r="J30" s="28"/>
      <c r="K30" s="326"/>
      <c r="L30" s="30"/>
    </row>
    <row r="31" spans="1:15" x14ac:dyDescent="0.25">
      <c r="I31" s="28" t="s">
        <v>109</v>
      </c>
      <c r="J31" s="28"/>
      <c r="K31" s="357" t="s">
        <v>2482</v>
      </c>
      <c r="L31" s="276"/>
    </row>
    <row r="32" spans="1:15" x14ac:dyDescent="0.25">
      <c r="B32" t="s">
        <v>20</v>
      </c>
      <c r="E32" t="s">
        <v>21</v>
      </c>
      <c r="I32" s="28" t="s">
        <v>110</v>
      </c>
      <c r="J32" s="132"/>
      <c r="K32" s="328" t="s">
        <v>138</v>
      </c>
      <c r="L32" s="427">
        <f>SUM(I12:I14)</f>
        <v>45635</v>
      </c>
    </row>
    <row r="33" spans="2:12" x14ac:dyDescent="0.25">
      <c r="I33" s="28" t="s">
        <v>149</v>
      </c>
      <c r="J33" s="132"/>
      <c r="K33" t="s">
        <v>465</v>
      </c>
      <c r="L33" s="287">
        <v>2000</v>
      </c>
    </row>
    <row r="34" spans="2:12" x14ac:dyDescent="0.25">
      <c r="I34" s="28" t="s">
        <v>601</v>
      </c>
      <c r="J34" s="132"/>
      <c r="K34" s="357" t="s">
        <v>2676</v>
      </c>
      <c r="L34" s="427"/>
    </row>
    <row r="35" spans="2:12" x14ac:dyDescent="0.25">
      <c r="I35" s="28" t="s">
        <v>111</v>
      </c>
      <c r="J35" s="132"/>
      <c r="K35" s="328" t="s">
        <v>138</v>
      </c>
      <c r="L35" s="287">
        <f>SUM(I16:I17,I20)</f>
        <v>7500</v>
      </c>
    </row>
    <row r="36" spans="2:12" x14ac:dyDescent="0.25">
      <c r="B36" s="29"/>
      <c r="E36" s="251"/>
      <c r="F36" s="251"/>
      <c r="G36" s="251"/>
      <c r="H36" s="251"/>
      <c r="I36" s="28" t="s">
        <v>113</v>
      </c>
      <c r="J36" s="132"/>
      <c r="K36" t="s">
        <v>465</v>
      </c>
      <c r="L36" s="427">
        <f>SUM(I18:I19)</f>
        <v>6000</v>
      </c>
    </row>
    <row r="37" spans="2:12" x14ac:dyDescent="0.25">
      <c r="B37" s="267" t="s">
        <v>1577</v>
      </c>
      <c r="C37" s="267"/>
      <c r="D37" s="267"/>
      <c r="E37" s="268" t="s">
        <v>157</v>
      </c>
      <c r="F37" s="252"/>
      <c r="G37" s="252"/>
      <c r="H37" s="252"/>
      <c r="I37" s="28" t="s">
        <v>114</v>
      </c>
      <c r="J37" s="130"/>
      <c r="K37" s="357" t="s">
        <v>2677</v>
      </c>
      <c r="L37" s="69"/>
    </row>
    <row r="38" spans="2:12" x14ac:dyDescent="0.25">
      <c r="B38" t="s">
        <v>1576</v>
      </c>
      <c r="E38" t="s">
        <v>158</v>
      </c>
      <c r="I38" s="28" t="s">
        <v>22</v>
      </c>
      <c r="J38" s="131"/>
      <c r="K38" s="328" t="s">
        <v>138</v>
      </c>
      <c r="L38" s="69">
        <f>SUM(I21:I24)</f>
        <v>37500</v>
      </c>
    </row>
    <row r="39" spans="2:12" x14ac:dyDescent="0.25">
      <c r="I39" s="3" t="s">
        <v>115</v>
      </c>
      <c r="J39" s="132"/>
      <c r="K39" s="357" t="s">
        <v>2800</v>
      </c>
      <c r="L39" s="30"/>
    </row>
    <row r="40" spans="2:12" x14ac:dyDescent="0.25">
      <c r="I40" s="3" t="s">
        <v>87</v>
      </c>
      <c r="J40" s="132"/>
      <c r="K40" t="s">
        <v>138</v>
      </c>
      <c r="L40" s="30">
        <v>15000</v>
      </c>
    </row>
    <row r="41" spans="2:12" x14ac:dyDescent="0.25">
      <c r="G41" s="30">
        <f>SUM(I12:I27)</f>
        <v>113635</v>
      </c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9F5FD-EFFB-4DA4-A690-07D58610DAA0}">
  <sheetPr>
    <tabColor theme="5"/>
  </sheetPr>
  <dimension ref="A1:U461"/>
  <sheetViews>
    <sheetView view="pageBreakPreview" topLeftCell="A96" zoomScale="106" zoomScaleNormal="100" zoomScaleSheetLayoutView="106" workbookViewId="0">
      <selection activeCell="H110" sqref="H110"/>
    </sheetView>
  </sheetViews>
  <sheetFormatPr defaultRowHeight="15" x14ac:dyDescent="0.25"/>
  <cols>
    <col min="1" max="1" width="4.7109375" style="430" customWidth="1"/>
    <col min="2" max="2" width="15" style="430" customWidth="1"/>
    <col min="3" max="3" width="18" style="62" customWidth="1"/>
    <col min="4" max="4" width="7.28515625" style="62" customWidth="1"/>
    <col min="5" max="5" width="17.7109375" style="62" customWidth="1"/>
    <col min="6" max="6" width="14.5703125" style="62" customWidth="1"/>
    <col min="7" max="7" width="14.28515625" style="62" customWidth="1"/>
    <col min="8" max="8" width="14" style="62" customWidth="1"/>
    <col min="9" max="9" width="16.42578125" style="62" customWidth="1"/>
    <col min="10" max="10" width="16.85546875" style="122" customWidth="1"/>
    <col min="11" max="11" width="9.5703125" style="62" customWidth="1"/>
    <col min="12" max="12" width="17.85546875" style="62" customWidth="1"/>
    <col min="16" max="16" width="4.5703125" customWidth="1"/>
    <col min="17" max="17" width="14.28515625" customWidth="1"/>
    <col min="18" max="18" width="12.42578125" customWidth="1"/>
  </cols>
  <sheetData>
    <row r="1" spans="1:21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</row>
    <row r="2" spans="1:21" ht="18" x14ac:dyDescent="0.25">
      <c r="A2" s="620" t="s">
        <v>2306</v>
      </c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21" x14ac:dyDescent="0.25">
      <c r="C3" s="102"/>
      <c r="D3" s="78"/>
      <c r="E3" s="102"/>
      <c r="F3" s="102"/>
      <c r="H3" s="78"/>
      <c r="I3" s="83"/>
      <c r="J3" s="103"/>
      <c r="K3" s="104" t="s">
        <v>2799</v>
      </c>
      <c r="L3" s="105"/>
      <c r="Q3" s="30"/>
      <c r="R3" s="30"/>
    </row>
    <row r="4" spans="1:21" x14ac:dyDescent="0.25">
      <c r="C4" s="102"/>
      <c r="D4" s="78"/>
      <c r="E4" s="102"/>
      <c r="F4" s="102"/>
      <c r="H4" s="78"/>
      <c r="I4" s="83"/>
      <c r="J4" s="106"/>
      <c r="K4" s="95" t="s">
        <v>89</v>
      </c>
      <c r="L4" s="126">
        <v>179</v>
      </c>
    </row>
    <row r="5" spans="1:21" x14ac:dyDescent="0.25">
      <c r="C5" s="102"/>
      <c r="D5" s="78"/>
      <c r="E5" s="102"/>
      <c r="F5" s="107"/>
      <c r="H5" s="78"/>
      <c r="I5" s="83"/>
      <c r="J5" s="106"/>
      <c r="K5" s="95" t="s">
        <v>91</v>
      </c>
      <c r="L5" s="126">
        <v>43</v>
      </c>
      <c r="Q5" s="30"/>
      <c r="R5" s="30"/>
    </row>
    <row r="6" spans="1:21" x14ac:dyDescent="0.25">
      <c r="A6" s="622" t="s">
        <v>117</v>
      </c>
      <c r="B6" s="622"/>
      <c r="C6" s="622"/>
      <c r="D6" s="79"/>
      <c r="E6" s="107"/>
      <c r="F6" s="108"/>
      <c r="G6" s="60"/>
      <c r="H6" s="79"/>
      <c r="I6" s="84"/>
      <c r="J6" s="103"/>
      <c r="K6" s="101" t="s">
        <v>1560</v>
      </c>
      <c r="L6" s="109"/>
      <c r="R6" s="30"/>
    </row>
    <row r="7" spans="1:21" x14ac:dyDescent="0.25">
      <c r="A7" s="110"/>
      <c r="B7" s="347"/>
      <c r="C7" s="111"/>
      <c r="D7" s="80"/>
      <c r="E7" s="169"/>
      <c r="F7" s="169"/>
      <c r="G7" s="613" t="s">
        <v>1</v>
      </c>
      <c r="H7" s="623"/>
      <c r="I7" s="614"/>
      <c r="J7" s="112"/>
      <c r="K7" s="624" t="s">
        <v>2</v>
      </c>
      <c r="L7" s="625"/>
      <c r="Q7" s="30"/>
      <c r="R7" s="30"/>
    </row>
    <row r="8" spans="1:21" x14ac:dyDescent="0.25">
      <c r="A8" s="629" t="s">
        <v>3</v>
      </c>
      <c r="B8" s="629"/>
      <c r="C8" s="630"/>
      <c r="D8" s="18" t="s">
        <v>4</v>
      </c>
      <c r="E8" s="431" t="s">
        <v>5</v>
      </c>
      <c r="F8" s="73" t="s">
        <v>6</v>
      </c>
      <c r="G8" s="11" t="s">
        <v>7</v>
      </c>
      <c r="H8" s="81"/>
      <c r="I8" s="12" t="s">
        <v>8</v>
      </c>
      <c r="J8" s="74" t="s">
        <v>9</v>
      </c>
      <c r="K8" s="96"/>
      <c r="L8" s="113"/>
      <c r="Q8" s="214"/>
      <c r="R8" s="30"/>
    </row>
    <row r="9" spans="1:21" x14ac:dyDescent="0.25">
      <c r="A9" s="114"/>
      <c r="B9" s="348"/>
      <c r="C9" s="115"/>
      <c r="D9" s="81"/>
      <c r="E9" s="116"/>
      <c r="F9" s="115"/>
      <c r="G9" s="17" t="s">
        <v>10</v>
      </c>
      <c r="H9" s="18" t="s">
        <v>11</v>
      </c>
      <c r="I9" s="12" t="s">
        <v>12</v>
      </c>
      <c r="J9" s="117"/>
      <c r="K9" s="431" t="s">
        <v>13</v>
      </c>
      <c r="L9" s="431" t="s">
        <v>14</v>
      </c>
      <c r="Q9" s="214"/>
    </row>
    <row r="10" spans="1:21" x14ac:dyDescent="0.25">
      <c r="A10" s="118"/>
      <c r="B10" s="349"/>
      <c r="C10" s="119"/>
      <c r="D10" s="82"/>
      <c r="E10" s="170"/>
      <c r="F10" s="170"/>
      <c r="G10" s="22"/>
      <c r="H10" s="85"/>
      <c r="I10" s="86" t="s">
        <v>15</v>
      </c>
      <c r="J10" s="120"/>
      <c r="K10" s="22"/>
      <c r="L10" s="51" t="s">
        <v>16</v>
      </c>
      <c r="Q10" s="214"/>
    </row>
    <row r="11" spans="1:21" x14ac:dyDescent="0.25">
      <c r="A11" s="142" t="s">
        <v>17</v>
      </c>
      <c r="B11" s="142"/>
      <c r="C11" s="59"/>
      <c r="D11" s="59"/>
      <c r="E11" s="59"/>
      <c r="F11" s="59"/>
      <c r="G11" s="59"/>
      <c r="H11" s="59"/>
      <c r="I11" s="59"/>
      <c r="J11" s="75"/>
      <c r="K11" s="59"/>
      <c r="L11" s="59"/>
      <c r="Q11" s="272" t="s">
        <v>2481</v>
      </c>
      <c r="S11" t="s">
        <v>1652</v>
      </c>
      <c r="T11" t="s">
        <v>2483</v>
      </c>
      <c r="U11" t="s">
        <v>309</v>
      </c>
    </row>
    <row r="12" spans="1:21" x14ac:dyDescent="0.25">
      <c r="A12" s="228">
        <v>1</v>
      </c>
      <c r="B12" s="351" t="s">
        <v>2307</v>
      </c>
      <c r="C12" s="230" t="s">
        <v>2308</v>
      </c>
      <c r="D12" s="230" t="s">
        <v>160</v>
      </c>
      <c r="E12" s="230" t="s">
        <v>1506</v>
      </c>
      <c r="F12" s="230" t="s">
        <v>43</v>
      </c>
      <c r="G12" s="231" t="s">
        <v>2309</v>
      </c>
      <c r="H12" s="233" t="s">
        <v>40</v>
      </c>
      <c r="I12" s="232">
        <v>300</v>
      </c>
      <c r="J12" s="229">
        <v>60</v>
      </c>
      <c r="K12" s="224" t="s">
        <v>147</v>
      </c>
      <c r="L12" s="224" t="s">
        <v>41</v>
      </c>
      <c r="N12">
        <f>I12/5</f>
        <v>60</v>
      </c>
      <c r="P12" s="30"/>
      <c r="Q12" s="320" t="s">
        <v>138</v>
      </c>
      <c r="R12" s="27">
        <f>SUM(I12:I14,I17:I19,I21:I26,I29:I31,I33:I38,I40:I43,I45:I49,I51,I53:I55,I57:I58,I60,I62,I64:I68,I70:I71,I73,I75:I78,I80:I82,I84:I86,I89:I90,I92:I93,I95,I97,I99:I100)</f>
        <v>211000</v>
      </c>
      <c r="S12" s="320">
        <v>52</v>
      </c>
      <c r="T12">
        <v>12</v>
      </c>
      <c r="U12" t="s">
        <v>602</v>
      </c>
    </row>
    <row r="13" spans="1:21" x14ac:dyDescent="0.25">
      <c r="A13" s="228">
        <v>1</v>
      </c>
      <c r="B13" s="351" t="s">
        <v>2310</v>
      </c>
      <c r="C13" s="230" t="s">
        <v>2311</v>
      </c>
      <c r="D13" s="283" t="s">
        <v>163</v>
      </c>
      <c r="E13" s="230" t="s">
        <v>331</v>
      </c>
      <c r="F13" s="230" t="s">
        <v>54</v>
      </c>
      <c r="G13" s="231" t="s">
        <v>2312</v>
      </c>
      <c r="H13" s="233" t="s">
        <v>40</v>
      </c>
      <c r="I13" s="232">
        <v>3000</v>
      </c>
      <c r="J13" s="229">
        <v>600</v>
      </c>
      <c r="K13" s="224" t="s">
        <v>147</v>
      </c>
      <c r="L13" s="224" t="s">
        <v>41</v>
      </c>
      <c r="N13">
        <f t="shared" ref="N13:N202" si="0">I13/5</f>
        <v>600</v>
      </c>
      <c r="P13" s="30"/>
      <c r="Q13" s="321" t="s">
        <v>465</v>
      </c>
      <c r="R13" s="27">
        <f>SUM(I15:I16,I20,I27:I28,I32,I39,I44,I50,I52,I56,I59,I61,I63,I69,I72,I74,I79,I83,I87:I88,I91,I94,I96,I98)</f>
        <v>18750</v>
      </c>
      <c r="S13" s="320">
        <v>17</v>
      </c>
      <c r="T13">
        <v>7</v>
      </c>
      <c r="U13" t="s">
        <v>603</v>
      </c>
    </row>
    <row r="14" spans="1:21" x14ac:dyDescent="0.25">
      <c r="A14" s="228">
        <v>1</v>
      </c>
      <c r="B14" s="351" t="s">
        <v>2433</v>
      </c>
      <c r="C14" s="230" t="s">
        <v>2313</v>
      </c>
      <c r="D14" s="230" t="s">
        <v>160</v>
      </c>
      <c r="E14" s="230" t="s">
        <v>2169</v>
      </c>
      <c r="F14" s="230" t="s">
        <v>43</v>
      </c>
      <c r="G14" s="231"/>
      <c r="H14" s="233" t="s">
        <v>40</v>
      </c>
      <c r="I14" s="232">
        <v>3000</v>
      </c>
      <c r="J14" s="229">
        <v>600</v>
      </c>
      <c r="K14" s="224" t="s">
        <v>147</v>
      </c>
      <c r="L14" s="224" t="s">
        <v>41</v>
      </c>
      <c r="N14">
        <f t="shared" si="0"/>
        <v>600</v>
      </c>
      <c r="P14" s="30"/>
      <c r="Q14" s="272" t="s">
        <v>2615</v>
      </c>
      <c r="R14" s="322"/>
      <c r="S14" s="320"/>
    </row>
    <row r="15" spans="1:21" x14ac:dyDescent="0.25">
      <c r="A15" s="228">
        <v>1</v>
      </c>
      <c r="B15" s="351" t="s">
        <v>2314</v>
      </c>
      <c r="C15" s="230" t="s">
        <v>1809</v>
      </c>
      <c r="D15" s="230" t="s">
        <v>160</v>
      </c>
      <c r="E15" s="230" t="s">
        <v>262</v>
      </c>
      <c r="F15" s="230" t="s">
        <v>49</v>
      </c>
      <c r="G15" s="231" t="s">
        <v>2315</v>
      </c>
      <c r="H15" s="399" t="s">
        <v>465</v>
      </c>
      <c r="I15" s="232">
        <v>700</v>
      </c>
      <c r="J15" s="229">
        <v>700</v>
      </c>
      <c r="K15" s="224" t="s">
        <v>147</v>
      </c>
      <c r="L15" s="224" t="s">
        <v>41</v>
      </c>
      <c r="N15">
        <f t="shared" si="0"/>
        <v>140</v>
      </c>
      <c r="Q15" s="293" t="s">
        <v>138</v>
      </c>
      <c r="R15" s="322">
        <f>SUM(I103:I107,I109,I111:I112,I114:I118,I120,I122:I125,I127:I128,I131:I134,I136,I138:I139,I141,I143:I146,I148:I150,I153:I154,I156,I161,I164,I168)</f>
        <v>111500</v>
      </c>
      <c r="S15" s="320">
        <v>33</v>
      </c>
      <c r="T15">
        <v>6</v>
      </c>
      <c r="U15" t="s">
        <v>602</v>
      </c>
    </row>
    <row r="16" spans="1:21" x14ac:dyDescent="0.25">
      <c r="A16" s="228">
        <v>1</v>
      </c>
      <c r="B16" s="351" t="s">
        <v>2316</v>
      </c>
      <c r="C16" s="230" t="s">
        <v>2317</v>
      </c>
      <c r="D16" s="230" t="s">
        <v>160</v>
      </c>
      <c r="E16" s="230" t="s">
        <v>191</v>
      </c>
      <c r="F16" s="230" t="s">
        <v>43</v>
      </c>
      <c r="G16" s="231"/>
      <c r="H16" s="399" t="s">
        <v>465</v>
      </c>
      <c r="I16" s="232">
        <v>500</v>
      </c>
      <c r="J16" s="229">
        <v>500</v>
      </c>
      <c r="K16" s="224" t="s">
        <v>147</v>
      </c>
      <c r="L16" s="224" t="s">
        <v>41</v>
      </c>
      <c r="N16">
        <f t="shared" si="0"/>
        <v>100</v>
      </c>
      <c r="Q16" s="320" t="s">
        <v>1912</v>
      </c>
      <c r="R16" s="322">
        <v>280</v>
      </c>
      <c r="S16" s="60"/>
      <c r="T16">
        <v>1</v>
      </c>
    </row>
    <row r="17" spans="1:21" x14ac:dyDescent="0.25">
      <c r="A17" s="228">
        <v>1</v>
      </c>
      <c r="B17" s="351" t="s">
        <v>2318</v>
      </c>
      <c r="C17" s="230" t="s">
        <v>2319</v>
      </c>
      <c r="D17" s="230" t="s">
        <v>160</v>
      </c>
      <c r="E17" s="230" t="s">
        <v>523</v>
      </c>
      <c r="F17" s="230" t="s">
        <v>42</v>
      </c>
      <c r="G17" s="231" t="s">
        <v>2320</v>
      </c>
      <c r="H17" s="233" t="s">
        <v>40</v>
      </c>
      <c r="I17" s="232">
        <v>1000</v>
      </c>
      <c r="J17" s="229">
        <v>200</v>
      </c>
      <c r="K17" s="224" t="s">
        <v>147</v>
      </c>
      <c r="L17" s="224" t="s">
        <v>41</v>
      </c>
      <c r="N17">
        <f t="shared" si="0"/>
        <v>200</v>
      </c>
      <c r="P17" s="69"/>
      <c r="Q17" s="293" t="s">
        <v>465</v>
      </c>
      <c r="R17" s="322">
        <f>SUM(I101:I102,I108,I113,I119,I121,I126,I129:I130,I135,I137,I140,I142,I147,I151:I152,I155,I157:I160,I162:I163,I165:I167,I169)</f>
        <v>37200</v>
      </c>
      <c r="S17" s="60">
        <v>23</v>
      </c>
      <c r="T17">
        <v>4</v>
      </c>
      <c r="U17" t="s">
        <v>2618</v>
      </c>
    </row>
    <row r="18" spans="1:21" x14ac:dyDescent="0.25">
      <c r="A18" s="228">
        <v>1</v>
      </c>
      <c r="B18" s="351" t="s">
        <v>2321</v>
      </c>
      <c r="C18" s="230" t="s">
        <v>1552</v>
      </c>
      <c r="D18" s="230" t="s">
        <v>160</v>
      </c>
      <c r="E18" s="230" t="s">
        <v>2322</v>
      </c>
      <c r="F18" s="230" t="s">
        <v>49</v>
      </c>
      <c r="G18" s="231"/>
      <c r="H18" s="233" t="s">
        <v>40</v>
      </c>
      <c r="I18" s="232">
        <v>500</v>
      </c>
      <c r="J18" s="229">
        <v>100</v>
      </c>
      <c r="K18" s="224" t="s">
        <v>147</v>
      </c>
      <c r="L18" s="224" t="s">
        <v>41</v>
      </c>
      <c r="N18">
        <f t="shared" si="0"/>
        <v>100</v>
      </c>
      <c r="Q18" s="272" t="s">
        <v>2675</v>
      </c>
      <c r="R18" s="27"/>
      <c r="S18" s="60"/>
    </row>
    <row r="19" spans="1:21" x14ac:dyDescent="0.25">
      <c r="A19" s="228">
        <v>1</v>
      </c>
      <c r="B19" s="351" t="s">
        <v>2323</v>
      </c>
      <c r="C19" s="230" t="s">
        <v>2324</v>
      </c>
      <c r="D19" s="230" t="s">
        <v>160</v>
      </c>
      <c r="E19" s="230" t="s">
        <v>2325</v>
      </c>
      <c r="F19" s="230" t="s">
        <v>61</v>
      </c>
      <c r="G19" s="231"/>
      <c r="H19" s="233" t="s">
        <v>40</v>
      </c>
      <c r="I19" s="232">
        <v>600</v>
      </c>
      <c r="J19" s="229">
        <v>120</v>
      </c>
      <c r="K19" s="224" t="s">
        <v>147</v>
      </c>
      <c r="L19" s="224" t="s">
        <v>41</v>
      </c>
      <c r="N19">
        <f t="shared" si="0"/>
        <v>120</v>
      </c>
      <c r="P19" s="30"/>
      <c r="Q19" s="320" t="s">
        <v>138</v>
      </c>
      <c r="R19" s="322">
        <f>SUM(I170,I173:I174,I176,I178:I183,I185,I188,I190,I193,I195,I198:I199)</f>
        <v>29250</v>
      </c>
      <c r="S19" s="60">
        <v>15</v>
      </c>
      <c r="T19">
        <v>2</v>
      </c>
      <c r="U19" t="s">
        <v>2678</v>
      </c>
    </row>
    <row r="20" spans="1:21" s="62" customFormat="1" x14ac:dyDescent="0.25">
      <c r="A20" s="228">
        <v>1</v>
      </c>
      <c r="B20" s="351" t="s">
        <v>2326</v>
      </c>
      <c r="C20" s="230" t="s">
        <v>2327</v>
      </c>
      <c r="D20" s="230" t="s">
        <v>160</v>
      </c>
      <c r="E20" s="230" t="s">
        <v>2328</v>
      </c>
      <c r="F20" s="230" t="s">
        <v>58</v>
      </c>
      <c r="G20" s="231"/>
      <c r="H20" s="399" t="s">
        <v>465</v>
      </c>
      <c r="I20" s="232">
        <v>1000</v>
      </c>
      <c r="J20" s="229">
        <v>1000</v>
      </c>
      <c r="K20" s="224" t="s">
        <v>147</v>
      </c>
      <c r="L20" s="224" t="s">
        <v>41</v>
      </c>
      <c r="N20" s="62">
        <f t="shared" si="0"/>
        <v>200</v>
      </c>
      <c r="Q20" s="321" t="s">
        <v>465</v>
      </c>
      <c r="R20" s="98">
        <f>SUM(I171:I172,I175,I177,I184,I186:I187,I189,I191:I192,I194,I196:I197,I200)</f>
        <v>9350</v>
      </c>
      <c r="S20" s="60">
        <v>13</v>
      </c>
      <c r="T20" s="62">
        <v>1</v>
      </c>
    </row>
    <row r="21" spans="1:21" x14ac:dyDescent="0.25">
      <c r="A21" s="228">
        <v>1</v>
      </c>
      <c r="B21" s="351" t="s">
        <v>2247</v>
      </c>
      <c r="C21" s="230" t="s">
        <v>2329</v>
      </c>
      <c r="D21" s="230" t="s">
        <v>160</v>
      </c>
      <c r="E21" s="230" t="s">
        <v>2330</v>
      </c>
      <c r="F21" s="230" t="s">
        <v>42</v>
      </c>
      <c r="G21" s="231" t="s">
        <v>2331</v>
      </c>
      <c r="H21" s="233" t="s">
        <v>40</v>
      </c>
      <c r="I21" s="232">
        <v>2000</v>
      </c>
      <c r="J21" s="229">
        <v>400</v>
      </c>
      <c r="K21" s="224" t="s">
        <v>147</v>
      </c>
      <c r="L21" s="224" t="s">
        <v>41</v>
      </c>
      <c r="N21">
        <f t="shared" si="0"/>
        <v>400</v>
      </c>
      <c r="Q21" s="272" t="s">
        <v>2798</v>
      </c>
      <c r="R21" s="30"/>
      <c r="S21" s="60"/>
    </row>
    <row r="22" spans="1:21" x14ac:dyDescent="0.25">
      <c r="A22" s="228">
        <v>1</v>
      </c>
      <c r="B22" s="351" t="s">
        <v>2295</v>
      </c>
      <c r="C22" s="230" t="s">
        <v>2332</v>
      </c>
      <c r="D22" s="230" t="s">
        <v>160</v>
      </c>
      <c r="E22" s="230" t="s">
        <v>2333</v>
      </c>
      <c r="F22" s="230" t="s">
        <v>64</v>
      </c>
      <c r="G22" s="231" t="s">
        <v>2334</v>
      </c>
      <c r="H22" s="233" t="s">
        <v>40</v>
      </c>
      <c r="I22" s="232">
        <v>1000</v>
      </c>
      <c r="J22" s="229">
        <v>200</v>
      </c>
      <c r="K22" s="224" t="s">
        <v>147</v>
      </c>
      <c r="L22" s="224" t="s">
        <v>41</v>
      </c>
      <c r="N22">
        <f t="shared" si="0"/>
        <v>200</v>
      </c>
      <c r="Q22" s="320" t="s">
        <v>138</v>
      </c>
      <c r="R22" s="30">
        <f>SUM(I201,I204,I207,I210:I212,I216:I227,I229:I231,I236:I237,I239:I241,I244:I247,I249:I250,I253:I256,I258:I261,I263:I265,I267,I269:I272)</f>
        <v>70800</v>
      </c>
      <c r="S22" s="60">
        <v>40</v>
      </c>
      <c r="T22">
        <v>8</v>
      </c>
      <c r="U22" t="s">
        <v>350</v>
      </c>
    </row>
    <row r="23" spans="1:21" x14ac:dyDescent="0.25">
      <c r="A23" s="228">
        <v>1</v>
      </c>
      <c r="B23" s="351" t="s">
        <v>2335</v>
      </c>
      <c r="C23" s="230" t="s">
        <v>2336</v>
      </c>
      <c r="D23" s="230" t="s">
        <v>160</v>
      </c>
      <c r="E23" s="230" t="s">
        <v>529</v>
      </c>
      <c r="F23" s="230" t="s">
        <v>69</v>
      </c>
      <c r="G23" s="231"/>
      <c r="H23" s="233" t="s">
        <v>40</v>
      </c>
      <c r="I23" s="232">
        <v>3000</v>
      </c>
      <c r="J23" s="229">
        <v>600</v>
      </c>
      <c r="K23" s="224" t="s">
        <v>147</v>
      </c>
      <c r="L23" s="224" t="s">
        <v>41</v>
      </c>
      <c r="N23">
        <f t="shared" si="0"/>
        <v>600</v>
      </c>
      <c r="Q23" t="s">
        <v>1912</v>
      </c>
      <c r="R23" s="69">
        <v>400</v>
      </c>
      <c r="S23" s="60">
        <v>1</v>
      </c>
    </row>
    <row r="24" spans="1:21" x14ac:dyDescent="0.25">
      <c r="A24" s="228">
        <v>1</v>
      </c>
      <c r="B24" s="351" t="s">
        <v>2337</v>
      </c>
      <c r="C24" s="230" t="s">
        <v>2338</v>
      </c>
      <c r="D24" s="283" t="s">
        <v>163</v>
      </c>
      <c r="E24" s="230" t="s">
        <v>523</v>
      </c>
      <c r="F24" s="230" t="s">
        <v>42</v>
      </c>
      <c r="G24" s="231" t="s">
        <v>2339</v>
      </c>
      <c r="H24" s="233" t="s">
        <v>40</v>
      </c>
      <c r="I24" s="232">
        <v>1000</v>
      </c>
      <c r="J24" s="229">
        <v>200</v>
      </c>
      <c r="K24" s="224" t="s">
        <v>147</v>
      </c>
      <c r="L24" s="224" t="s">
        <v>41</v>
      </c>
      <c r="N24">
        <f t="shared" si="0"/>
        <v>200</v>
      </c>
      <c r="Q24" s="30" t="s">
        <v>465</v>
      </c>
      <c r="R24" s="69">
        <f>SUM(I202:I203,I205,I208:I209,I213,I228,I232,I238,I242,I248,I251,I257,I266)</f>
        <v>11900</v>
      </c>
      <c r="S24" s="60">
        <v>10</v>
      </c>
      <c r="T24">
        <v>4</v>
      </c>
    </row>
    <row r="25" spans="1:21" x14ac:dyDescent="0.25">
      <c r="A25" s="228">
        <v>1</v>
      </c>
      <c r="B25" s="351" t="s">
        <v>2340</v>
      </c>
      <c r="C25" s="230" t="s">
        <v>1318</v>
      </c>
      <c r="D25" s="230" t="s">
        <v>160</v>
      </c>
      <c r="E25" s="230" t="s">
        <v>189</v>
      </c>
      <c r="F25" s="230" t="s">
        <v>54</v>
      </c>
      <c r="G25" s="231"/>
      <c r="H25" s="233" t="s">
        <v>40</v>
      </c>
      <c r="I25" s="232">
        <v>1000</v>
      </c>
      <c r="J25" s="229">
        <v>200</v>
      </c>
      <c r="K25" s="224" t="s">
        <v>147</v>
      </c>
      <c r="L25" s="224" t="s">
        <v>41</v>
      </c>
      <c r="N25">
        <f t="shared" si="0"/>
        <v>200</v>
      </c>
      <c r="Q25" s="30" t="s">
        <v>1420</v>
      </c>
      <c r="R25" s="69">
        <f>SUM(I214,I234,I243,I262,I268)</f>
        <v>7400</v>
      </c>
      <c r="S25" s="60">
        <v>1</v>
      </c>
      <c r="T25">
        <v>4</v>
      </c>
    </row>
    <row r="26" spans="1:21" x14ac:dyDescent="0.25">
      <c r="A26" s="228">
        <v>1</v>
      </c>
      <c r="B26" s="351" t="s">
        <v>2341</v>
      </c>
      <c r="C26" s="230" t="s">
        <v>2342</v>
      </c>
      <c r="D26" s="283" t="s">
        <v>163</v>
      </c>
      <c r="E26" s="230" t="s">
        <v>1151</v>
      </c>
      <c r="F26" s="230" t="s">
        <v>49</v>
      </c>
      <c r="G26" s="231" t="s">
        <v>2343</v>
      </c>
      <c r="H26" s="233" t="s">
        <v>40</v>
      </c>
      <c r="I26" s="232">
        <v>300</v>
      </c>
      <c r="J26" s="229">
        <v>60</v>
      </c>
      <c r="K26" s="224" t="s">
        <v>147</v>
      </c>
      <c r="L26" s="224" t="s">
        <v>41</v>
      </c>
      <c r="N26">
        <f t="shared" si="0"/>
        <v>60</v>
      </c>
      <c r="Q26" s="30" t="s">
        <v>1911</v>
      </c>
      <c r="R26" s="30">
        <f>SUM(I215,I233,I235,I252)</f>
        <v>100</v>
      </c>
      <c r="S26" s="60">
        <v>3</v>
      </c>
      <c r="T26">
        <v>1</v>
      </c>
    </row>
    <row r="27" spans="1:21" x14ac:dyDescent="0.25">
      <c r="A27" s="228">
        <v>1</v>
      </c>
      <c r="B27" s="351" t="s">
        <v>2344</v>
      </c>
      <c r="C27" s="230" t="s">
        <v>2345</v>
      </c>
      <c r="D27" s="230" t="s">
        <v>160</v>
      </c>
      <c r="E27" s="230" t="s">
        <v>911</v>
      </c>
      <c r="F27" s="230" t="s">
        <v>49</v>
      </c>
      <c r="G27" s="231"/>
      <c r="H27" s="399" t="s">
        <v>465</v>
      </c>
      <c r="I27" s="232">
        <v>500</v>
      </c>
      <c r="J27" s="229">
        <v>500</v>
      </c>
      <c r="K27" s="224" t="s">
        <v>147</v>
      </c>
      <c r="L27" s="224" t="s">
        <v>41</v>
      </c>
      <c r="N27">
        <f t="shared" si="0"/>
        <v>100</v>
      </c>
      <c r="R27" s="69"/>
    </row>
    <row r="28" spans="1:21" x14ac:dyDescent="0.25">
      <c r="A28" s="228">
        <v>1</v>
      </c>
      <c r="B28" s="351" t="s">
        <v>2346</v>
      </c>
      <c r="C28" s="230" t="s">
        <v>2347</v>
      </c>
      <c r="D28" s="283" t="s">
        <v>163</v>
      </c>
      <c r="E28" s="230" t="s">
        <v>626</v>
      </c>
      <c r="F28" s="230" t="s">
        <v>85</v>
      </c>
      <c r="G28" s="231" t="s">
        <v>627</v>
      </c>
      <c r="H28" s="399" t="s">
        <v>465</v>
      </c>
      <c r="I28" s="232">
        <v>1000</v>
      </c>
      <c r="J28" s="229">
        <v>1000</v>
      </c>
      <c r="K28" s="224" t="s">
        <v>147</v>
      </c>
      <c r="L28" s="224" t="s">
        <v>41</v>
      </c>
      <c r="N28">
        <f t="shared" si="0"/>
        <v>200</v>
      </c>
      <c r="Q28" s="30"/>
      <c r="R28" s="30"/>
    </row>
    <row r="29" spans="1:21" x14ac:dyDescent="0.25">
      <c r="A29" s="228">
        <v>1</v>
      </c>
      <c r="B29" s="351" t="s">
        <v>2348</v>
      </c>
      <c r="C29" s="230" t="s">
        <v>2349</v>
      </c>
      <c r="D29" s="230" t="s">
        <v>160</v>
      </c>
      <c r="E29" s="230" t="s">
        <v>273</v>
      </c>
      <c r="F29" s="230" t="s">
        <v>42</v>
      </c>
      <c r="G29" s="231" t="s">
        <v>1178</v>
      </c>
      <c r="H29" s="233" t="s">
        <v>40</v>
      </c>
      <c r="I29" s="232">
        <v>2000</v>
      </c>
      <c r="J29" s="229">
        <v>400</v>
      </c>
      <c r="K29" s="224" t="s">
        <v>147</v>
      </c>
      <c r="L29" s="224" t="s">
        <v>41</v>
      </c>
      <c r="N29">
        <f t="shared" si="0"/>
        <v>400</v>
      </c>
      <c r="Q29" s="30">
        <f>SUM(I12:I272)</f>
        <v>507930</v>
      </c>
    </row>
    <row r="30" spans="1:21" x14ac:dyDescent="0.25">
      <c r="A30" s="228">
        <v>1</v>
      </c>
      <c r="B30" s="351" t="s">
        <v>2121</v>
      </c>
      <c r="C30" s="230" t="s">
        <v>2350</v>
      </c>
      <c r="D30" s="230" t="s">
        <v>160</v>
      </c>
      <c r="E30" s="230" t="s">
        <v>191</v>
      </c>
      <c r="F30" s="230" t="s">
        <v>43</v>
      </c>
      <c r="G30" s="231"/>
      <c r="H30" s="233" t="s">
        <v>40</v>
      </c>
      <c r="I30" s="232">
        <v>300</v>
      </c>
      <c r="J30" s="229">
        <v>60</v>
      </c>
      <c r="K30" s="224" t="s">
        <v>147</v>
      </c>
      <c r="L30" s="224" t="s">
        <v>41</v>
      </c>
      <c r="N30">
        <f t="shared" si="0"/>
        <v>60</v>
      </c>
      <c r="Q30" s="30">
        <f>Q29-680</f>
        <v>507250</v>
      </c>
    </row>
    <row r="31" spans="1:21" x14ac:dyDescent="0.25">
      <c r="A31" s="228">
        <v>1</v>
      </c>
      <c r="B31" s="351" t="s">
        <v>2351</v>
      </c>
      <c r="C31" s="230" t="s">
        <v>1609</v>
      </c>
      <c r="D31" s="230" t="s">
        <v>160</v>
      </c>
      <c r="E31" s="230" t="s">
        <v>58</v>
      </c>
      <c r="F31" s="230" t="s">
        <v>42</v>
      </c>
      <c r="G31" s="231" t="s">
        <v>2352</v>
      </c>
      <c r="H31" s="233" t="s">
        <v>40</v>
      </c>
      <c r="I31" s="232">
        <v>12000</v>
      </c>
      <c r="J31" s="229">
        <v>2400</v>
      </c>
      <c r="K31" s="224" t="s">
        <v>147</v>
      </c>
      <c r="L31" s="224" t="s">
        <v>41</v>
      </c>
      <c r="N31">
        <f t="shared" si="0"/>
        <v>2400</v>
      </c>
    </row>
    <row r="32" spans="1:21" x14ac:dyDescent="0.25">
      <c r="A32" s="228">
        <v>1</v>
      </c>
      <c r="B32" s="351" t="s">
        <v>2354</v>
      </c>
      <c r="C32" s="230" t="s">
        <v>2336</v>
      </c>
      <c r="D32" s="230" t="s">
        <v>160</v>
      </c>
      <c r="E32" s="230" t="s">
        <v>2353</v>
      </c>
      <c r="F32" s="230" t="s">
        <v>49</v>
      </c>
      <c r="G32" s="231"/>
      <c r="H32" s="399" t="s">
        <v>465</v>
      </c>
      <c r="I32" s="232">
        <v>1500</v>
      </c>
      <c r="J32" s="229">
        <v>1500</v>
      </c>
      <c r="K32" s="224" t="s">
        <v>147</v>
      </c>
      <c r="L32" s="224" t="s">
        <v>41</v>
      </c>
      <c r="N32">
        <f t="shared" si="0"/>
        <v>300</v>
      </c>
    </row>
    <row r="33" spans="1:20" x14ac:dyDescent="0.25">
      <c r="A33" s="228">
        <v>1</v>
      </c>
      <c r="B33" s="351" t="s">
        <v>2355</v>
      </c>
      <c r="C33" s="230" t="s">
        <v>2356</v>
      </c>
      <c r="D33" s="230" t="s">
        <v>160</v>
      </c>
      <c r="E33" s="230" t="s">
        <v>60</v>
      </c>
      <c r="F33" s="230" t="s">
        <v>61</v>
      </c>
      <c r="G33" s="231"/>
      <c r="H33" s="233" t="s">
        <v>40</v>
      </c>
      <c r="I33" s="232">
        <v>500</v>
      </c>
      <c r="J33" s="229" t="s">
        <v>152</v>
      </c>
      <c r="K33" s="224" t="s">
        <v>147</v>
      </c>
      <c r="L33" s="224" t="s">
        <v>41</v>
      </c>
      <c r="N33">
        <f t="shared" si="0"/>
        <v>100</v>
      </c>
      <c r="Q33" s="30"/>
      <c r="R33" s="30"/>
      <c r="S33" s="30"/>
      <c r="T33" s="30"/>
    </row>
    <row r="34" spans="1:20" x14ac:dyDescent="0.25">
      <c r="A34" s="228">
        <v>1</v>
      </c>
      <c r="B34" s="351" t="s">
        <v>2357</v>
      </c>
      <c r="C34" s="230" t="s">
        <v>2358</v>
      </c>
      <c r="D34" s="230" t="s">
        <v>160</v>
      </c>
      <c r="E34" s="230" t="s">
        <v>420</v>
      </c>
      <c r="F34" s="230" t="s">
        <v>69</v>
      </c>
      <c r="G34" s="231" t="s">
        <v>2359</v>
      </c>
      <c r="H34" s="233" t="s">
        <v>40</v>
      </c>
      <c r="I34" s="232">
        <v>2000</v>
      </c>
      <c r="J34" s="229">
        <v>400</v>
      </c>
      <c r="K34" s="224" t="s">
        <v>147</v>
      </c>
      <c r="L34" s="224" t="s">
        <v>41</v>
      </c>
      <c r="N34">
        <f t="shared" si="0"/>
        <v>400</v>
      </c>
      <c r="Q34" s="30"/>
    </row>
    <row r="35" spans="1:20" x14ac:dyDescent="0.25">
      <c r="A35" s="228">
        <v>1</v>
      </c>
      <c r="B35" s="351" t="s">
        <v>2357</v>
      </c>
      <c r="C35" s="230" t="s">
        <v>2358</v>
      </c>
      <c r="D35" s="230" t="s">
        <v>160</v>
      </c>
      <c r="E35" s="230" t="s">
        <v>420</v>
      </c>
      <c r="F35" s="230" t="s">
        <v>69</v>
      </c>
      <c r="G35" s="231" t="s">
        <v>2359</v>
      </c>
      <c r="H35" s="233" t="s">
        <v>40</v>
      </c>
      <c r="I35" s="232">
        <v>500</v>
      </c>
      <c r="J35" s="229" t="s">
        <v>152</v>
      </c>
      <c r="K35" s="224" t="s">
        <v>147</v>
      </c>
      <c r="L35" s="224" t="s">
        <v>41</v>
      </c>
      <c r="N35">
        <f t="shared" si="0"/>
        <v>100</v>
      </c>
    </row>
    <row r="36" spans="1:20" x14ac:dyDescent="0.25">
      <c r="A36" s="228">
        <v>1</v>
      </c>
      <c r="B36" s="351" t="s">
        <v>2360</v>
      </c>
      <c r="C36" s="230" t="s">
        <v>2361</v>
      </c>
      <c r="D36" s="230" t="s">
        <v>160</v>
      </c>
      <c r="E36" s="230" t="s">
        <v>523</v>
      </c>
      <c r="F36" s="230" t="s">
        <v>42</v>
      </c>
      <c r="G36" s="231"/>
      <c r="H36" s="233" t="s">
        <v>40</v>
      </c>
      <c r="I36" s="232">
        <v>5000</v>
      </c>
      <c r="J36" s="229">
        <v>1000</v>
      </c>
      <c r="K36" s="224" t="s">
        <v>147</v>
      </c>
      <c r="L36" s="224" t="s">
        <v>41</v>
      </c>
      <c r="N36">
        <f t="shared" si="0"/>
        <v>1000</v>
      </c>
    </row>
    <row r="37" spans="1:20" x14ac:dyDescent="0.25">
      <c r="A37" s="228">
        <v>1</v>
      </c>
      <c r="B37" s="351" t="s">
        <v>2362</v>
      </c>
      <c r="C37" s="230" t="s">
        <v>2363</v>
      </c>
      <c r="D37" s="230" t="s">
        <v>160</v>
      </c>
      <c r="E37" s="230" t="s">
        <v>1623</v>
      </c>
      <c r="F37" s="230" t="s">
        <v>54</v>
      </c>
      <c r="G37" s="231" t="s">
        <v>2364</v>
      </c>
      <c r="H37" s="233" t="s">
        <v>40</v>
      </c>
      <c r="I37" s="232">
        <v>5000</v>
      </c>
      <c r="J37" s="229">
        <v>1000</v>
      </c>
      <c r="K37" s="224" t="s">
        <v>147</v>
      </c>
      <c r="L37" s="224" t="s">
        <v>41</v>
      </c>
      <c r="N37">
        <f t="shared" si="0"/>
        <v>1000</v>
      </c>
    </row>
    <row r="38" spans="1:20" x14ac:dyDescent="0.25">
      <c r="A38" s="228">
        <v>1</v>
      </c>
      <c r="B38" s="351" t="s">
        <v>2365</v>
      </c>
      <c r="C38" s="230" t="s">
        <v>2366</v>
      </c>
      <c r="D38" s="230" t="s">
        <v>160</v>
      </c>
      <c r="E38" s="230" t="s">
        <v>299</v>
      </c>
      <c r="F38" s="230" t="s">
        <v>42</v>
      </c>
      <c r="G38" s="231" t="s">
        <v>2367</v>
      </c>
      <c r="H38" s="233" t="s">
        <v>40</v>
      </c>
      <c r="I38" s="236">
        <v>2500</v>
      </c>
      <c r="J38" s="271">
        <v>500</v>
      </c>
      <c r="K38" s="224" t="s">
        <v>147</v>
      </c>
      <c r="L38" s="224" t="s">
        <v>41</v>
      </c>
      <c r="N38">
        <f t="shared" si="0"/>
        <v>500</v>
      </c>
    </row>
    <row r="39" spans="1:20" x14ac:dyDescent="0.25">
      <c r="A39" s="228">
        <v>1</v>
      </c>
      <c r="B39" s="351" t="s">
        <v>2365</v>
      </c>
      <c r="C39" s="230" t="s">
        <v>2366</v>
      </c>
      <c r="D39" s="230" t="s">
        <v>160</v>
      </c>
      <c r="E39" s="230" t="s">
        <v>299</v>
      </c>
      <c r="F39" s="230" t="s">
        <v>42</v>
      </c>
      <c r="G39" s="231" t="s">
        <v>2367</v>
      </c>
      <c r="H39" s="399" t="s">
        <v>465</v>
      </c>
      <c r="I39" s="236">
        <v>50</v>
      </c>
      <c r="J39" s="271">
        <v>50</v>
      </c>
      <c r="K39" s="224" t="s">
        <v>147</v>
      </c>
      <c r="L39" s="224" t="s">
        <v>41</v>
      </c>
      <c r="N39">
        <f t="shared" si="0"/>
        <v>10</v>
      </c>
    </row>
    <row r="40" spans="1:20" x14ac:dyDescent="0.25">
      <c r="A40" s="228">
        <v>1</v>
      </c>
      <c r="B40" s="351" t="s">
        <v>2368</v>
      </c>
      <c r="C40" s="230" t="s">
        <v>2369</v>
      </c>
      <c r="D40" s="230" t="s">
        <v>160</v>
      </c>
      <c r="E40" s="230" t="s">
        <v>375</v>
      </c>
      <c r="F40" s="230" t="s">
        <v>43</v>
      </c>
      <c r="G40" s="231" t="s">
        <v>2370</v>
      </c>
      <c r="H40" s="233" t="s">
        <v>40</v>
      </c>
      <c r="I40" s="236">
        <v>1500</v>
      </c>
      <c r="J40" s="271">
        <v>300</v>
      </c>
      <c r="K40" s="224" t="s">
        <v>147</v>
      </c>
      <c r="L40" s="224" t="s">
        <v>41</v>
      </c>
      <c r="N40">
        <f t="shared" si="0"/>
        <v>300</v>
      </c>
    </row>
    <row r="41" spans="1:20" x14ac:dyDescent="0.25">
      <c r="A41" s="228">
        <v>1</v>
      </c>
      <c r="B41" s="351" t="s">
        <v>2371</v>
      </c>
      <c r="C41" s="230" t="s">
        <v>2141</v>
      </c>
      <c r="D41" s="230" t="s">
        <v>160</v>
      </c>
      <c r="E41" s="230" t="s">
        <v>196</v>
      </c>
      <c r="F41" s="230" t="s">
        <v>56</v>
      </c>
      <c r="G41" s="231" t="s">
        <v>2372</v>
      </c>
      <c r="H41" s="233" t="s">
        <v>40</v>
      </c>
      <c r="I41" s="236">
        <v>3000</v>
      </c>
      <c r="J41" s="271">
        <v>600</v>
      </c>
      <c r="K41" s="224" t="s">
        <v>147</v>
      </c>
      <c r="L41" s="224" t="s">
        <v>41</v>
      </c>
      <c r="N41">
        <f t="shared" si="0"/>
        <v>600</v>
      </c>
    </row>
    <row r="42" spans="1:20" s="62" customFormat="1" x14ac:dyDescent="0.25">
      <c r="A42" s="228">
        <v>2</v>
      </c>
      <c r="B42" s="351" t="s">
        <v>1485</v>
      </c>
      <c r="C42" s="230" t="s">
        <v>1359</v>
      </c>
      <c r="D42" s="230" t="s">
        <v>160</v>
      </c>
      <c r="E42" s="230" t="s">
        <v>180</v>
      </c>
      <c r="F42" s="230" t="s">
        <v>54</v>
      </c>
      <c r="G42" s="231" t="s">
        <v>1486</v>
      </c>
      <c r="H42" s="233" t="s">
        <v>40</v>
      </c>
      <c r="I42" s="236">
        <v>10000</v>
      </c>
      <c r="J42" s="271">
        <v>2000</v>
      </c>
      <c r="K42" s="224" t="s">
        <v>147</v>
      </c>
      <c r="L42" s="224" t="s">
        <v>41</v>
      </c>
      <c r="N42" s="62">
        <f t="shared" si="0"/>
        <v>2000</v>
      </c>
    </row>
    <row r="43" spans="1:20" s="62" customFormat="1" x14ac:dyDescent="0.25">
      <c r="A43" s="228">
        <v>2</v>
      </c>
      <c r="B43" s="351" t="s">
        <v>2373</v>
      </c>
      <c r="C43" s="230" t="s">
        <v>2374</v>
      </c>
      <c r="D43" s="230" t="s">
        <v>160</v>
      </c>
      <c r="E43" s="230" t="s">
        <v>237</v>
      </c>
      <c r="F43" s="230" t="s">
        <v>42</v>
      </c>
      <c r="G43" s="231" t="s">
        <v>2375</v>
      </c>
      <c r="H43" s="230" t="s">
        <v>40</v>
      </c>
      <c r="I43" s="236">
        <v>2000</v>
      </c>
      <c r="J43" s="271">
        <v>400</v>
      </c>
      <c r="K43" s="224" t="s">
        <v>147</v>
      </c>
      <c r="L43" s="224" t="s">
        <v>41</v>
      </c>
      <c r="N43" s="62">
        <f t="shared" si="0"/>
        <v>400</v>
      </c>
      <c r="R43" s="325"/>
    </row>
    <row r="44" spans="1:20" s="62" customFormat="1" x14ac:dyDescent="0.25">
      <c r="A44" s="228">
        <v>2</v>
      </c>
      <c r="B44" s="351" t="s">
        <v>2373</v>
      </c>
      <c r="C44" s="230" t="s">
        <v>2374</v>
      </c>
      <c r="D44" s="230" t="s">
        <v>160</v>
      </c>
      <c r="E44" s="230" t="s">
        <v>237</v>
      </c>
      <c r="F44" s="230" t="s">
        <v>42</v>
      </c>
      <c r="G44" s="231" t="s">
        <v>2375</v>
      </c>
      <c r="H44" s="399" t="s">
        <v>465</v>
      </c>
      <c r="I44" s="236">
        <v>500</v>
      </c>
      <c r="J44" s="271">
        <v>500</v>
      </c>
      <c r="K44" s="224" t="s">
        <v>147</v>
      </c>
      <c r="L44" s="224" t="s">
        <v>41</v>
      </c>
      <c r="N44" s="62">
        <f t="shared" si="0"/>
        <v>100</v>
      </c>
    </row>
    <row r="45" spans="1:20" s="62" customFormat="1" x14ac:dyDescent="0.25">
      <c r="A45" s="228">
        <v>2</v>
      </c>
      <c r="B45" s="351" t="s">
        <v>2376</v>
      </c>
      <c r="C45" s="230" t="s">
        <v>2377</v>
      </c>
      <c r="D45" s="230" t="s">
        <v>160</v>
      </c>
      <c r="E45" s="230" t="s">
        <v>2378</v>
      </c>
      <c r="F45" s="230" t="s">
        <v>61</v>
      </c>
      <c r="G45" s="231"/>
      <c r="H45" s="233" t="s">
        <v>40</v>
      </c>
      <c r="I45" s="236">
        <v>1000</v>
      </c>
      <c r="J45" s="271" t="s">
        <v>152</v>
      </c>
      <c r="K45" s="224" t="s">
        <v>147</v>
      </c>
      <c r="L45" s="224" t="s">
        <v>41</v>
      </c>
      <c r="N45" s="62">
        <f t="shared" si="0"/>
        <v>200</v>
      </c>
    </row>
    <row r="46" spans="1:20" s="62" customFormat="1" x14ac:dyDescent="0.25">
      <c r="A46" s="228">
        <v>2</v>
      </c>
      <c r="B46" s="351" t="s">
        <v>2379</v>
      </c>
      <c r="C46" s="230" t="s">
        <v>2040</v>
      </c>
      <c r="D46" s="230" t="s">
        <v>160</v>
      </c>
      <c r="E46" s="230" t="s">
        <v>1243</v>
      </c>
      <c r="F46" s="230" t="s">
        <v>47</v>
      </c>
      <c r="G46" s="231" t="s">
        <v>2380</v>
      </c>
      <c r="H46" s="230" t="s">
        <v>40</v>
      </c>
      <c r="I46" s="236">
        <v>300</v>
      </c>
      <c r="J46" s="271">
        <v>60</v>
      </c>
      <c r="K46" s="224" t="s">
        <v>147</v>
      </c>
      <c r="L46" s="224" t="s">
        <v>41</v>
      </c>
      <c r="N46" s="62">
        <f t="shared" si="0"/>
        <v>60</v>
      </c>
    </row>
    <row r="47" spans="1:20" s="62" customFormat="1" x14ac:dyDescent="0.25">
      <c r="A47" s="228">
        <v>2</v>
      </c>
      <c r="B47" s="351" t="s">
        <v>2381</v>
      </c>
      <c r="C47" s="230" t="s">
        <v>1373</v>
      </c>
      <c r="D47" s="230" t="s">
        <v>160</v>
      </c>
      <c r="E47" s="230" t="s">
        <v>58</v>
      </c>
      <c r="F47" s="230" t="s">
        <v>59</v>
      </c>
      <c r="G47" s="231"/>
      <c r="H47" s="233" t="s">
        <v>40</v>
      </c>
      <c r="I47" s="236">
        <v>4000</v>
      </c>
      <c r="J47" s="271">
        <v>800</v>
      </c>
      <c r="K47" s="224" t="s">
        <v>147</v>
      </c>
      <c r="L47" s="224" t="s">
        <v>41</v>
      </c>
      <c r="N47" s="62">
        <f t="shared" si="0"/>
        <v>800</v>
      </c>
    </row>
    <row r="48" spans="1:20" s="62" customFormat="1" x14ac:dyDescent="0.25">
      <c r="A48" s="228">
        <v>2</v>
      </c>
      <c r="B48" s="351" t="s">
        <v>1946</v>
      </c>
      <c r="C48" s="230" t="s">
        <v>1947</v>
      </c>
      <c r="D48" s="230" t="s">
        <v>160</v>
      </c>
      <c r="E48" s="230" t="s">
        <v>1948</v>
      </c>
      <c r="F48" s="230" t="s">
        <v>50</v>
      </c>
      <c r="G48" s="231" t="s">
        <v>2382</v>
      </c>
      <c r="H48" s="230" t="s">
        <v>40</v>
      </c>
      <c r="I48" s="236">
        <v>2000</v>
      </c>
      <c r="J48" s="271">
        <v>400</v>
      </c>
      <c r="K48" s="224" t="s">
        <v>147</v>
      </c>
      <c r="L48" s="224" t="s">
        <v>41</v>
      </c>
      <c r="N48" s="62">
        <f t="shared" si="0"/>
        <v>400</v>
      </c>
    </row>
    <row r="49" spans="1:18" s="62" customFormat="1" x14ac:dyDescent="0.25">
      <c r="A49" s="228">
        <v>2</v>
      </c>
      <c r="B49" s="351" t="s">
        <v>2383</v>
      </c>
      <c r="C49" s="230" t="s">
        <v>2384</v>
      </c>
      <c r="D49" s="230" t="s">
        <v>160</v>
      </c>
      <c r="E49" s="230" t="s">
        <v>60</v>
      </c>
      <c r="F49" s="230" t="s">
        <v>54</v>
      </c>
      <c r="G49" s="231" t="s">
        <v>2385</v>
      </c>
      <c r="H49" s="233" t="s">
        <v>40</v>
      </c>
      <c r="I49" s="236">
        <v>3000</v>
      </c>
      <c r="J49" s="271">
        <v>60</v>
      </c>
      <c r="K49" s="224" t="s">
        <v>147</v>
      </c>
      <c r="L49" s="224" t="s">
        <v>41</v>
      </c>
      <c r="N49" s="62">
        <f t="shared" si="0"/>
        <v>600</v>
      </c>
    </row>
    <row r="50" spans="1:18" s="62" customFormat="1" x14ac:dyDescent="0.25">
      <c r="A50" s="228">
        <v>2</v>
      </c>
      <c r="B50" s="351" t="s">
        <v>2386</v>
      </c>
      <c r="C50" s="230" t="s">
        <v>2387</v>
      </c>
      <c r="D50" s="230" t="s">
        <v>160</v>
      </c>
      <c r="E50" s="230" t="s">
        <v>420</v>
      </c>
      <c r="F50" s="230" t="s">
        <v>69</v>
      </c>
      <c r="G50" s="231" t="s">
        <v>2388</v>
      </c>
      <c r="H50" s="399" t="s">
        <v>465</v>
      </c>
      <c r="I50" s="236">
        <v>250</v>
      </c>
      <c r="J50" s="271">
        <v>250</v>
      </c>
      <c r="K50" s="224" t="s">
        <v>147</v>
      </c>
      <c r="L50" s="224" t="s">
        <v>41</v>
      </c>
      <c r="N50" s="62">
        <f t="shared" si="0"/>
        <v>50</v>
      </c>
      <c r="R50" s="98"/>
    </row>
    <row r="51" spans="1:18" s="62" customFormat="1" x14ac:dyDescent="0.25">
      <c r="A51" s="228">
        <v>2</v>
      </c>
      <c r="B51" s="351" t="s">
        <v>1990</v>
      </c>
      <c r="C51" s="230" t="s">
        <v>1892</v>
      </c>
      <c r="D51" s="230" t="s">
        <v>160</v>
      </c>
      <c r="E51" s="230" t="s">
        <v>191</v>
      </c>
      <c r="F51" s="230" t="s">
        <v>43</v>
      </c>
      <c r="G51" s="231"/>
      <c r="H51" s="230" t="s">
        <v>40</v>
      </c>
      <c r="I51" s="236">
        <v>10000</v>
      </c>
      <c r="J51" s="271">
        <v>2000</v>
      </c>
      <c r="K51" s="224" t="s">
        <v>147</v>
      </c>
      <c r="L51" s="224" t="s">
        <v>41</v>
      </c>
      <c r="N51" s="62">
        <f t="shared" si="0"/>
        <v>2000</v>
      </c>
    </row>
    <row r="52" spans="1:18" s="62" customFormat="1" x14ac:dyDescent="0.25">
      <c r="A52" s="228">
        <v>2</v>
      </c>
      <c r="B52" s="351" t="s">
        <v>1517</v>
      </c>
      <c r="C52" s="230" t="s">
        <v>1965</v>
      </c>
      <c r="D52" s="283" t="s">
        <v>163</v>
      </c>
      <c r="E52" s="230" t="s">
        <v>388</v>
      </c>
      <c r="F52" s="230" t="s">
        <v>57</v>
      </c>
      <c r="G52" s="231" t="s">
        <v>2390</v>
      </c>
      <c r="H52" s="399" t="s">
        <v>465</v>
      </c>
      <c r="I52" s="236">
        <v>4500</v>
      </c>
      <c r="J52" s="271">
        <v>4500</v>
      </c>
      <c r="K52" s="224" t="s">
        <v>147</v>
      </c>
      <c r="L52" s="224" t="s">
        <v>41</v>
      </c>
      <c r="N52" s="62">
        <f t="shared" si="0"/>
        <v>900</v>
      </c>
    </row>
    <row r="53" spans="1:18" s="62" customFormat="1" x14ac:dyDescent="0.25">
      <c r="A53" s="228">
        <v>2</v>
      </c>
      <c r="B53" s="351" t="s">
        <v>2391</v>
      </c>
      <c r="C53" s="230" t="s">
        <v>2152</v>
      </c>
      <c r="D53" s="230" t="s">
        <v>160</v>
      </c>
      <c r="E53" s="230"/>
      <c r="F53" s="230" t="s">
        <v>61</v>
      </c>
      <c r="G53" s="231" t="s">
        <v>2392</v>
      </c>
      <c r="H53" s="233" t="s">
        <v>40</v>
      </c>
      <c r="I53" s="236">
        <v>2500</v>
      </c>
      <c r="J53" s="271">
        <v>500</v>
      </c>
      <c r="K53" s="224" t="s">
        <v>147</v>
      </c>
      <c r="L53" s="224" t="s">
        <v>41</v>
      </c>
      <c r="N53" s="62">
        <f t="shared" si="0"/>
        <v>500</v>
      </c>
    </row>
    <row r="54" spans="1:18" s="62" customFormat="1" x14ac:dyDescent="0.25">
      <c r="A54" s="228">
        <v>2</v>
      </c>
      <c r="B54" s="351" t="s">
        <v>2393</v>
      </c>
      <c r="C54" s="230" t="s">
        <v>2394</v>
      </c>
      <c r="D54" s="230" t="s">
        <v>160</v>
      </c>
      <c r="E54" s="230" t="s">
        <v>573</v>
      </c>
      <c r="F54" s="230" t="s">
        <v>69</v>
      </c>
      <c r="G54" s="231"/>
      <c r="H54" s="233" t="s">
        <v>40</v>
      </c>
      <c r="I54" s="236">
        <v>500</v>
      </c>
      <c r="J54" s="271" t="s">
        <v>152</v>
      </c>
      <c r="K54" s="224" t="s">
        <v>147</v>
      </c>
      <c r="L54" s="224" t="s">
        <v>41</v>
      </c>
      <c r="N54" s="62">
        <f t="shared" si="0"/>
        <v>100</v>
      </c>
    </row>
    <row r="55" spans="1:18" s="62" customFormat="1" x14ac:dyDescent="0.25">
      <c r="A55" s="228">
        <v>2</v>
      </c>
      <c r="B55" s="351" t="s">
        <v>2395</v>
      </c>
      <c r="C55" s="230" t="s">
        <v>1537</v>
      </c>
      <c r="D55" s="230" t="s">
        <v>160</v>
      </c>
      <c r="E55" s="230" t="s">
        <v>573</v>
      </c>
      <c r="F55" s="230" t="s">
        <v>69</v>
      </c>
      <c r="G55" s="231"/>
      <c r="H55" s="233" t="s">
        <v>40</v>
      </c>
      <c r="I55" s="236">
        <v>250</v>
      </c>
      <c r="J55" s="271" t="s">
        <v>152</v>
      </c>
      <c r="K55" s="224" t="s">
        <v>147</v>
      </c>
      <c r="L55" s="224" t="s">
        <v>41</v>
      </c>
      <c r="N55" s="62">
        <f t="shared" si="0"/>
        <v>50</v>
      </c>
    </row>
    <row r="56" spans="1:18" s="62" customFormat="1" x14ac:dyDescent="0.25">
      <c r="A56" s="228">
        <v>5</v>
      </c>
      <c r="B56" s="351" t="s">
        <v>2396</v>
      </c>
      <c r="C56" s="230" t="s">
        <v>2397</v>
      </c>
      <c r="D56" s="283" t="s">
        <v>163</v>
      </c>
      <c r="E56" s="230" t="s">
        <v>2398</v>
      </c>
      <c r="F56" s="230" t="s">
        <v>83</v>
      </c>
      <c r="G56" s="231" t="s">
        <v>1804</v>
      </c>
      <c r="H56" s="399" t="s">
        <v>465</v>
      </c>
      <c r="I56" s="236">
        <v>1000</v>
      </c>
      <c r="J56" s="271">
        <v>1000</v>
      </c>
      <c r="K56" s="224" t="s">
        <v>147</v>
      </c>
      <c r="L56" s="224" t="s">
        <v>41</v>
      </c>
      <c r="N56" s="62">
        <f t="shared" si="0"/>
        <v>200</v>
      </c>
    </row>
    <row r="57" spans="1:18" s="62" customFormat="1" x14ac:dyDescent="0.25">
      <c r="A57" s="228">
        <v>5</v>
      </c>
      <c r="B57" s="351" t="s">
        <v>2399</v>
      </c>
      <c r="C57" s="230" t="s">
        <v>2400</v>
      </c>
      <c r="D57" s="230" t="s">
        <v>160</v>
      </c>
      <c r="E57" s="230" t="s">
        <v>290</v>
      </c>
      <c r="F57" s="230" t="s">
        <v>49</v>
      </c>
      <c r="G57" s="231" t="s">
        <v>923</v>
      </c>
      <c r="H57" s="233" t="s">
        <v>40</v>
      </c>
      <c r="I57" s="236">
        <v>3000</v>
      </c>
      <c r="J57" s="271">
        <v>600</v>
      </c>
      <c r="K57" s="224" t="s">
        <v>147</v>
      </c>
      <c r="L57" s="224" t="s">
        <v>41</v>
      </c>
      <c r="N57" s="62">
        <f t="shared" si="0"/>
        <v>600</v>
      </c>
    </row>
    <row r="58" spans="1:18" s="62" customFormat="1" x14ac:dyDescent="0.25">
      <c r="A58" s="228">
        <v>5</v>
      </c>
      <c r="B58" s="351" t="s">
        <v>2401</v>
      </c>
      <c r="C58" s="230" t="s">
        <v>2402</v>
      </c>
      <c r="D58" s="230" t="s">
        <v>160</v>
      </c>
      <c r="E58" s="230" t="s">
        <v>2084</v>
      </c>
      <c r="F58" s="230" t="s">
        <v>54</v>
      </c>
      <c r="G58" s="231" t="s">
        <v>2403</v>
      </c>
      <c r="H58" s="233" t="s">
        <v>40</v>
      </c>
      <c r="I58" s="236">
        <v>30000</v>
      </c>
      <c r="J58" s="271">
        <v>6000</v>
      </c>
      <c r="K58" s="224" t="s">
        <v>147</v>
      </c>
      <c r="L58" s="224" t="s">
        <v>41</v>
      </c>
      <c r="N58" s="62">
        <f t="shared" si="0"/>
        <v>6000</v>
      </c>
    </row>
    <row r="59" spans="1:18" s="62" customFormat="1" x14ac:dyDescent="0.25">
      <c r="A59" s="228">
        <v>5</v>
      </c>
      <c r="B59" s="351" t="s">
        <v>2393</v>
      </c>
      <c r="C59" s="230" t="s">
        <v>2394</v>
      </c>
      <c r="D59" s="230" t="s">
        <v>160</v>
      </c>
      <c r="E59" s="230" t="s">
        <v>573</v>
      </c>
      <c r="F59" s="230" t="s">
        <v>69</v>
      </c>
      <c r="G59" s="231"/>
      <c r="H59" s="399" t="s">
        <v>465</v>
      </c>
      <c r="I59" s="236">
        <v>200</v>
      </c>
      <c r="J59" s="271">
        <v>200</v>
      </c>
      <c r="K59" s="224" t="s">
        <v>147</v>
      </c>
      <c r="L59" s="224" t="s">
        <v>41</v>
      </c>
      <c r="N59" s="62">
        <f t="shared" si="0"/>
        <v>40</v>
      </c>
    </row>
    <row r="60" spans="1:18" s="62" customFormat="1" x14ac:dyDescent="0.25">
      <c r="A60" s="228">
        <v>5</v>
      </c>
      <c r="B60" s="351" t="s">
        <v>2404</v>
      </c>
      <c r="C60" s="230" t="s">
        <v>2405</v>
      </c>
      <c r="D60" s="230" t="s">
        <v>160</v>
      </c>
      <c r="E60" s="230" t="s">
        <v>191</v>
      </c>
      <c r="F60" s="230" t="s">
        <v>43</v>
      </c>
      <c r="G60" s="231"/>
      <c r="H60" s="233" t="s">
        <v>40</v>
      </c>
      <c r="I60" s="236">
        <v>5000</v>
      </c>
      <c r="J60" s="271">
        <v>1000</v>
      </c>
      <c r="K60" s="224" t="s">
        <v>147</v>
      </c>
      <c r="L60" s="224" t="s">
        <v>41</v>
      </c>
      <c r="N60" s="62">
        <f t="shared" si="0"/>
        <v>1000</v>
      </c>
    </row>
    <row r="61" spans="1:18" s="62" customFormat="1" x14ac:dyDescent="0.25">
      <c r="A61" s="228">
        <v>5</v>
      </c>
      <c r="B61" s="351" t="s">
        <v>1895</v>
      </c>
      <c r="C61" s="230" t="s">
        <v>2406</v>
      </c>
      <c r="D61" s="230" t="s">
        <v>160</v>
      </c>
      <c r="E61" s="230" t="s">
        <v>1293</v>
      </c>
      <c r="F61" s="230" t="s">
        <v>73</v>
      </c>
      <c r="G61" s="231" t="s">
        <v>2407</v>
      </c>
      <c r="H61" s="399" t="s">
        <v>465</v>
      </c>
      <c r="I61" s="236">
        <v>2000</v>
      </c>
      <c r="J61" s="271">
        <v>2000</v>
      </c>
      <c r="K61" s="224" t="s">
        <v>147</v>
      </c>
      <c r="L61" s="224" t="s">
        <v>41</v>
      </c>
      <c r="N61" s="62">
        <f t="shared" si="0"/>
        <v>400</v>
      </c>
    </row>
    <row r="62" spans="1:18" x14ac:dyDescent="0.25">
      <c r="A62" s="228">
        <v>5</v>
      </c>
      <c r="B62" s="351" t="s">
        <v>1891</v>
      </c>
      <c r="C62" s="230" t="s">
        <v>2408</v>
      </c>
      <c r="D62" s="230" t="s">
        <v>160</v>
      </c>
      <c r="E62" s="230" t="s">
        <v>1125</v>
      </c>
      <c r="F62" s="230" t="s">
        <v>47</v>
      </c>
      <c r="G62" s="231" t="s">
        <v>2409</v>
      </c>
      <c r="H62" s="233" t="s">
        <v>40</v>
      </c>
      <c r="I62" s="236">
        <v>2000</v>
      </c>
      <c r="J62" s="271">
        <v>400</v>
      </c>
      <c r="K62" s="224" t="s">
        <v>147</v>
      </c>
      <c r="L62" s="224" t="s">
        <v>41</v>
      </c>
      <c r="N62">
        <f t="shared" si="0"/>
        <v>400</v>
      </c>
    </row>
    <row r="63" spans="1:18" x14ac:dyDescent="0.25">
      <c r="A63" s="228">
        <v>5</v>
      </c>
      <c r="B63" s="351" t="s">
        <v>1891</v>
      </c>
      <c r="C63" s="230" t="s">
        <v>2408</v>
      </c>
      <c r="D63" s="230" t="s">
        <v>160</v>
      </c>
      <c r="E63" s="230" t="s">
        <v>1125</v>
      </c>
      <c r="F63" s="230" t="s">
        <v>47</v>
      </c>
      <c r="G63" s="231" t="s">
        <v>2409</v>
      </c>
      <c r="H63" s="399" t="s">
        <v>465</v>
      </c>
      <c r="I63" s="236">
        <v>100</v>
      </c>
      <c r="J63" s="271">
        <v>100</v>
      </c>
      <c r="K63" s="224" t="s">
        <v>147</v>
      </c>
      <c r="L63" s="224" t="s">
        <v>41</v>
      </c>
      <c r="N63">
        <f t="shared" si="0"/>
        <v>20</v>
      </c>
    </row>
    <row r="64" spans="1:18" x14ac:dyDescent="0.25">
      <c r="A64" s="246">
        <v>5</v>
      </c>
      <c r="B64" s="352" t="s">
        <v>2410</v>
      </c>
      <c r="C64" s="233" t="s">
        <v>2411</v>
      </c>
      <c r="D64" s="230" t="s">
        <v>160</v>
      </c>
      <c r="E64" s="230" t="s">
        <v>1180</v>
      </c>
      <c r="F64" s="230" t="s">
        <v>42</v>
      </c>
      <c r="G64" s="231" t="s">
        <v>1181</v>
      </c>
      <c r="H64" s="233" t="s">
        <v>40</v>
      </c>
      <c r="I64" s="236">
        <v>7000</v>
      </c>
      <c r="J64" s="271">
        <v>1400</v>
      </c>
      <c r="K64" s="224" t="s">
        <v>147</v>
      </c>
      <c r="L64" s="224" t="s">
        <v>41</v>
      </c>
      <c r="N64">
        <f t="shared" si="0"/>
        <v>1400</v>
      </c>
    </row>
    <row r="65" spans="1:14" x14ac:dyDescent="0.25">
      <c r="A65" s="246">
        <v>5</v>
      </c>
      <c r="B65" s="352" t="s">
        <v>2323</v>
      </c>
      <c r="C65" s="233" t="s">
        <v>2412</v>
      </c>
      <c r="D65" s="230" t="s">
        <v>160</v>
      </c>
      <c r="E65" s="230"/>
      <c r="F65" s="230" t="s">
        <v>61</v>
      </c>
      <c r="G65" s="231"/>
      <c r="H65" s="233" t="s">
        <v>40</v>
      </c>
      <c r="I65" s="236">
        <v>1000</v>
      </c>
      <c r="J65" s="271">
        <v>200</v>
      </c>
      <c r="K65" s="230" t="s">
        <v>147</v>
      </c>
      <c r="L65" s="230" t="s">
        <v>41</v>
      </c>
      <c r="N65">
        <f t="shared" si="0"/>
        <v>200</v>
      </c>
    </row>
    <row r="66" spans="1:14" x14ac:dyDescent="0.25">
      <c r="A66" s="246">
        <v>5</v>
      </c>
      <c r="B66" s="352" t="s">
        <v>2413</v>
      </c>
      <c r="C66" s="233" t="s">
        <v>1776</v>
      </c>
      <c r="D66" s="230" t="s">
        <v>160</v>
      </c>
      <c r="E66" s="230" t="s">
        <v>2414</v>
      </c>
      <c r="F66" s="230" t="s">
        <v>55</v>
      </c>
      <c r="G66" s="231"/>
      <c r="H66" s="233" t="s">
        <v>40</v>
      </c>
      <c r="I66" s="236">
        <v>3000</v>
      </c>
      <c r="J66" s="271">
        <v>600</v>
      </c>
      <c r="K66" s="224" t="s">
        <v>147</v>
      </c>
      <c r="L66" s="224" t="s">
        <v>41</v>
      </c>
      <c r="N66">
        <f t="shared" si="0"/>
        <v>600</v>
      </c>
    </row>
    <row r="67" spans="1:14" x14ac:dyDescent="0.25">
      <c r="A67" s="246">
        <v>5</v>
      </c>
      <c r="B67" s="352" t="s">
        <v>2415</v>
      </c>
      <c r="C67" s="233" t="s">
        <v>2416</v>
      </c>
      <c r="D67" s="230" t="s">
        <v>160</v>
      </c>
      <c r="E67" s="230" t="s">
        <v>196</v>
      </c>
      <c r="F67" s="230" t="s">
        <v>56</v>
      </c>
      <c r="G67" s="231" t="s">
        <v>2417</v>
      </c>
      <c r="H67" s="233" t="s">
        <v>40</v>
      </c>
      <c r="I67" s="236">
        <v>1500</v>
      </c>
      <c r="J67" s="271">
        <v>300</v>
      </c>
      <c r="K67" s="224" t="s">
        <v>147</v>
      </c>
      <c r="L67" s="224" t="s">
        <v>41</v>
      </c>
      <c r="N67">
        <f t="shared" si="0"/>
        <v>300</v>
      </c>
    </row>
    <row r="68" spans="1:14" x14ac:dyDescent="0.25">
      <c r="A68" s="246">
        <v>5</v>
      </c>
      <c r="B68" s="352" t="s">
        <v>1451</v>
      </c>
      <c r="C68" s="233" t="s">
        <v>2418</v>
      </c>
      <c r="D68" s="283" t="s">
        <v>163</v>
      </c>
      <c r="E68" s="230" t="s">
        <v>161</v>
      </c>
      <c r="F68" s="230" t="s">
        <v>54</v>
      </c>
      <c r="G68" s="231" t="s">
        <v>2419</v>
      </c>
      <c r="H68" s="233" t="s">
        <v>40</v>
      </c>
      <c r="I68" s="236">
        <v>1000</v>
      </c>
      <c r="J68" s="271">
        <v>200</v>
      </c>
      <c r="K68" s="224" t="s">
        <v>147</v>
      </c>
      <c r="L68" s="224" t="s">
        <v>41</v>
      </c>
      <c r="N68">
        <f t="shared" si="0"/>
        <v>200</v>
      </c>
    </row>
    <row r="69" spans="1:14" x14ac:dyDescent="0.25">
      <c r="A69" s="246">
        <v>5</v>
      </c>
      <c r="B69" s="352" t="s">
        <v>1390</v>
      </c>
      <c r="C69" s="233" t="s">
        <v>1391</v>
      </c>
      <c r="D69" s="230" t="s">
        <v>160</v>
      </c>
      <c r="E69" s="230" t="s">
        <v>189</v>
      </c>
      <c r="F69" s="230" t="s">
        <v>42</v>
      </c>
      <c r="G69" s="231" t="s">
        <v>1392</v>
      </c>
      <c r="H69" s="399" t="s">
        <v>465</v>
      </c>
      <c r="I69" s="236">
        <v>500</v>
      </c>
      <c r="J69" s="271">
        <v>500</v>
      </c>
      <c r="K69" s="224" t="s">
        <v>147</v>
      </c>
      <c r="L69" s="224" t="s">
        <v>41</v>
      </c>
      <c r="N69">
        <f t="shared" si="0"/>
        <v>100</v>
      </c>
    </row>
    <row r="70" spans="1:14" x14ac:dyDescent="0.25">
      <c r="A70" s="246">
        <v>5</v>
      </c>
      <c r="B70" s="352" t="s">
        <v>2420</v>
      </c>
      <c r="C70" s="233" t="s">
        <v>1300</v>
      </c>
      <c r="D70" s="230" t="s">
        <v>160</v>
      </c>
      <c r="E70" s="230" t="s">
        <v>441</v>
      </c>
      <c r="F70" s="230" t="s">
        <v>64</v>
      </c>
      <c r="G70" s="231" t="s">
        <v>2421</v>
      </c>
      <c r="H70" s="233" t="s">
        <v>40</v>
      </c>
      <c r="I70" s="236">
        <v>5000</v>
      </c>
      <c r="J70" s="271">
        <v>1000</v>
      </c>
      <c r="K70" s="224" t="s">
        <v>147</v>
      </c>
      <c r="L70" s="224" t="s">
        <v>41</v>
      </c>
      <c r="N70">
        <f t="shared" si="0"/>
        <v>1000</v>
      </c>
    </row>
    <row r="71" spans="1:14" x14ac:dyDescent="0.25">
      <c r="A71" s="246">
        <v>5</v>
      </c>
      <c r="B71" s="352" t="s">
        <v>2422</v>
      </c>
      <c r="C71" s="233" t="s">
        <v>1406</v>
      </c>
      <c r="D71" s="230" t="s">
        <v>160</v>
      </c>
      <c r="E71" s="230" t="s">
        <v>2423</v>
      </c>
      <c r="F71" s="230" t="s">
        <v>67</v>
      </c>
      <c r="G71" s="231"/>
      <c r="H71" s="230" t="s">
        <v>40</v>
      </c>
      <c r="I71" s="236">
        <v>300</v>
      </c>
      <c r="J71" s="271">
        <v>60</v>
      </c>
      <c r="K71" s="224" t="s">
        <v>147</v>
      </c>
      <c r="L71" s="224" t="s">
        <v>41</v>
      </c>
      <c r="N71">
        <f t="shared" si="0"/>
        <v>60</v>
      </c>
    </row>
    <row r="72" spans="1:14" x14ac:dyDescent="0.25">
      <c r="A72" s="246">
        <v>5</v>
      </c>
      <c r="B72" s="352" t="s">
        <v>2422</v>
      </c>
      <c r="C72" s="233" t="s">
        <v>1406</v>
      </c>
      <c r="D72" s="230" t="s">
        <v>160</v>
      </c>
      <c r="E72" s="230" t="s">
        <v>2423</v>
      </c>
      <c r="F72" s="230" t="s">
        <v>67</v>
      </c>
      <c r="G72" s="231"/>
      <c r="H72" s="399" t="s">
        <v>465</v>
      </c>
      <c r="I72" s="236">
        <v>200</v>
      </c>
      <c r="J72" s="271">
        <v>200</v>
      </c>
      <c r="K72" s="224" t="s">
        <v>147</v>
      </c>
      <c r="L72" s="224" t="s">
        <v>41</v>
      </c>
      <c r="N72">
        <f t="shared" si="0"/>
        <v>40</v>
      </c>
    </row>
    <row r="73" spans="1:14" x14ac:dyDescent="0.25">
      <c r="A73" s="246">
        <v>5</v>
      </c>
      <c r="B73" s="352" t="s">
        <v>2424</v>
      </c>
      <c r="C73" s="233" t="s">
        <v>1537</v>
      </c>
      <c r="D73" s="230" t="s">
        <v>160</v>
      </c>
      <c r="E73" s="230" t="s">
        <v>180</v>
      </c>
      <c r="F73" s="230" t="s">
        <v>54</v>
      </c>
      <c r="G73" s="231" t="s">
        <v>804</v>
      </c>
      <c r="H73" s="233" t="s">
        <v>40</v>
      </c>
      <c r="I73" s="236">
        <v>13500</v>
      </c>
      <c r="J73" s="271">
        <v>2700</v>
      </c>
      <c r="K73" s="224" t="s">
        <v>147</v>
      </c>
      <c r="L73" s="224" t="s">
        <v>41</v>
      </c>
      <c r="N73">
        <f t="shared" si="0"/>
        <v>2700</v>
      </c>
    </row>
    <row r="74" spans="1:14" x14ac:dyDescent="0.25">
      <c r="A74" s="246">
        <v>5</v>
      </c>
      <c r="B74" s="352" t="s">
        <v>2425</v>
      </c>
      <c r="C74" s="233" t="s">
        <v>2426</v>
      </c>
      <c r="D74" s="283" t="s">
        <v>163</v>
      </c>
      <c r="E74" s="230" t="s">
        <v>2427</v>
      </c>
      <c r="F74" s="230" t="s">
        <v>70</v>
      </c>
      <c r="G74" s="231" t="s">
        <v>1854</v>
      </c>
      <c r="H74" s="399" t="s">
        <v>465</v>
      </c>
      <c r="I74" s="236">
        <v>350</v>
      </c>
      <c r="J74" s="271">
        <v>350</v>
      </c>
      <c r="K74" s="224" t="s">
        <v>147</v>
      </c>
      <c r="L74" s="224" t="s">
        <v>41</v>
      </c>
      <c r="N74">
        <f t="shared" si="0"/>
        <v>70</v>
      </c>
    </row>
    <row r="75" spans="1:14" x14ac:dyDescent="0.25">
      <c r="A75" s="246">
        <v>5</v>
      </c>
      <c r="B75" s="352" t="s">
        <v>2429</v>
      </c>
      <c r="C75" s="233" t="s">
        <v>2430</v>
      </c>
      <c r="D75" s="283" t="s">
        <v>163</v>
      </c>
      <c r="E75" s="230" t="s">
        <v>2431</v>
      </c>
      <c r="F75" s="230" t="s">
        <v>62</v>
      </c>
      <c r="G75" s="231" t="s">
        <v>2432</v>
      </c>
      <c r="H75" s="233" t="s">
        <v>40</v>
      </c>
      <c r="I75" s="236">
        <v>1500</v>
      </c>
      <c r="J75" s="271">
        <v>300</v>
      </c>
      <c r="K75" s="224" t="s">
        <v>147</v>
      </c>
      <c r="L75" s="224" t="s">
        <v>41</v>
      </c>
      <c r="N75">
        <f t="shared" si="0"/>
        <v>300</v>
      </c>
    </row>
    <row r="76" spans="1:14" x14ac:dyDescent="0.25">
      <c r="A76" s="246">
        <v>5</v>
      </c>
      <c r="B76" s="352" t="s">
        <v>2433</v>
      </c>
      <c r="C76" s="233" t="s">
        <v>2434</v>
      </c>
      <c r="D76" s="230" t="s">
        <v>160</v>
      </c>
      <c r="E76" s="230" t="s">
        <v>2169</v>
      </c>
      <c r="F76" s="230" t="s">
        <v>43</v>
      </c>
      <c r="G76" s="231" t="s">
        <v>2435</v>
      </c>
      <c r="H76" s="230" t="s">
        <v>40</v>
      </c>
      <c r="I76" s="236">
        <v>200</v>
      </c>
      <c r="J76" s="271">
        <v>40</v>
      </c>
      <c r="K76" s="224" t="s">
        <v>147</v>
      </c>
      <c r="L76" s="224" t="s">
        <v>41</v>
      </c>
      <c r="N76">
        <f t="shared" si="0"/>
        <v>40</v>
      </c>
    </row>
    <row r="77" spans="1:14" x14ac:dyDescent="0.25">
      <c r="A77" s="246">
        <v>5</v>
      </c>
      <c r="B77" s="352" t="s">
        <v>2348</v>
      </c>
      <c r="C77" s="233" t="s">
        <v>2436</v>
      </c>
      <c r="D77" s="230" t="s">
        <v>160</v>
      </c>
      <c r="E77" s="230" t="s">
        <v>211</v>
      </c>
      <c r="F77" s="230" t="s">
        <v>47</v>
      </c>
      <c r="G77" s="231" t="s">
        <v>2437</v>
      </c>
      <c r="H77" s="233" t="s">
        <v>40</v>
      </c>
      <c r="I77" s="236">
        <v>4000</v>
      </c>
      <c r="J77" s="271">
        <v>800</v>
      </c>
      <c r="K77" s="224" t="s">
        <v>147</v>
      </c>
      <c r="L77" s="224" t="s">
        <v>41</v>
      </c>
      <c r="N77">
        <f t="shared" si="0"/>
        <v>800</v>
      </c>
    </row>
    <row r="78" spans="1:14" x14ac:dyDescent="0.25">
      <c r="A78" s="246">
        <v>5</v>
      </c>
      <c r="B78" s="352" t="s">
        <v>2438</v>
      </c>
      <c r="C78" s="233" t="s">
        <v>2439</v>
      </c>
      <c r="D78" s="283" t="s">
        <v>163</v>
      </c>
      <c r="E78" s="230" t="s">
        <v>1157</v>
      </c>
      <c r="F78" s="230" t="s">
        <v>42</v>
      </c>
      <c r="G78" s="231" t="s">
        <v>2440</v>
      </c>
      <c r="H78" s="233" t="s">
        <v>40</v>
      </c>
      <c r="I78" s="236">
        <v>1500</v>
      </c>
      <c r="J78" s="271">
        <v>300</v>
      </c>
      <c r="K78" s="224" t="s">
        <v>147</v>
      </c>
      <c r="L78" s="224" t="s">
        <v>41</v>
      </c>
      <c r="N78">
        <f t="shared" si="0"/>
        <v>300</v>
      </c>
    </row>
    <row r="79" spans="1:14" x14ac:dyDescent="0.25">
      <c r="A79" s="246">
        <v>5</v>
      </c>
      <c r="B79" s="352" t="s">
        <v>1831</v>
      </c>
      <c r="C79" s="233" t="s">
        <v>2441</v>
      </c>
      <c r="D79" s="230" t="s">
        <v>160</v>
      </c>
      <c r="E79" s="230" t="s">
        <v>2442</v>
      </c>
      <c r="F79" s="230" t="s">
        <v>47</v>
      </c>
      <c r="G79" s="231" t="s">
        <v>2443</v>
      </c>
      <c r="H79" s="399" t="s">
        <v>465</v>
      </c>
      <c r="I79" s="236">
        <v>1000</v>
      </c>
      <c r="J79" s="271">
        <v>1000</v>
      </c>
      <c r="K79" s="224" t="s">
        <v>147</v>
      </c>
      <c r="L79" s="224" t="s">
        <v>41</v>
      </c>
      <c r="N79">
        <f t="shared" si="0"/>
        <v>200</v>
      </c>
    </row>
    <row r="80" spans="1:14" x14ac:dyDescent="0.25">
      <c r="A80" s="246">
        <v>6</v>
      </c>
      <c r="B80" s="352" t="s">
        <v>2445</v>
      </c>
      <c r="C80" s="233" t="s">
        <v>2446</v>
      </c>
      <c r="D80" s="230" t="s">
        <v>160</v>
      </c>
      <c r="E80" s="230" t="s">
        <v>2447</v>
      </c>
      <c r="F80" s="230" t="s">
        <v>72</v>
      </c>
      <c r="G80" s="231" t="s">
        <v>2448</v>
      </c>
      <c r="H80" s="233" t="s">
        <v>40</v>
      </c>
      <c r="I80" s="236">
        <v>3000</v>
      </c>
      <c r="J80" s="271">
        <v>600</v>
      </c>
      <c r="K80" s="224" t="s">
        <v>147</v>
      </c>
      <c r="L80" s="224" t="s">
        <v>41</v>
      </c>
      <c r="N80">
        <f t="shared" si="0"/>
        <v>600</v>
      </c>
    </row>
    <row r="81" spans="1:14" x14ac:dyDescent="0.25">
      <c r="A81" s="246">
        <v>6</v>
      </c>
      <c r="B81" s="352" t="s">
        <v>2449</v>
      </c>
      <c r="C81" s="233" t="s">
        <v>2450</v>
      </c>
      <c r="D81" s="230" t="s">
        <v>160</v>
      </c>
      <c r="E81" s="230" t="s">
        <v>194</v>
      </c>
      <c r="F81" s="230" t="s">
        <v>43</v>
      </c>
      <c r="G81" s="231" t="s">
        <v>2451</v>
      </c>
      <c r="H81" s="233" t="s">
        <v>40</v>
      </c>
      <c r="I81" s="236">
        <v>150</v>
      </c>
      <c r="J81" s="271">
        <v>30</v>
      </c>
      <c r="K81" s="224" t="s">
        <v>147</v>
      </c>
      <c r="L81" s="224" t="s">
        <v>41</v>
      </c>
      <c r="N81">
        <f t="shared" si="0"/>
        <v>30</v>
      </c>
    </row>
    <row r="82" spans="1:14" x14ac:dyDescent="0.25">
      <c r="A82" s="246">
        <v>6</v>
      </c>
      <c r="B82" s="352" t="s">
        <v>2452</v>
      </c>
      <c r="C82" s="233" t="s">
        <v>1901</v>
      </c>
      <c r="D82" s="230" t="s">
        <v>160</v>
      </c>
      <c r="E82" s="230" t="s">
        <v>1994</v>
      </c>
      <c r="F82" s="230" t="s">
        <v>77</v>
      </c>
      <c r="G82" s="231" t="s">
        <v>2453</v>
      </c>
      <c r="H82" s="230" t="s">
        <v>40</v>
      </c>
      <c r="I82" s="236">
        <v>5000</v>
      </c>
      <c r="J82" s="271">
        <v>1000</v>
      </c>
      <c r="K82" s="224" t="s">
        <v>147</v>
      </c>
      <c r="L82" s="224" t="s">
        <v>41</v>
      </c>
      <c r="N82">
        <f t="shared" si="0"/>
        <v>1000</v>
      </c>
    </row>
    <row r="83" spans="1:14" x14ac:dyDescent="0.25">
      <c r="A83" s="246">
        <v>6</v>
      </c>
      <c r="B83" s="352" t="s">
        <v>2454</v>
      </c>
      <c r="C83" s="233" t="s">
        <v>2455</v>
      </c>
      <c r="D83" s="230" t="s">
        <v>160</v>
      </c>
      <c r="E83" s="230" t="s">
        <v>264</v>
      </c>
      <c r="F83" s="230" t="s">
        <v>43</v>
      </c>
      <c r="G83" s="231"/>
      <c r="H83" s="399" t="s">
        <v>465</v>
      </c>
      <c r="I83" s="236">
        <v>100</v>
      </c>
      <c r="J83" s="271">
        <v>100</v>
      </c>
      <c r="K83" s="224" t="s">
        <v>147</v>
      </c>
      <c r="L83" s="224" t="s">
        <v>41</v>
      </c>
      <c r="N83">
        <f t="shared" si="0"/>
        <v>20</v>
      </c>
    </row>
    <row r="84" spans="1:14" x14ac:dyDescent="0.25">
      <c r="A84" s="246">
        <v>6</v>
      </c>
      <c r="B84" s="352" t="s">
        <v>2454</v>
      </c>
      <c r="C84" s="233" t="s">
        <v>2455</v>
      </c>
      <c r="D84" s="230" t="s">
        <v>160</v>
      </c>
      <c r="E84" s="230" t="s">
        <v>264</v>
      </c>
      <c r="F84" s="230" t="s">
        <v>43</v>
      </c>
      <c r="G84" s="231"/>
      <c r="H84" s="230" t="s">
        <v>40</v>
      </c>
      <c r="I84" s="236">
        <v>1000</v>
      </c>
      <c r="J84" s="271">
        <v>200</v>
      </c>
      <c r="K84" s="224" t="s">
        <v>147</v>
      </c>
      <c r="L84" s="224" t="s">
        <v>41</v>
      </c>
      <c r="N84">
        <f t="shared" si="0"/>
        <v>200</v>
      </c>
    </row>
    <row r="85" spans="1:14" x14ac:dyDescent="0.25">
      <c r="A85" s="246">
        <v>6</v>
      </c>
      <c r="B85" s="352" t="s">
        <v>1831</v>
      </c>
      <c r="C85" s="233" t="s">
        <v>1960</v>
      </c>
      <c r="D85" s="230" t="s">
        <v>160</v>
      </c>
      <c r="E85" s="230" t="s">
        <v>1180</v>
      </c>
      <c r="F85" s="230" t="s">
        <v>42</v>
      </c>
      <c r="G85" s="231"/>
      <c r="H85" s="233" t="s">
        <v>40</v>
      </c>
      <c r="I85" s="236">
        <v>4000</v>
      </c>
      <c r="J85" s="271">
        <v>800</v>
      </c>
      <c r="K85" s="224" t="s">
        <v>147</v>
      </c>
      <c r="L85" s="224" t="s">
        <v>41</v>
      </c>
      <c r="N85">
        <f t="shared" si="0"/>
        <v>800</v>
      </c>
    </row>
    <row r="86" spans="1:14" x14ac:dyDescent="0.25">
      <c r="A86" s="246">
        <v>6</v>
      </c>
      <c r="B86" s="352" t="s">
        <v>2456</v>
      </c>
      <c r="C86" s="233" t="s">
        <v>2457</v>
      </c>
      <c r="D86" s="283" t="s">
        <v>163</v>
      </c>
      <c r="E86" s="230" t="s">
        <v>911</v>
      </c>
      <c r="F86" s="230" t="s">
        <v>49</v>
      </c>
      <c r="G86" s="231" t="s">
        <v>2458</v>
      </c>
      <c r="H86" s="230" t="s">
        <v>40</v>
      </c>
      <c r="I86" s="236">
        <v>3000</v>
      </c>
      <c r="J86" s="271">
        <v>600</v>
      </c>
      <c r="K86" s="224" t="s">
        <v>147</v>
      </c>
      <c r="L86" s="224" t="s">
        <v>41</v>
      </c>
      <c r="N86">
        <f t="shared" si="0"/>
        <v>600</v>
      </c>
    </row>
    <row r="87" spans="1:14" x14ac:dyDescent="0.25">
      <c r="A87" s="246">
        <v>6</v>
      </c>
      <c r="B87" s="352" t="s">
        <v>2456</v>
      </c>
      <c r="C87" s="233" t="s">
        <v>2457</v>
      </c>
      <c r="D87" s="283" t="s">
        <v>163</v>
      </c>
      <c r="E87" s="230" t="s">
        <v>911</v>
      </c>
      <c r="F87" s="230" t="s">
        <v>49</v>
      </c>
      <c r="G87" s="231" t="s">
        <v>2458</v>
      </c>
      <c r="H87" s="399" t="s">
        <v>465</v>
      </c>
      <c r="I87" s="236">
        <v>300</v>
      </c>
      <c r="J87" s="271">
        <v>300</v>
      </c>
      <c r="K87" s="224" t="s">
        <v>147</v>
      </c>
      <c r="L87" s="224" t="s">
        <v>41</v>
      </c>
      <c r="N87">
        <f t="shared" si="0"/>
        <v>60</v>
      </c>
    </row>
    <row r="88" spans="1:14" x14ac:dyDescent="0.25">
      <c r="A88" s="246">
        <v>6</v>
      </c>
      <c r="B88" s="352" t="s">
        <v>2310</v>
      </c>
      <c r="C88" s="233" t="s">
        <v>2311</v>
      </c>
      <c r="D88" s="283" t="s">
        <v>163</v>
      </c>
      <c r="E88" s="230" t="s">
        <v>331</v>
      </c>
      <c r="F88" s="230" t="s">
        <v>54</v>
      </c>
      <c r="G88" s="231" t="s">
        <v>2312</v>
      </c>
      <c r="H88" s="399" t="s">
        <v>465</v>
      </c>
      <c r="I88" s="236">
        <v>300</v>
      </c>
      <c r="J88" s="271">
        <v>300</v>
      </c>
      <c r="K88" s="224" t="s">
        <v>147</v>
      </c>
      <c r="L88" s="224" t="s">
        <v>41</v>
      </c>
      <c r="N88">
        <f t="shared" si="0"/>
        <v>60</v>
      </c>
    </row>
    <row r="89" spans="1:14" x14ac:dyDescent="0.25">
      <c r="A89" s="246">
        <v>6</v>
      </c>
      <c r="B89" s="352" t="s">
        <v>2293</v>
      </c>
      <c r="C89" s="233" t="s">
        <v>2459</v>
      </c>
      <c r="D89" s="283" t="s">
        <v>163</v>
      </c>
      <c r="E89" s="230" t="s">
        <v>167</v>
      </c>
      <c r="F89" s="230" t="s">
        <v>43</v>
      </c>
      <c r="G89" s="231" t="s">
        <v>1011</v>
      </c>
      <c r="H89" s="233" t="s">
        <v>40</v>
      </c>
      <c r="I89" s="236">
        <v>20000</v>
      </c>
      <c r="J89" s="271">
        <v>4000</v>
      </c>
      <c r="K89" s="224" t="s">
        <v>147</v>
      </c>
      <c r="L89" s="224" t="s">
        <v>41</v>
      </c>
      <c r="N89">
        <f t="shared" si="0"/>
        <v>4000</v>
      </c>
    </row>
    <row r="90" spans="1:14" x14ac:dyDescent="0.25">
      <c r="A90" s="246">
        <v>6</v>
      </c>
      <c r="B90" s="352" t="s">
        <v>2460</v>
      </c>
      <c r="C90" s="233" t="s">
        <v>2461</v>
      </c>
      <c r="D90" s="230" t="s">
        <v>160</v>
      </c>
      <c r="E90" s="230" t="s">
        <v>321</v>
      </c>
      <c r="F90" s="230" t="s">
        <v>42</v>
      </c>
      <c r="G90" s="231" t="s">
        <v>2462</v>
      </c>
      <c r="H90" s="233" t="s">
        <v>40</v>
      </c>
      <c r="I90" s="236">
        <v>300</v>
      </c>
      <c r="J90" s="271">
        <v>60</v>
      </c>
      <c r="K90" s="224" t="s">
        <v>147</v>
      </c>
      <c r="L90" s="224" t="s">
        <v>41</v>
      </c>
      <c r="N90">
        <f t="shared" si="0"/>
        <v>60</v>
      </c>
    </row>
    <row r="91" spans="1:14" x14ac:dyDescent="0.25">
      <c r="A91" s="246">
        <v>6</v>
      </c>
      <c r="B91" s="352" t="s">
        <v>2460</v>
      </c>
      <c r="C91" s="233" t="s">
        <v>2461</v>
      </c>
      <c r="D91" s="230" t="s">
        <v>160</v>
      </c>
      <c r="E91" s="230" t="s">
        <v>321</v>
      </c>
      <c r="F91" s="230" t="s">
        <v>42</v>
      </c>
      <c r="G91" s="231" t="s">
        <v>2462</v>
      </c>
      <c r="H91" s="399" t="s">
        <v>465</v>
      </c>
      <c r="I91" s="236">
        <v>100</v>
      </c>
      <c r="J91" s="271">
        <v>100</v>
      </c>
      <c r="K91" s="224" t="s">
        <v>147</v>
      </c>
      <c r="L91" s="224" t="s">
        <v>41</v>
      </c>
      <c r="N91">
        <f t="shared" si="0"/>
        <v>20</v>
      </c>
    </row>
    <row r="92" spans="1:14" x14ac:dyDescent="0.25">
      <c r="A92" s="246">
        <v>6</v>
      </c>
      <c r="B92" s="352" t="s">
        <v>2234</v>
      </c>
      <c r="C92" s="233" t="s">
        <v>2463</v>
      </c>
      <c r="D92" s="283" t="s">
        <v>163</v>
      </c>
      <c r="E92" s="230" t="s">
        <v>538</v>
      </c>
      <c r="F92" s="230" t="s">
        <v>49</v>
      </c>
      <c r="G92" s="231" t="s">
        <v>2464</v>
      </c>
      <c r="H92" s="233" t="s">
        <v>40</v>
      </c>
      <c r="I92" s="236">
        <v>1000</v>
      </c>
      <c r="J92" s="271">
        <v>200</v>
      </c>
      <c r="K92" s="224" t="s">
        <v>147</v>
      </c>
      <c r="L92" s="224" t="s">
        <v>41</v>
      </c>
      <c r="N92">
        <f t="shared" si="0"/>
        <v>200</v>
      </c>
    </row>
    <row r="93" spans="1:14" x14ac:dyDescent="0.25">
      <c r="A93" s="246">
        <v>6</v>
      </c>
      <c r="B93" s="352" t="s">
        <v>2465</v>
      </c>
      <c r="C93" s="233" t="s">
        <v>2466</v>
      </c>
      <c r="D93" s="230" t="s">
        <v>160</v>
      </c>
      <c r="E93" s="230" t="s">
        <v>220</v>
      </c>
      <c r="F93" s="230" t="s">
        <v>61</v>
      </c>
      <c r="G93" s="231" t="s">
        <v>936</v>
      </c>
      <c r="H93" s="233" t="s">
        <v>40</v>
      </c>
      <c r="I93" s="236">
        <v>1000</v>
      </c>
      <c r="J93" s="271">
        <v>200</v>
      </c>
      <c r="K93" s="224" t="s">
        <v>147</v>
      </c>
      <c r="L93" s="224" t="s">
        <v>41</v>
      </c>
      <c r="N93">
        <f t="shared" si="0"/>
        <v>200</v>
      </c>
    </row>
    <row r="94" spans="1:14" x14ac:dyDescent="0.25">
      <c r="A94" s="246">
        <v>6</v>
      </c>
      <c r="B94" s="352" t="s">
        <v>2465</v>
      </c>
      <c r="C94" s="233" t="s">
        <v>2466</v>
      </c>
      <c r="D94" s="230" t="s">
        <v>160</v>
      </c>
      <c r="E94" s="230" t="s">
        <v>220</v>
      </c>
      <c r="F94" s="230" t="s">
        <v>61</v>
      </c>
      <c r="G94" s="231" t="s">
        <v>936</v>
      </c>
      <c r="H94" s="399" t="s">
        <v>465</v>
      </c>
      <c r="I94" s="236">
        <v>100</v>
      </c>
      <c r="J94" s="271">
        <v>100</v>
      </c>
      <c r="K94" s="224" t="s">
        <v>147</v>
      </c>
      <c r="L94" s="224" t="s">
        <v>41</v>
      </c>
      <c r="N94">
        <f t="shared" si="0"/>
        <v>20</v>
      </c>
    </row>
    <row r="95" spans="1:14" x14ac:dyDescent="0.25">
      <c r="A95" s="246">
        <v>6</v>
      </c>
      <c r="B95" s="352" t="s">
        <v>1402</v>
      </c>
      <c r="C95" s="233" t="s">
        <v>2467</v>
      </c>
      <c r="D95" s="283" t="s">
        <v>163</v>
      </c>
      <c r="E95" s="230" t="s">
        <v>2330</v>
      </c>
      <c r="F95" s="230" t="s">
        <v>42</v>
      </c>
      <c r="G95" s="231" t="s">
        <v>2468</v>
      </c>
      <c r="H95" s="233" t="s">
        <v>40</v>
      </c>
      <c r="I95" s="236">
        <v>2000</v>
      </c>
      <c r="J95" s="271">
        <v>400</v>
      </c>
      <c r="K95" s="224" t="s">
        <v>147</v>
      </c>
      <c r="L95" s="224" t="s">
        <v>41</v>
      </c>
      <c r="N95">
        <f t="shared" si="0"/>
        <v>400</v>
      </c>
    </row>
    <row r="96" spans="1:14" x14ac:dyDescent="0.25">
      <c r="A96" s="246">
        <v>6</v>
      </c>
      <c r="B96" s="352" t="s">
        <v>1402</v>
      </c>
      <c r="C96" s="233" t="s">
        <v>2467</v>
      </c>
      <c r="D96" s="283" t="s">
        <v>163</v>
      </c>
      <c r="E96" s="230" t="s">
        <v>2330</v>
      </c>
      <c r="F96" s="230" t="s">
        <v>42</v>
      </c>
      <c r="G96" s="231" t="s">
        <v>2468</v>
      </c>
      <c r="H96" s="399" t="s">
        <v>465</v>
      </c>
      <c r="I96" s="236">
        <v>1000</v>
      </c>
      <c r="J96" s="271">
        <v>1000</v>
      </c>
      <c r="K96" s="224" t="s">
        <v>147</v>
      </c>
      <c r="L96" s="224" t="s">
        <v>41</v>
      </c>
      <c r="N96">
        <f t="shared" si="0"/>
        <v>200</v>
      </c>
    </row>
    <row r="97" spans="1:17" x14ac:dyDescent="0.25">
      <c r="A97" s="246">
        <v>6</v>
      </c>
      <c r="B97" s="352" t="s">
        <v>1432</v>
      </c>
      <c r="C97" s="233" t="s">
        <v>2473</v>
      </c>
      <c r="D97" s="283" t="s">
        <v>163</v>
      </c>
      <c r="E97" s="230" t="s">
        <v>180</v>
      </c>
      <c r="F97" s="230" t="s">
        <v>58</v>
      </c>
      <c r="G97" s="231" t="s">
        <v>2474</v>
      </c>
      <c r="H97" s="233" t="s">
        <v>40</v>
      </c>
      <c r="I97" s="236">
        <v>3000</v>
      </c>
      <c r="J97" s="271">
        <v>600</v>
      </c>
      <c r="K97" s="224" t="s">
        <v>147</v>
      </c>
      <c r="L97" s="224" t="s">
        <v>41</v>
      </c>
      <c r="N97">
        <f t="shared" si="0"/>
        <v>600</v>
      </c>
    </row>
    <row r="98" spans="1:17" x14ac:dyDescent="0.25">
      <c r="A98" s="246">
        <v>6</v>
      </c>
      <c r="B98" s="352" t="s">
        <v>1432</v>
      </c>
      <c r="C98" s="233" t="s">
        <v>2473</v>
      </c>
      <c r="D98" s="283" t="s">
        <v>163</v>
      </c>
      <c r="E98" s="230" t="s">
        <v>180</v>
      </c>
      <c r="F98" s="230" t="s">
        <v>58</v>
      </c>
      <c r="G98" s="231" t="s">
        <v>2474</v>
      </c>
      <c r="H98" s="399" t="s">
        <v>465</v>
      </c>
      <c r="I98" s="236">
        <v>1000</v>
      </c>
      <c r="J98" s="271">
        <v>1000</v>
      </c>
      <c r="K98" s="224" t="s">
        <v>147</v>
      </c>
      <c r="L98" s="224" t="s">
        <v>41</v>
      </c>
      <c r="N98">
        <f t="shared" si="0"/>
        <v>200</v>
      </c>
    </row>
    <row r="99" spans="1:17" x14ac:dyDescent="0.25">
      <c r="A99" s="246">
        <v>6</v>
      </c>
      <c r="B99" s="352" t="s">
        <v>2475</v>
      </c>
      <c r="C99" s="233" t="s">
        <v>1971</v>
      </c>
      <c r="D99" s="230" t="s">
        <v>160</v>
      </c>
      <c r="E99" s="230" t="s">
        <v>656</v>
      </c>
      <c r="F99" s="230" t="s">
        <v>48</v>
      </c>
      <c r="G99" s="231" t="s">
        <v>2476</v>
      </c>
      <c r="H99" s="230" t="s">
        <v>40</v>
      </c>
      <c r="I99" s="236">
        <v>500</v>
      </c>
      <c r="J99" s="271">
        <v>100</v>
      </c>
      <c r="K99" s="224" t="s">
        <v>147</v>
      </c>
      <c r="L99" s="224" t="s">
        <v>41</v>
      </c>
      <c r="N99">
        <f t="shared" si="0"/>
        <v>100</v>
      </c>
    </row>
    <row r="100" spans="1:17" x14ac:dyDescent="0.25">
      <c r="A100" s="273">
        <v>6</v>
      </c>
      <c r="B100" s="352" t="s">
        <v>2477</v>
      </c>
      <c r="C100" s="233" t="s">
        <v>2478</v>
      </c>
      <c r="D100" s="283" t="s">
        <v>163</v>
      </c>
      <c r="E100" s="230" t="s">
        <v>2479</v>
      </c>
      <c r="F100" s="230" t="s">
        <v>54</v>
      </c>
      <c r="G100" s="231" t="s">
        <v>2480</v>
      </c>
      <c r="H100" s="233" t="s">
        <v>40</v>
      </c>
      <c r="I100" s="236">
        <v>1000</v>
      </c>
      <c r="J100" s="271">
        <v>200</v>
      </c>
      <c r="K100" s="224" t="s">
        <v>147</v>
      </c>
      <c r="L100" s="224" t="s">
        <v>41</v>
      </c>
      <c r="N100">
        <f t="shared" si="0"/>
        <v>200</v>
      </c>
    </row>
    <row r="101" spans="1:17" x14ac:dyDescent="0.25">
      <c r="A101" s="246">
        <v>8</v>
      </c>
      <c r="B101" s="352" t="s">
        <v>2485</v>
      </c>
      <c r="C101" s="233" t="s">
        <v>2486</v>
      </c>
      <c r="D101" s="283" t="s">
        <v>163</v>
      </c>
      <c r="E101" s="230" t="s">
        <v>2487</v>
      </c>
      <c r="F101" s="230" t="s">
        <v>50</v>
      </c>
      <c r="G101" s="231" t="s">
        <v>2488</v>
      </c>
      <c r="H101" s="399" t="s">
        <v>465</v>
      </c>
      <c r="I101" s="236">
        <v>2000</v>
      </c>
      <c r="J101" s="271">
        <v>2000</v>
      </c>
      <c r="K101" s="224" t="s">
        <v>147</v>
      </c>
      <c r="L101" s="224" t="s">
        <v>41</v>
      </c>
      <c r="N101">
        <f t="shared" si="0"/>
        <v>400</v>
      </c>
    </row>
    <row r="102" spans="1:17" x14ac:dyDescent="0.25">
      <c r="A102" s="246">
        <v>8</v>
      </c>
      <c r="B102" s="352" t="s">
        <v>2489</v>
      </c>
      <c r="C102" s="233" t="s">
        <v>2490</v>
      </c>
      <c r="D102" s="230" t="s">
        <v>160</v>
      </c>
      <c r="E102" s="230"/>
      <c r="F102" s="230" t="s">
        <v>49</v>
      </c>
      <c r="G102" s="231" t="s">
        <v>2491</v>
      </c>
      <c r="H102" s="399" t="s">
        <v>465</v>
      </c>
      <c r="I102" s="236">
        <v>11000</v>
      </c>
      <c r="J102" s="271">
        <v>1100</v>
      </c>
      <c r="K102" s="224" t="s">
        <v>147</v>
      </c>
      <c r="L102" s="224" t="s">
        <v>41</v>
      </c>
      <c r="N102">
        <f t="shared" si="0"/>
        <v>2200</v>
      </c>
    </row>
    <row r="103" spans="1:17" x14ac:dyDescent="0.25">
      <c r="A103" s="246">
        <v>8</v>
      </c>
      <c r="B103" s="352" t="s">
        <v>2492</v>
      </c>
      <c r="C103" s="233" t="s">
        <v>1754</v>
      </c>
      <c r="D103" s="230" t="s">
        <v>160</v>
      </c>
      <c r="E103" s="230" t="s">
        <v>1073</v>
      </c>
      <c r="F103" s="230" t="s">
        <v>47</v>
      </c>
      <c r="G103" s="231"/>
      <c r="H103" s="233" t="s">
        <v>40</v>
      </c>
      <c r="I103" s="236">
        <v>2000</v>
      </c>
      <c r="J103" s="271">
        <v>400</v>
      </c>
      <c r="K103" s="224" t="s">
        <v>147</v>
      </c>
      <c r="L103" s="224" t="s">
        <v>41</v>
      </c>
      <c r="N103">
        <f t="shared" si="0"/>
        <v>400</v>
      </c>
    </row>
    <row r="104" spans="1:17" x14ac:dyDescent="0.25">
      <c r="A104" s="246">
        <v>8</v>
      </c>
      <c r="B104" s="352" t="s">
        <v>1805</v>
      </c>
      <c r="C104" s="233" t="s">
        <v>2493</v>
      </c>
      <c r="D104" s="230" t="s">
        <v>160</v>
      </c>
      <c r="E104" s="230" t="s">
        <v>60</v>
      </c>
      <c r="F104" s="230" t="s">
        <v>54</v>
      </c>
      <c r="G104" s="231" t="s">
        <v>2494</v>
      </c>
      <c r="H104" s="233" t="s">
        <v>40</v>
      </c>
      <c r="I104" s="236">
        <v>15000</v>
      </c>
      <c r="J104" s="271">
        <v>3000</v>
      </c>
      <c r="K104" s="224" t="s">
        <v>147</v>
      </c>
      <c r="L104" s="224" t="s">
        <v>41</v>
      </c>
      <c r="N104">
        <f t="shared" si="0"/>
        <v>3000</v>
      </c>
    </row>
    <row r="105" spans="1:17" x14ac:dyDescent="0.25">
      <c r="A105" s="246">
        <v>8</v>
      </c>
      <c r="B105" s="352" t="s">
        <v>2495</v>
      </c>
      <c r="C105" s="233" t="s">
        <v>1452</v>
      </c>
      <c r="D105" s="230" t="s">
        <v>160</v>
      </c>
      <c r="E105" s="230" t="s">
        <v>1001</v>
      </c>
      <c r="F105" s="230" t="s">
        <v>42</v>
      </c>
      <c r="G105" s="231"/>
      <c r="H105" s="233" t="s">
        <v>40</v>
      </c>
      <c r="I105" s="236">
        <v>750</v>
      </c>
      <c r="J105" s="271">
        <v>150</v>
      </c>
      <c r="K105" s="224" t="s">
        <v>147</v>
      </c>
      <c r="L105" s="224" t="s">
        <v>41</v>
      </c>
      <c r="N105">
        <f t="shared" si="0"/>
        <v>150</v>
      </c>
    </row>
    <row r="106" spans="1:17" x14ac:dyDescent="0.25">
      <c r="A106" s="246">
        <v>8</v>
      </c>
      <c r="B106" s="352" t="s">
        <v>2496</v>
      </c>
      <c r="C106" s="233" t="s">
        <v>2497</v>
      </c>
      <c r="D106" s="230" t="s">
        <v>160</v>
      </c>
      <c r="E106" s="230" t="s">
        <v>194</v>
      </c>
      <c r="F106" s="230" t="s">
        <v>43</v>
      </c>
      <c r="G106" s="231"/>
      <c r="H106" s="230" t="s">
        <v>40</v>
      </c>
      <c r="I106" s="236">
        <v>3000</v>
      </c>
      <c r="J106" s="271">
        <v>600</v>
      </c>
      <c r="K106" s="224" t="s">
        <v>147</v>
      </c>
      <c r="L106" s="224" t="s">
        <v>41</v>
      </c>
      <c r="N106">
        <f t="shared" si="0"/>
        <v>600</v>
      </c>
    </row>
    <row r="107" spans="1:17" x14ac:dyDescent="0.25">
      <c r="A107" s="246">
        <v>8</v>
      </c>
      <c r="B107" s="352" t="s">
        <v>2498</v>
      </c>
      <c r="C107" s="233" t="s">
        <v>2499</v>
      </c>
      <c r="D107" s="230" t="s">
        <v>160</v>
      </c>
      <c r="E107" s="230" t="s">
        <v>194</v>
      </c>
      <c r="F107" s="230" t="s">
        <v>43</v>
      </c>
      <c r="G107" s="231"/>
      <c r="H107" s="230" t="s">
        <v>40</v>
      </c>
      <c r="I107" s="236">
        <v>2500</v>
      </c>
      <c r="J107" s="271">
        <v>500</v>
      </c>
      <c r="K107" s="224" t="s">
        <v>147</v>
      </c>
      <c r="L107" s="224" t="s">
        <v>41</v>
      </c>
      <c r="N107">
        <f t="shared" si="0"/>
        <v>500</v>
      </c>
    </row>
    <row r="108" spans="1:17" x14ac:dyDescent="0.25">
      <c r="A108" s="246">
        <v>8</v>
      </c>
      <c r="B108" s="352" t="s">
        <v>1307</v>
      </c>
      <c r="C108" s="233" t="s">
        <v>2500</v>
      </c>
      <c r="D108" s="230" t="s">
        <v>160</v>
      </c>
      <c r="E108" s="230" t="s">
        <v>185</v>
      </c>
      <c r="F108" s="230" t="s">
        <v>42</v>
      </c>
      <c r="G108" s="231"/>
      <c r="H108" s="399" t="s">
        <v>465</v>
      </c>
      <c r="I108" s="236">
        <v>100</v>
      </c>
      <c r="J108" s="271">
        <v>100</v>
      </c>
      <c r="K108" s="224" t="s">
        <v>147</v>
      </c>
      <c r="L108" s="224" t="s">
        <v>41</v>
      </c>
      <c r="N108">
        <f t="shared" si="0"/>
        <v>20</v>
      </c>
      <c r="Q108" s="69"/>
    </row>
    <row r="109" spans="1:17" x14ac:dyDescent="0.25">
      <c r="A109" s="246">
        <v>8</v>
      </c>
      <c r="B109" s="352" t="s">
        <v>2501</v>
      </c>
      <c r="C109" s="233" t="s">
        <v>2502</v>
      </c>
      <c r="D109" s="283" t="s">
        <v>163</v>
      </c>
      <c r="E109" s="230" t="s">
        <v>2503</v>
      </c>
      <c r="F109" s="230" t="s">
        <v>47</v>
      </c>
      <c r="G109" s="231"/>
      <c r="H109" s="233" t="s">
        <v>40</v>
      </c>
      <c r="I109" s="236">
        <v>1000</v>
      </c>
      <c r="J109" s="271">
        <v>200</v>
      </c>
      <c r="K109" s="224" t="s">
        <v>147</v>
      </c>
      <c r="L109" s="224" t="s">
        <v>41</v>
      </c>
      <c r="N109">
        <f t="shared" si="0"/>
        <v>200</v>
      </c>
    </row>
    <row r="110" spans="1:17" x14ac:dyDescent="0.25">
      <c r="A110" s="246">
        <v>9</v>
      </c>
      <c r="B110" s="352" t="s">
        <v>2507</v>
      </c>
      <c r="C110" s="233" t="s">
        <v>1861</v>
      </c>
      <c r="D110" s="283" t="s">
        <v>163</v>
      </c>
      <c r="E110" s="230" t="s">
        <v>365</v>
      </c>
      <c r="F110" s="230" t="s">
        <v>44</v>
      </c>
      <c r="G110" s="231"/>
      <c r="H110" s="426" t="s">
        <v>1912</v>
      </c>
      <c r="I110" s="236">
        <v>280</v>
      </c>
      <c r="J110" s="271" t="s">
        <v>152</v>
      </c>
      <c r="K110" s="224" t="s">
        <v>147</v>
      </c>
      <c r="L110" s="224" t="s">
        <v>41</v>
      </c>
      <c r="N110">
        <f t="shared" si="0"/>
        <v>56</v>
      </c>
    </row>
    <row r="111" spans="1:17" x14ac:dyDescent="0.25">
      <c r="A111" s="246">
        <v>12</v>
      </c>
      <c r="B111" s="352" t="s">
        <v>2508</v>
      </c>
      <c r="C111" s="233" t="s">
        <v>2509</v>
      </c>
      <c r="D111" s="230" t="s">
        <v>160</v>
      </c>
      <c r="E111" s="230" t="s">
        <v>180</v>
      </c>
      <c r="F111" s="230" t="s">
        <v>49</v>
      </c>
      <c r="G111" s="231" t="s">
        <v>2510</v>
      </c>
      <c r="H111" s="233" t="s">
        <v>40</v>
      </c>
      <c r="I111" s="236">
        <v>1000</v>
      </c>
      <c r="J111" s="271">
        <v>200</v>
      </c>
      <c r="K111" s="224" t="s">
        <v>147</v>
      </c>
      <c r="L111" s="224" t="s">
        <v>41</v>
      </c>
      <c r="N111">
        <f t="shared" si="0"/>
        <v>200</v>
      </c>
    </row>
    <row r="112" spans="1:17" x14ac:dyDescent="0.25">
      <c r="A112" s="246">
        <v>12</v>
      </c>
      <c r="B112" s="352" t="s">
        <v>1926</v>
      </c>
      <c r="C112" s="233" t="s">
        <v>2511</v>
      </c>
      <c r="D112" s="230" t="s">
        <v>160</v>
      </c>
      <c r="E112" s="230" t="s">
        <v>404</v>
      </c>
      <c r="F112" s="230" t="s">
        <v>54</v>
      </c>
      <c r="G112" s="231" t="s">
        <v>2512</v>
      </c>
      <c r="H112" s="233" t="s">
        <v>40</v>
      </c>
      <c r="I112" s="236">
        <v>1000</v>
      </c>
      <c r="J112" s="271">
        <v>200</v>
      </c>
      <c r="K112" s="224" t="s">
        <v>147</v>
      </c>
      <c r="L112" s="224" t="s">
        <v>41</v>
      </c>
      <c r="N112">
        <f t="shared" si="0"/>
        <v>200</v>
      </c>
    </row>
    <row r="113" spans="1:14" x14ac:dyDescent="0.25">
      <c r="A113" s="246">
        <v>12</v>
      </c>
      <c r="B113" s="352" t="s">
        <v>1926</v>
      </c>
      <c r="C113" s="233" t="s">
        <v>2511</v>
      </c>
      <c r="D113" s="230" t="s">
        <v>160</v>
      </c>
      <c r="E113" s="230" t="s">
        <v>404</v>
      </c>
      <c r="F113" s="230" t="s">
        <v>54</v>
      </c>
      <c r="G113" s="231" t="s">
        <v>2512</v>
      </c>
      <c r="H113" s="399" t="s">
        <v>465</v>
      </c>
      <c r="I113" s="236">
        <v>100</v>
      </c>
      <c r="J113" s="271">
        <v>100</v>
      </c>
      <c r="K113" s="224" t="s">
        <v>147</v>
      </c>
      <c r="L113" s="224" t="s">
        <v>41</v>
      </c>
      <c r="N113">
        <f t="shared" si="0"/>
        <v>20</v>
      </c>
    </row>
    <row r="114" spans="1:14" x14ac:dyDescent="0.25">
      <c r="A114" s="246">
        <v>12</v>
      </c>
      <c r="B114" s="352" t="s">
        <v>2513</v>
      </c>
      <c r="C114" s="233" t="s">
        <v>2514</v>
      </c>
      <c r="D114" s="283" t="s">
        <v>163</v>
      </c>
      <c r="E114" s="230" t="s">
        <v>331</v>
      </c>
      <c r="F114" s="230" t="s">
        <v>54</v>
      </c>
      <c r="G114" s="231" t="s">
        <v>332</v>
      </c>
      <c r="H114" s="233" t="s">
        <v>40</v>
      </c>
      <c r="I114" s="236">
        <v>8000</v>
      </c>
      <c r="J114" s="271">
        <v>1600</v>
      </c>
      <c r="K114" s="224" t="s">
        <v>147</v>
      </c>
      <c r="L114" s="224" t="s">
        <v>41</v>
      </c>
      <c r="N114">
        <f t="shared" si="0"/>
        <v>1600</v>
      </c>
    </row>
    <row r="115" spans="1:14" x14ac:dyDescent="0.25">
      <c r="A115" s="246">
        <v>12</v>
      </c>
      <c r="B115" s="352" t="s">
        <v>2515</v>
      </c>
      <c r="C115" s="233" t="s">
        <v>1669</v>
      </c>
      <c r="D115" s="230" t="s">
        <v>160</v>
      </c>
      <c r="E115" s="230" t="s">
        <v>60</v>
      </c>
      <c r="F115" s="230" t="s">
        <v>54</v>
      </c>
      <c r="G115" s="231" t="s">
        <v>2516</v>
      </c>
      <c r="H115" s="233" t="s">
        <v>40</v>
      </c>
      <c r="I115" s="236">
        <v>200</v>
      </c>
      <c r="J115" s="271">
        <v>40</v>
      </c>
      <c r="K115" s="224" t="s">
        <v>147</v>
      </c>
      <c r="L115" s="224" t="s">
        <v>41</v>
      </c>
      <c r="N115">
        <f t="shared" si="0"/>
        <v>40</v>
      </c>
    </row>
    <row r="116" spans="1:14" x14ac:dyDescent="0.25">
      <c r="A116" s="246">
        <v>12</v>
      </c>
      <c r="B116" s="352" t="s">
        <v>2517</v>
      </c>
      <c r="C116" s="233" t="s">
        <v>2518</v>
      </c>
      <c r="D116" s="230" t="s">
        <v>160</v>
      </c>
      <c r="E116" s="230" t="s">
        <v>365</v>
      </c>
      <c r="F116" s="230" t="s">
        <v>44</v>
      </c>
      <c r="G116" s="231" t="s">
        <v>2519</v>
      </c>
      <c r="H116" s="233" t="s">
        <v>40</v>
      </c>
      <c r="I116" s="236">
        <v>1000</v>
      </c>
      <c r="J116" s="271">
        <v>200</v>
      </c>
      <c r="K116" s="224" t="s">
        <v>147</v>
      </c>
      <c r="L116" s="224" t="s">
        <v>41</v>
      </c>
      <c r="N116">
        <f t="shared" si="0"/>
        <v>200</v>
      </c>
    </row>
    <row r="117" spans="1:14" x14ac:dyDescent="0.25">
      <c r="A117" s="246">
        <v>12</v>
      </c>
      <c r="B117" s="352" t="s">
        <v>2520</v>
      </c>
      <c r="C117" s="233" t="s">
        <v>2521</v>
      </c>
      <c r="D117" s="230" t="s">
        <v>160</v>
      </c>
      <c r="E117" s="230" t="s">
        <v>180</v>
      </c>
      <c r="F117" s="230" t="s">
        <v>45</v>
      </c>
      <c r="G117" s="231" t="s">
        <v>2522</v>
      </c>
      <c r="H117" s="233" t="s">
        <v>40</v>
      </c>
      <c r="I117" s="233">
        <v>2000</v>
      </c>
      <c r="J117" s="236">
        <v>400</v>
      </c>
      <c r="K117" s="224" t="s">
        <v>147</v>
      </c>
      <c r="L117" s="224" t="s">
        <v>41</v>
      </c>
      <c r="N117">
        <f t="shared" si="0"/>
        <v>400</v>
      </c>
    </row>
    <row r="118" spans="1:14" x14ac:dyDescent="0.25">
      <c r="A118" s="246">
        <v>12</v>
      </c>
      <c r="B118" s="352" t="s">
        <v>2523</v>
      </c>
      <c r="C118" s="233" t="s">
        <v>1818</v>
      </c>
      <c r="D118" s="230" t="s">
        <v>160</v>
      </c>
      <c r="E118" s="230" t="s">
        <v>60</v>
      </c>
      <c r="F118" s="230" t="s">
        <v>54</v>
      </c>
      <c r="G118" s="231" t="s">
        <v>2524</v>
      </c>
      <c r="H118" s="230" t="s">
        <v>40</v>
      </c>
      <c r="I118" s="236">
        <v>5000</v>
      </c>
      <c r="J118" s="271">
        <v>1000</v>
      </c>
      <c r="K118" s="224" t="s">
        <v>147</v>
      </c>
      <c r="L118" s="224" t="s">
        <v>41</v>
      </c>
      <c r="N118">
        <f t="shared" si="0"/>
        <v>1000</v>
      </c>
    </row>
    <row r="119" spans="1:14" x14ac:dyDescent="0.25">
      <c r="A119" s="246">
        <v>12</v>
      </c>
      <c r="B119" s="352" t="s">
        <v>1414</v>
      </c>
      <c r="C119" s="233" t="s">
        <v>1415</v>
      </c>
      <c r="D119" s="230" t="s">
        <v>160</v>
      </c>
      <c r="E119" s="230" t="s">
        <v>1416</v>
      </c>
      <c r="F119" s="230" t="s">
        <v>47</v>
      </c>
      <c r="G119" s="231" t="s">
        <v>1913</v>
      </c>
      <c r="H119" s="399" t="s">
        <v>465</v>
      </c>
      <c r="I119" s="236">
        <v>2000</v>
      </c>
      <c r="J119" s="271">
        <v>2000</v>
      </c>
      <c r="K119" s="224" t="s">
        <v>147</v>
      </c>
      <c r="L119" s="224" t="s">
        <v>41</v>
      </c>
      <c r="N119">
        <f t="shared" si="0"/>
        <v>400</v>
      </c>
    </row>
    <row r="120" spans="1:14" x14ac:dyDescent="0.25">
      <c r="A120" s="246">
        <v>12</v>
      </c>
      <c r="B120" s="352" t="s">
        <v>2525</v>
      </c>
      <c r="C120" s="233" t="s">
        <v>1406</v>
      </c>
      <c r="D120" s="230" t="s">
        <v>160</v>
      </c>
      <c r="E120" s="230" t="s">
        <v>167</v>
      </c>
      <c r="F120" s="230" t="s">
        <v>43</v>
      </c>
      <c r="G120" s="231" t="s">
        <v>2526</v>
      </c>
      <c r="H120" s="230" t="s">
        <v>40</v>
      </c>
      <c r="I120" s="236">
        <v>1000</v>
      </c>
      <c r="J120" s="271">
        <v>200</v>
      </c>
      <c r="K120" s="224" t="s">
        <v>147</v>
      </c>
      <c r="L120" s="224" t="s">
        <v>41</v>
      </c>
      <c r="N120">
        <f t="shared" si="0"/>
        <v>200</v>
      </c>
    </row>
    <row r="121" spans="1:14" x14ac:dyDescent="0.25">
      <c r="A121" s="246">
        <v>12</v>
      </c>
      <c r="B121" s="352" t="s">
        <v>2525</v>
      </c>
      <c r="C121" s="233" t="s">
        <v>1406</v>
      </c>
      <c r="D121" s="230" t="s">
        <v>160</v>
      </c>
      <c r="E121" s="230" t="s">
        <v>167</v>
      </c>
      <c r="F121" s="230" t="s">
        <v>43</v>
      </c>
      <c r="G121" s="231" t="s">
        <v>2526</v>
      </c>
      <c r="H121" s="399" t="s">
        <v>465</v>
      </c>
      <c r="I121" s="236">
        <v>500</v>
      </c>
      <c r="J121" s="271">
        <v>500</v>
      </c>
      <c r="K121" s="224" t="s">
        <v>147</v>
      </c>
      <c r="L121" s="224" t="s">
        <v>41</v>
      </c>
      <c r="N121">
        <f t="shared" si="0"/>
        <v>100</v>
      </c>
    </row>
    <row r="122" spans="1:14" x14ac:dyDescent="0.25">
      <c r="A122" s="246">
        <v>12</v>
      </c>
      <c r="B122" s="352" t="s">
        <v>2527</v>
      </c>
      <c r="C122" s="233" t="s">
        <v>1904</v>
      </c>
      <c r="D122" s="230" t="s">
        <v>160</v>
      </c>
      <c r="E122" s="230" t="s">
        <v>189</v>
      </c>
      <c r="F122" s="230" t="s">
        <v>42</v>
      </c>
      <c r="G122" s="231" t="s">
        <v>2528</v>
      </c>
      <c r="H122" s="230" t="s">
        <v>40</v>
      </c>
      <c r="I122" s="236">
        <v>1000</v>
      </c>
      <c r="J122" s="271" t="s">
        <v>152</v>
      </c>
      <c r="K122" s="224" t="s">
        <v>147</v>
      </c>
      <c r="L122" s="224" t="s">
        <v>41</v>
      </c>
      <c r="N122">
        <f t="shared" si="0"/>
        <v>200</v>
      </c>
    </row>
    <row r="123" spans="1:14" x14ac:dyDescent="0.25">
      <c r="A123" s="246">
        <v>12</v>
      </c>
      <c r="B123" s="352" t="s">
        <v>2529</v>
      </c>
      <c r="C123" s="233" t="s">
        <v>2530</v>
      </c>
      <c r="D123" s="230" t="s">
        <v>160</v>
      </c>
      <c r="E123" s="230" t="s">
        <v>2531</v>
      </c>
      <c r="F123" s="230" t="s">
        <v>58</v>
      </c>
      <c r="G123" s="231" t="s">
        <v>2532</v>
      </c>
      <c r="H123" s="230" t="s">
        <v>40</v>
      </c>
      <c r="I123" s="236">
        <v>1500</v>
      </c>
      <c r="J123" s="271" t="s">
        <v>152</v>
      </c>
      <c r="K123" s="224" t="s">
        <v>147</v>
      </c>
      <c r="L123" s="224" t="s">
        <v>41</v>
      </c>
      <c r="N123">
        <f t="shared" si="0"/>
        <v>300</v>
      </c>
    </row>
    <row r="124" spans="1:14" x14ac:dyDescent="0.25">
      <c r="A124" s="246">
        <v>12</v>
      </c>
      <c r="B124" s="352" t="s">
        <v>2533</v>
      </c>
      <c r="C124" s="233" t="s">
        <v>2534</v>
      </c>
      <c r="D124" s="230" t="s">
        <v>160</v>
      </c>
      <c r="E124" s="230" t="s">
        <v>578</v>
      </c>
      <c r="F124" s="230" t="s">
        <v>42</v>
      </c>
      <c r="G124" s="231" t="s">
        <v>2535</v>
      </c>
      <c r="H124" s="230" t="s">
        <v>40</v>
      </c>
      <c r="I124" s="236">
        <v>450</v>
      </c>
      <c r="J124" s="271" t="s">
        <v>152</v>
      </c>
      <c r="K124" s="224" t="s">
        <v>147</v>
      </c>
      <c r="L124" s="224" t="s">
        <v>41</v>
      </c>
      <c r="N124">
        <f t="shared" si="0"/>
        <v>90</v>
      </c>
    </row>
    <row r="125" spans="1:14" x14ac:dyDescent="0.25">
      <c r="A125" s="246">
        <v>12</v>
      </c>
      <c r="B125" s="352" t="s">
        <v>2536</v>
      </c>
      <c r="C125" s="233" t="s">
        <v>2537</v>
      </c>
      <c r="D125" s="283" t="s">
        <v>163</v>
      </c>
      <c r="E125" s="230" t="s">
        <v>388</v>
      </c>
      <c r="F125" s="230" t="s">
        <v>54</v>
      </c>
      <c r="G125" s="231"/>
      <c r="H125" s="230" t="s">
        <v>40</v>
      </c>
      <c r="I125" s="236">
        <v>2000</v>
      </c>
      <c r="J125" s="271">
        <v>400</v>
      </c>
      <c r="K125" s="224" t="s">
        <v>147</v>
      </c>
      <c r="L125" s="224" t="s">
        <v>41</v>
      </c>
      <c r="N125">
        <f t="shared" si="0"/>
        <v>400</v>
      </c>
    </row>
    <row r="126" spans="1:14" x14ac:dyDescent="0.25">
      <c r="A126" s="246">
        <v>12</v>
      </c>
      <c r="B126" s="352" t="s">
        <v>2536</v>
      </c>
      <c r="C126" s="233" t="s">
        <v>2537</v>
      </c>
      <c r="D126" s="283" t="s">
        <v>163</v>
      </c>
      <c r="E126" s="230" t="s">
        <v>388</v>
      </c>
      <c r="F126" s="230" t="s">
        <v>54</v>
      </c>
      <c r="G126" s="231"/>
      <c r="H126" s="399" t="s">
        <v>465</v>
      </c>
      <c r="I126" s="236">
        <v>300</v>
      </c>
      <c r="J126" s="271">
        <v>300</v>
      </c>
      <c r="K126" s="224" t="s">
        <v>147</v>
      </c>
      <c r="L126" s="224" t="s">
        <v>41</v>
      </c>
      <c r="N126">
        <f t="shared" si="0"/>
        <v>60</v>
      </c>
    </row>
    <row r="127" spans="1:14" x14ac:dyDescent="0.25">
      <c r="A127" s="246">
        <v>12</v>
      </c>
      <c r="B127" s="352" t="s">
        <v>1973</v>
      </c>
      <c r="C127" s="233" t="s">
        <v>2538</v>
      </c>
      <c r="D127" s="230" t="s">
        <v>160</v>
      </c>
      <c r="E127" s="230" t="s">
        <v>201</v>
      </c>
      <c r="F127" s="230" t="s">
        <v>45</v>
      </c>
      <c r="G127" s="231" t="s">
        <v>2539</v>
      </c>
      <c r="H127" s="230" t="s">
        <v>40</v>
      </c>
      <c r="I127" s="236">
        <v>2000</v>
      </c>
      <c r="J127" s="271">
        <v>400</v>
      </c>
      <c r="K127" s="224" t="s">
        <v>147</v>
      </c>
      <c r="L127" s="224" t="s">
        <v>41</v>
      </c>
      <c r="N127">
        <f t="shared" si="0"/>
        <v>400</v>
      </c>
    </row>
    <row r="128" spans="1:14" x14ac:dyDescent="0.25">
      <c r="A128" s="246">
        <v>12</v>
      </c>
      <c r="B128" s="352" t="s">
        <v>2540</v>
      </c>
      <c r="C128" s="233" t="s">
        <v>1796</v>
      </c>
      <c r="D128" s="230" t="s">
        <v>160</v>
      </c>
      <c r="E128" s="230" t="s">
        <v>2541</v>
      </c>
      <c r="F128" s="230" t="s">
        <v>58</v>
      </c>
      <c r="G128" s="231" t="s">
        <v>2542</v>
      </c>
      <c r="H128" s="230" t="s">
        <v>40</v>
      </c>
      <c r="I128" s="236">
        <v>1000</v>
      </c>
      <c r="J128" s="271">
        <v>200</v>
      </c>
      <c r="K128" s="224" t="s">
        <v>147</v>
      </c>
      <c r="L128" s="224" t="s">
        <v>41</v>
      </c>
      <c r="N128">
        <f t="shared" si="0"/>
        <v>200</v>
      </c>
    </row>
    <row r="129" spans="1:14" x14ac:dyDescent="0.25">
      <c r="A129" s="246">
        <v>12</v>
      </c>
      <c r="B129" s="352" t="s">
        <v>2171</v>
      </c>
      <c r="C129" s="233" t="s">
        <v>2143</v>
      </c>
      <c r="D129" s="230" t="s">
        <v>160</v>
      </c>
      <c r="E129" s="230" t="s">
        <v>180</v>
      </c>
      <c r="F129" s="230" t="s">
        <v>54</v>
      </c>
      <c r="G129" s="231" t="s">
        <v>2172</v>
      </c>
      <c r="H129" s="399" t="s">
        <v>465</v>
      </c>
      <c r="I129" s="236">
        <v>2000</v>
      </c>
      <c r="J129" s="271">
        <v>2000</v>
      </c>
      <c r="K129" s="224" t="s">
        <v>147</v>
      </c>
      <c r="L129" s="224" t="s">
        <v>41</v>
      </c>
      <c r="N129">
        <f t="shared" si="0"/>
        <v>400</v>
      </c>
    </row>
    <row r="130" spans="1:14" x14ac:dyDescent="0.25">
      <c r="A130" s="246">
        <v>12</v>
      </c>
      <c r="B130" s="352" t="s">
        <v>2326</v>
      </c>
      <c r="C130" s="233" t="s">
        <v>1332</v>
      </c>
      <c r="D130" s="230" t="s">
        <v>160</v>
      </c>
      <c r="E130" s="230" t="s">
        <v>2543</v>
      </c>
      <c r="F130" s="230" t="s">
        <v>58</v>
      </c>
      <c r="G130" s="231" t="s">
        <v>2544</v>
      </c>
      <c r="H130" s="399" t="s">
        <v>465</v>
      </c>
      <c r="I130" s="236">
        <v>500</v>
      </c>
      <c r="J130" s="271">
        <v>500</v>
      </c>
      <c r="K130" s="224" t="s">
        <v>147</v>
      </c>
      <c r="L130" s="224" t="s">
        <v>41</v>
      </c>
      <c r="N130">
        <f t="shared" si="0"/>
        <v>100</v>
      </c>
    </row>
    <row r="131" spans="1:14" x14ac:dyDescent="0.25">
      <c r="A131" s="246">
        <v>12</v>
      </c>
      <c r="B131" s="352" t="s">
        <v>2545</v>
      </c>
      <c r="C131" s="233" t="s">
        <v>1749</v>
      </c>
      <c r="D131" s="230" t="s">
        <v>160</v>
      </c>
      <c r="E131" s="230" t="s">
        <v>259</v>
      </c>
      <c r="F131" s="230" t="s">
        <v>49</v>
      </c>
      <c r="G131" s="231" t="s">
        <v>2546</v>
      </c>
      <c r="H131" s="230" t="s">
        <v>40</v>
      </c>
      <c r="I131" s="236">
        <v>1000</v>
      </c>
      <c r="J131" s="271">
        <v>200</v>
      </c>
      <c r="K131" s="224" t="s">
        <v>147</v>
      </c>
      <c r="L131" s="224" t="s">
        <v>41</v>
      </c>
      <c r="N131">
        <f t="shared" si="0"/>
        <v>200</v>
      </c>
    </row>
    <row r="132" spans="1:14" x14ac:dyDescent="0.25">
      <c r="A132" s="246">
        <v>12</v>
      </c>
      <c r="B132" s="352" t="s">
        <v>2547</v>
      </c>
      <c r="C132" s="233" t="s">
        <v>2548</v>
      </c>
      <c r="D132" s="230" t="s">
        <v>160</v>
      </c>
      <c r="E132" s="230" t="s">
        <v>2549</v>
      </c>
      <c r="F132" s="230" t="s">
        <v>50</v>
      </c>
      <c r="G132" s="231" t="s">
        <v>2550</v>
      </c>
      <c r="H132" s="230" t="s">
        <v>40</v>
      </c>
      <c r="I132" s="236">
        <v>2500</v>
      </c>
      <c r="J132" s="271">
        <v>500</v>
      </c>
      <c r="K132" s="224" t="s">
        <v>147</v>
      </c>
      <c r="L132" s="224" t="s">
        <v>41</v>
      </c>
      <c r="N132">
        <f t="shared" si="0"/>
        <v>500</v>
      </c>
    </row>
    <row r="133" spans="1:14" x14ac:dyDescent="0.25">
      <c r="A133" s="246">
        <v>12</v>
      </c>
      <c r="B133" s="352" t="s">
        <v>1605</v>
      </c>
      <c r="C133" s="233" t="s">
        <v>1089</v>
      </c>
      <c r="D133" s="230" t="s">
        <v>160</v>
      </c>
      <c r="E133" s="230" t="s">
        <v>880</v>
      </c>
      <c r="F133" s="230" t="s">
        <v>47</v>
      </c>
      <c r="G133" s="231" t="s">
        <v>2551</v>
      </c>
      <c r="H133" s="230" t="s">
        <v>40</v>
      </c>
      <c r="I133" s="236">
        <v>100</v>
      </c>
      <c r="J133" s="271">
        <v>20</v>
      </c>
      <c r="K133" s="224" t="s">
        <v>147</v>
      </c>
      <c r="L133" s="224" t="s">
        <v>41</v>
      </c>
      <c r="N133">
        <f t="shared" si="0"/>
        <v>20</v>
      </c>
    </row>
    <row r="134" spans="1:14" x14ac:dyDescent="0.25">
      <c r="A134" s="246">
        <v>12</v>
      </c>
      <c r="B134" s="352" t="s">
        <v>2552</v>
      </c>
      <c r="C134" s="233" t="s">
        <v>1832</v>
      </c>
      <c r="D134" s="230" t="s">
        <v>160</v>
      </c>
      <c r="E134" s="230" t="s">
        <v>2553</v>
      </c>
      <c r="F134" s="230" t="s">
        <v>67</v>
      </c>
      <c r="G134" s="231"/>
      <c r="H134" s="230" t="s">
        <v>40</v>
      </c>
      <c r="I134" s="236">
        <v>1000</v>
      </c>
      <c r="J134" s="271">
        <v>200</v>
      </c>
      <c r="K134" s="224" t="s">
        <v>147</v>
      </c>
      <c r="L134" s="224" t="s">
        <v>41</v>
      </c>
      <c r="N134">
        <f t="shared" si="0"/>
        <v>200</v>
      </c>
    </row>
    <row r="135" spans="1:14" x14ac:dyDescent="0.25">
      <c r="A135" s="246">
        <v>12</v>
      </c>
      <c r="B135" s="352" t="s">
        <v>2554</v>
      </c>
      <c r="C135" s="233" t="s">
        <v>1838</v>
      </c>
      <c r="D135" s="230" t="s">
        <v>160</v>
      </c>
      <c r="E135" s="230" t="s">
        <v>290</v>
      </c>
      <c r="F135" s="230" t="s">
        <v>49</v>
      </c>
      <c r="G135" s="231" t="s">
        <v>2555</v>
      </c>
      <c r="H135" s="399" t="s">
        <v>465</v>
      </c>
      <c r="I135" s="236">
        <v>300</v>
      </c>
      <c r="J135" s="271">
        <v>300</v>
      </c>
      <c r="K135" s="224" t="s">
        <v>147</v>
      </c>
      <c r="L135" s="224" t="s">
        <v>41</v>
      </c>
      <c r="N135">
        <f t="shared" si="0"/>
        <v>60</v>
      </c>
    </row>
    <row r="136" spans="1:14" x14ac:dyDescent="0.25">
      <c r="A136" s="246">
        <v>12</v>
      </c>
      <c r="B136" s="352" t="s">
        <v>2556</v>
      </c>
      <c r="C136" s="233" t="s">
        <v>2557</v>
      </c>
      <c r="D136" s="230" t="s">
        <v>160</v>
      </c>
      <c r="E136" s="230" t="s">
        <v>220</v>
      </c>
      <c r="F136" s="230" t="s">
        <v>61</v>
      </c>
      <c r="G136" s="231" t="s">
        <v>2558</v>
      </c>
      <c r="H136" s="230" t="s">
        <v>40</v>
      </c>
      <c r="I136" s="236">
        <v>5000</v>
      </c>
      <c r="J136" s="271">
        <v>1000</v>
      </c>
      <c r="K136" s="224" t="s">
        <v>147</v>
      </c>
      <c r="L136" s="224" t="s">
        <v>41</v>
      </c>
      <c r="N136">
        <f t="shared" si="0"/>
        <v>1000</v>
      </c>
    </row>
    <row r="137" spans="1:14" x14ac:dyDescent="0.25">
      <c r="A137" s="246">
        <v>12</v>
      </c>
      <c r="B137" s="352" t="s">
        <v>2556</v>
      </c>
      <c r="C137" s="233" t="s">
        <v>2557</v>
      </c>
      <c r="D137" s="230" t="s">
        <v>160</v>
      </c>
      <c r="E137" s="230" t="s">
        <v>220</v>
      </c>
      <c r="F137" s="230" t="s">
        <v>61</v>
      </c>
      <c r="G137" s="231" t="s">
        <v>2558</v>
      </c>
      <c r="H137" s="399" t="s">
        <v>465</v>
      </c>
      <c r="I137" s="236">
        <v>300</v>
      </c>
      <c r="J137" s="271">
        <v>300</v>
      </c>
      <c r="K137" s="224" t="s">
        <v>147</v>
      </c>
      <c r="L137" s="224" t="s">
        <v>41</v>
      </c>
      <c r="N137">
        <f t="shared" si="0"/>
        <v>60</v>
      </c>
    </row>
    <row r="138" spans="1:14" x14ac:dyDescent="0.25">
      <c r="A138" s="246">
        <v>12</v>
      </c>
      <c r="B138" s="352" t="s">
        <v>1463</v>
      </c>
      <c r="C138" s="233" t="s">
        <v>1464</v>
      </c>
      <c r="D138" s="230" t="s">
        <v>160</v>
      </c>
      <c r="E138" s="230" t="s">
        <v>167</v>
      </c>
      <c r="F138" s="230" t="s">
        <v>43</v>
      </c>
      <c r="G138" s="231"/>
      <c r="H138" s="230" t="s">
        <v>40</v>
      </c>
      <c r="I138" s="236">
        <v>1500</v>
      </c>
      <c r="J138" s="271">
        <v>300</v>
      </c>
      <c r="K138" s="224" t="s">
        <v>147</v>
      </c>
      <c r="L138" s="224" t="s">
        <v>41</v>
      </c>
      <c r="N138">
        <f t="shared" si="0"/>
        <v>300</v>
      </c>
    </row>
    <row r="139" spans="1:14" x14ac:dyDescent="0.25">
      <c r="A139" s="246">
        <v>12</v>
      </c>
      <c r="B139" s="352" t="s">
        <v>1944</v>
      </c>
      <c r="C139" s="233" t="s">
        <v>2559</v>
      </c>
      <c r="D139" s="230" t="s">
        <v>160</v>
      </c>
      <c r="E139" s="230" t="s">
        <v>299</v>
      </c>
      <c r="F139" s="230" t="s">
        <v>43</v>
      </c>
      <c r="G139" s="231" t="s">
        <v>976</v>
      </c>
      <c r="H139" s="233" t="s">
        <v>40</v>
      </c>
      <c r="I139" s="236">
        <v>1500</v>
      </c>
      <c r="J139" s="271">
        <v>300</v>
      </c>
      <c r="K139" s="224" t="s">
        <v>147</v>
      </c>
      <c r="L139" s="224" t="s">
        <v>41</v>
      </c>
      <c r="N139">
        <f t="shared" si="0"/>
        <v>300</v>
      </c>
    </row>
    <row r="140" spans="1:14" x14ac:dyDescent="0.25">
      <c r="A140" s="246">
        <v>12</v>
      </c>
      <c r="B140" s="352" t="s">
        <v>1944</v>
      </c>
      <c r="C140" s="233" t="s">
        <v>2559</v>
      </c>
      <c r="D140" s="230" t="s">
        <v>160</v>
      </c>
      <c r="E140" s="230" t="s">
        <v>299</v>
      </c>
      <c r="F140" s="230" t="s">
        <v>43</v>
      </c>
      <c r="G140" s="231" t="s">
        <v>976</v>
      </c>
      <c r="H140" s="399" t="s">
        <v>465</v>
      </c>
      <c r="I140" s="236">
        <v>500</v>
      </c>
      <c r="J140" s="271">
        <v>500</v>
      </c>
      <c r="K140" s="224" t="s">
        <v>147</v>
      </c>
      <c r="L140" s="224" t="s">
        <v>41</v>
      </c>
      <c r="N140">
        <f t="shared" si="0"/>
        <v>100</v>
      </c>
    </row>
    <row r="141" spans="1:14" x14ac:dyDescent="0.25">
      <c r="A141" s="246">
        <v>12</v>
      </c>
      <c r="B141" s="352" t="s">
        <v>2560</v>
      </c>
      <c r="C141" s="233" t="s">
        <v>2561</v>
      </c>
      <c r="D141" s="283" t="s">
        <v>163</v>
      </c>
      <c r="E141" s="230" t="s">
        <v>290</v>
      </c>
      <c r="F141" s="230" t="s">
        <v>49</v>
      </c>
      <c r="G141" s="231"/>
      <c r="H141" s="230" t="s">
        <v>40</v>
      </c>
      <c r="I141" s="236">
        <v>11500</v>
      </c>
      <c r="J141" s="271">
        <v>2300</v>
      </c>
      <c r="K141" s="224" t="s">
        <v>147</v>
      </c>
      <c r="L141" s="224" t="s">
        <v>41</v>
      </c>
      <c r="N141">
        <f t="shared" si="0"/>
        <v>2300</v>
      </c>
    </row>
    <row r="142" spans="1:14" x14ac:dyDescent="0.25">
      <c r="A142" s="246">
        <v>12</v>
      </c>
      <c r="B142" s="352" t="s">
        <v>2562</v>
      </c>
      <c r="C142" s="233" t="s">
        <v>1514</v>
      </c>
      <c r="D142" s="230" t="s">
        <v>160</v>
      </c>
      <c r="E142" s="230" t="s">
        <v>2563</v>
      </c>
      <c r="F142" s="230" t="s">
        <v>74</v>
      </c>
      <c r="G142" s="231" t="s">
        <v>2564</v>
      </c>
      <c r="H142" s="399" t="s">
        <v>465</v>
      </c>
      <c r="I142" s="236">
        <v>1000</v>
      </c>
      <c r="J142" s="271">
        <v>1000</v>
      </c>
      <c r="K142" s="224" t="s">
        <v>147</v>
      </c>
      <c r="L142" s="224" t="s">
        <v>41</v>
      </c>
      <c r="N142">
        <f t="shared" si="0"/>
        <v>200</v>
      </c>
    </row>
    <row r="143" spans="1:14" x14ac:dyDescent="0.25">
      <c r="A143" s="246">
        <v>12</v>
      </c>
      <c r="B143" s="352" t="s">
        <v>2565</v>
      </c>
      <c r="C143" s="233" t="s">
        <v>2566</v>
      </c>
      <c r="D143" s="283" t="s">
        <v>163</v>
      </c>
      <c r="E143" s="230" t="s">
        <v>897</v>
      </c>
      <c r="F143" s="230" t="s">
        <v>42</v>
      </c>
      <c r="G143" s="231" t="s">
        <v>2567</v>
      </c>
      <c r="H143" s="230" t="s">
        <v>40</v>
      </c>
      <c r="I143" s="236">
        <v>3000</v>
      </c>
      <c r="J143" s="271" t="s">
        <v>152</v>
      </c>
      <c r="K143" s="224" t="s">
        <v>147</v>
      </c>
      <c r="L143" s="224" t="s">
        <v>41</v>
      </c>
      <c r="N143">
        <f t="shared" si="0"/>
        <v>600</v>
      </c>
    </row>
    <row r="144" spans="1:14" x14ac:dyDescent="0.25">
      <c r="A144" s="246">
        <v>12</v>
      </c>
      <c r="B144" s="352" t="s">
        <v>2565</v>
      </c>
      <c r="C144" s="233" t="s">
        <v>2566</v>
      </c>
      <c r="D144" s="283" t="s">
        <v>163</v>
      </c>
      <c r="E144" s="230" t="s">
        <v>897</v>
      </c>
      <c r="F144" s="230" t="s">
        <v>42</v>
      </c>
      <c r="G144" s="231" t="s">
        <v>2567</v>
      </c>
      <c r="H144" s="230" t="s">
        <v>40</v>
      </c>
      <c r="I144" s="236">
        <v>1000</v>
      </c>
      <c r="J144" s="271">
        <v>200</v>
      </c>
      <c r="K144" s="224" t="s">
        <v>147</v>
      </c>
      <c r="L144" s="224" t="s">
        <v>41</v>
      </c>
      <c r="N144">
        <f t="shared" si="0"/>
        <v>200</v>
      </c>
    </row>
    <row r="145" spans="1:14" x14ac:dyDescent="0.25">
      <c r="A145" s="246">
        <v>12</v>
      </c>
      <c r="B145" s="352" t="s">
        <v>2554</v>
      </c>
      <c r="C145" s="233" t="s">
        <v>2568</v>
      </c>
      <c r="D145" s="230" t="s">
        <v>160</v>
      </c>
      <c r="E145" s="230" t="s">
        <v>189</v>
      </c>
      <c r="F145" s="230" t="s">
        <v>42</v>
      </c>
      <c r="G145" s="231" t="s">
        <v>2569</v>
      </c>
      <c r="H145" s="230" t="s">
        <v>40</v>
      </c>
      <c r="I145" s="236">
        <v>1000</v>
      </c>
      <c r="J145" s="271" t="s">
        <v>152</v>
      </c>
      <c r="K145" s="224" t="s">
        <v>147</v>
      </c>
      <c r="L145" s="224" t="s">
        <v>41</v>
      </c>
      <c r="N145">
        <f t="shared" si="0"/>
        <v>200</v>
      </c>
    </row>
    <row r="146" spans="1:14" x14ac:dyDescent="0.25">
      <c r="A146" s="246">
        <v>12</v>
      </c>
      <c r="B146" s="352" t="s">
        <v>2554</v>
      </c>
      <c r="C146" s="233" t="s">
        <v>2568</v>
      </c>
      <c r="D146" s="230" t="s">
        <v>160</v>
      </c>
      <c r="E146" s="230" t="s">
        <v>189</v>
      </c>
      <c r="F146" s="230" t="s">
        <v>42</v>
      </c>
      <c r="G146" s="231" t="s">
        <v>2569</v>
      </c>
      <c r="H146" s="230" t="s">
        <v>40</v>
      </c>
      <c r="I146" s="236">
        <v>1000</v>
      </c>
      <c r="J146" s="271">
        <v>200</v>
      </c>
      <c r="K146" s="224" t="s">
        <v>147</v>
      </c>
      <c r="L146" s="224" t="s">
        <v>41</v>
      </c>
      <c r="N146">
        <f t="shared" si="0"/>
        <v>200</v>
      </c>
    </row>
    <row r="147" spans="1:14" x14ac:dyDescent="0.25">
      <c r="A147" s="246">
        <v>12</v>
      </c>
      <c r="B147" s="352" t="s">
        <v>2570</v>
      </c>
      <c r="C147" s="233" t="s">
        <v>2571</v>
      </c>
      <c r="D147" s="230" t="s">
        <v>160</v>
      </c>
      <c r="E147" s="230" t="s">
        <v>2572</v>
      </c>
      <c r="F147" s="230" t="s">
        <v>60</v>
      </c>
      <c r="G147" s="231" t="s">
        <v>2573</v>
      </c>
      <c r="H147" s="399" t="s">
        <v>465</v>
      </c>
      <c r="I147" s="236">
        <v>1400</v>
      </c>
      <c r="J147" s="271">
        <v>1400</v>
      </c>
      <c r="K147" s="224" t="s">
        <v>147</v>
      </c>
      <c r="L147" s="224" t="s">
        <v>41</v>
      </c>
      <c r="N147">
        <f t="shared" si="0"/>
        <v>280</v>
      </c>
    </row>
    <row r="148" spans="1:14" x14ac:dyDescent="0.25">
      <c r="A148" s="246">
        <v>12</v>
      </c>
      <c r="B148" s="352" t="s">
        <v>2574</v>
      </c>
      <c r="C148" s="233" t="s">
        <v>2575</v>
      </c>
      <c r="D148" s="230" t="s">
        <v>160</v>
      </c>
      <c r="E148" s="230" t="s">
        <v>259</v>
      </c>
      <c r="F148" s="230" t="s">
        <v>49</v>
      </c>
      <c r="G148" s="231" t="s">
        <v>2576</v>
      </c>
      <c r="H148" s="233" t="s">
        <v>40</v>
      </c>
      <c r="I148" s="236">
        <v>2000</v>
      </c>
      <c r="J148" s="271">
        <v>400</v>
      </c>
      <c r="K148" s="224" t="s">
        <v>147</v>
      </c>
      <c r="L148" s="224" t="s">
        <v>41</v>
      </c>
      <c r="N148">
        <f t="shared" si="0"/>
        <v>400</v>
      </c>
    </row>
    <row r="149" spans="1:14" x14ac:dyDescent="0.25">
      <c r="A149" s="246">
        <v>12</v>
      </c>
      <c r="B149" s="352" t="s">
        <v>2577</v>
      </c>
      <c r="C149" s="233" t="s">
        <v>2578</v>
      </c>
      <c r="D149" s="230" t="s">
        <v>160</v>
      </c>
      <c r="E149" s="230"/>
      <c r="F149" s="230" t="s">
        <v>53</v>
      </c>
      <c r="G149" s="231" t="s">
        <v>2579</v>
      </c>
      <c r="H149" s="230" t="s">
        <v>40</v>
      </c>
      <c r="I149" s="236">
        <v>500</v>
      </c>
      <c r="J149" s="271">
        <v>100</v>
      </c>
      <c r="K149" s="224" t="s">
        <v>147</v>
      </c>
      <c r="L149" s="224" t="s">
        <v>41</v>
      </c>
      <c r="N149">
        <f t="shared" si="0"/>
        <v>100</v>
      </c>
    </row>
    <row r="150" spans="1:14" x14ac:dyDescent="0.25">
      <c r="A150" s="246">
        <v>12</v>
      </c>
      <c r="B150" s="352" t="s">
        <v>2580</v>
      </c>
      <c r="C150" s="233" t="s">
        <v>2581</v>
      </c>
      <c r="D150" s="230" t="s">
        <v>160</v>
      </c>
      <c r="E150" s="230" t="s">
        <v>321</v>
      </c>
      <c r="F150" s="230" t="s">
        <v>42</v>
      </c>
      <c r="G150" s="231" t="s">
        <v>2582</v>
      </c>
      <c r="H150" s="230" t="s">
        <v>40</v>
      </c>
      <c r="I150" s="236">
        <v>2000</v>
      </c>
      <c r="J150" s="271">
        <v>400</v>
      </c>
      <c r="K150" s="224" t="s">
        <v>147</v>
      </c>
      <c r="L150" s="224" t="s">
        <v>41</v>
      </c>
      <c r="N150">
        <f t="shared" si="0"/>
        <v>400</v>
      </c>
    </row>
    <row r="151" spans="1:14" x14ac:dyDescent="0.25">
      <c r="A151" s="246">
        <v>14</v>
      </c>
      <c r="B151" s="352" t="s">
        <v>2583</v>
      </c>
      <c r="C151" s="233" t="s">
        <v>2584</v>
      </c>
      <c r="D151" s="230" t="s">
        <v>160</v>
      </c>
      <c r="E151" s="230" t="s">
        <v>1792</v>
      </c>
      <c r="F151" s="230" t="s">
        <v>42</v>
      </c>
      <c r="G151" s="231" t="s">
        <v>2585</v>
      </c>
      <c r="H151" s="399" t="s">
        <v>465</v>
      </c>
      <c r="I151" s="236">
        <v>3000</v>
      </c>
      <c r="J151" s="271">
        <v>3000</v>
      </c>
      <c r="K151" s="224" t="s">
        <v>147</v>
      </c>
      <c r="L151" s="224" t="s">
        <v>41</v>
      </c>
      <c r="N151">
        <f t="shared" si="0"/>
        <v>600</v>
      </c>
    </row>
    <row r="152" spans="1:14" x14ac:dyDescent="0.25">
      <c r="A152" s="246">
        <v>14</v>
      </c>
      <c r="B152" s="352" t="s">
        <v>2586</v>
      </c>
      <c r="C152" s="233" t="s">
        <v>2587</v>
      </c>
      <c r="D152" s="230" t="s">
        <v>160</v>
      </c>
      <c r="E152" s="230" t="s">
        <v>2245</v>
      </c>
      <c r="F152" s="230" t="s">
        <v>49</v>
      </c>
      <c r="G152" s="231" t="s">
        <v>2588</v>
      </c>
      <c r="H152" s="399" t="s">
        <v>465</v>
      </c>
      <c r="I152" s="236">
        <v>2000</v>
      </c>
      <c r="J152" s="271">
        <v>2000</v>
      </c>
      <c r="K152" s="224" t="s">
        <v>147</v>
      </c>
      <c r="L152" s="224" t="s">
        <v>41</v>
      </c>
      <c r="N152">
        <f t="shared" si="0"/>
        <v>400</v>
      </c>
    </row>
    <row r="153" spans="1:14" x14ac:dyDescent="0.25">
      <c r="A153" s="246">
        <v>14</v>
      </c>
      <c r="B153" s="352" t="s">
        <v>2589</v>
      </c>
      <c r="C153" s="233" t="s">
        <v>2590</v>
      </c>
      <c r="D153" s="283" t="s">
        <v>163</v>
      </c>
      <c r="E153" s="230" t="s">
        <v>467</v>
      </c>
      <c r="F153" s="230" t="s">
        <v>69</v>
      </c>
      <c r="G153" s="231" t="s">
        <v>2591</v>
      </c>
      <c r="H153" s="230" t="s">
        <v>40</v>
      </c>
      <c r="I153" s="236">
        <v>1000</v>
      </c>
      <c r="J153" s="271" t="s">
        <v>152</v>
      </c>
      <c r="K153" s="224" t="s">
        <v>147</v>
      </c>
      <c r="L153" s="224" t="s">
        <v>41</v>
      </c>
      <c r="N153">
        <f t="shared" si="0"/>
        <v>200</v>
      </c>
    </row>
    <row r="154" spans="1:14" x14ac:dyDescent="0.25">
      <c r="A154" s="246">
        <v>14</v>
      </c>
      <c r="B154" s="352" t="s">
        <v>2589</v>
      </c>
      <c r="C154" s="233" t="s">
        <v>2590</v>
      </c>
      <c r="D154" s="283" t="s">
        <v>163</v>
      </c>
      <c r="E154" s="230" t="s">
        <v>467</v>
      </c>
      <c r="F154" s="230" t="s">
        <v>69</v>
      </c>
      <c r="G154" s="231" t="s">
        <v>2591</v>
      </c>
      <c r="H154" s="230" t="s">
        <v>40</v>
      </c>
      <c r="I154" s="236">
        <v>1000</v>
      </c>
      <c r="J154" s="271">
        <v>200</v>
      </c>
      <c r="K154" s="224" t="s">
        <v>147</v>
      </c>
      <c r="L154" s="224" t="s">
        <v>41</v>
      </c>
      <c r="N154">
        <f t="shared" si="0"/>
        <v>200</v>
      </c>
    </row>
    <row r="155" spans="1:14" x14ac:dyDescent="0.25">
      <c r="A155" s="246">
        <v>14</v>
      </c>
      <c r="B155" s="352" t="s">
        <v>2589</v>
      </c>
      <c r="C155" s="233" t="s">
        <v>2590</v>
      </c>
      <c r="D155" s="283" t="s">
        <v>163</v>
      </c>
      <c r="E155" s="230" t="s">
        <v>467</v>
      </c>
      <c r="F155" s="230" t="s">
        <v>69</v>
      </c>
      <c r="G155" s="231" t="s">
        <v>2591</v>
      </c>
      <c r="H155" s="399" t="s">
        <v>465</v>
      </c>
      <c r="I155" s="236">
        <v>500</v>
      </c>
      <c r="J155" s="271">
        <v>500</v>
      </c>
      <c r="K155" s="224" t="s">
        <v>147</v>
      </c>
      <c r="L155" s="224" t="s">
        <v>41</v>
      </c>
      <c r="N155">
        <f t="shared" si="0"/>
        <v>100</v>
      </c>
    </row>
    <row r="156" spans="1:14" x14ac:dyDescent="0.25">
      <c r="A156" s="246">
        <v>14</v>
      </c>
      <c r="B156" s="352" t="s">
        <v>2592</v>
      </c>
      <c r="C156" s="233" t="s">
        <v>2593</v>
      </c>
      <c r="D156" s="230" t="s">
        <v>160</v>
      </c>
      <c r="E156" s="230" t="s">
        <v>1180</v>
      </c>
      <c r="F156" s="230" t="s">
        <v>42</v>
      </c>
      <c r="G156" s="231" t="s">
        <v>2594</v>
      </c>
      <c r="H156" s="230" t="s">
        <v>40</v>
      </c>
      <c r="I156" s="236">
        <v>3000</v>
      </c>
      <c r="J156" s="271">
        <v>600</v>
      </c>
      <c r="K156" s="224" t="s">
        <v>147</v>
      </c>
      <c r="L156" s="224" t="s">
        <v>41</v>
      </c>
      <c r="N156">
        <f t="shared" si="0"/>
        <v>600</v>
      </c>
    </row>
    <row r="157" spans="1:14" x14ac:dyDescent="0.25">
      <c r="A157" s="246">
        <v>14</v>
      </c>
      <c r="B157" s="352" t="s">
        <v>2595</v>
      </c>
      <c r="C157" s="233" t="s">
        <v>1736</v>
      </c>
      <c r="D157" s="230" t="s">
        <v>160</v>
      </c>
      <c r="E157" s="230" t="s">
        <v>180</v>
      </c>
      <c r="F157" s="230" t="s">
        <v>54</v>
      </c>
      <c r="G157" s="231" t="s">
        <v>2596</v>
      </c>
      <c r="H157" s="399" t="s">
        <v>465</v>
      </c>
      <c r="I157" s="236">
        <v>100</v>
      </c>
      <c r="J157" s="271">
        <v>100</v>
      </c>
      <c r="K157" s="224" t="s">
        <v>147</v>
      </c>
      <c r="L157" s="224" t="s">
        <v>41</v>
      </c>
      <c r="N157">
        <f t="shared" si="0"/>
        <v>20</v>
      </c>
    </row>
    <row r="158" spans="1:14" x14ac:dyDescent="0.25">
      <c r="A158" s="246">
        <v>14</v>
      </c>
      <c r="B158" s="352" t="s">
        <v>1344</v>
      </c>
      <c r="C158" s="233" t="s">
        <v>2597</v>
      </c>
      <c r="D158" s="230" t="s">
        <v>160</v>
      </c>
      <c r="E158" s="230" t="s">
        <v>203</v>
      </c>
      <c r="F158" s="230" t="s">
        <v>54</v>
      </c>
      <c r="G158" s="231"/>
      <c r="H158" s="399" t="s">
        <v>465</v>
      </c>
      <c r="I158" s="236">
        <v>300</v>
      </c>
      <c r="J158" s="271">
        <v>300</v>
      </c>
      <c r="K158" s="224" t="s">
        <v>147</v>
      </c>
      <c r="L158" s="224" t="s">
        <v>41</v>
      </c>
      <c r="N158">
        <f t="shared" si="0"/>
        <v>60</v>
      </c>
    </row>
    <row r="159" spans="1:14" x14ac:dyDescent="0.25">
      <c r="A159" s="246">
        <v>14</v>
      </c>
      <c r="B159" s="352" t="s">
        <v>1666</v>
      </c>
      <c r="C159" s="233" t="s">
        <v>1443</v>
      </c>
      <c r="D159" s="230" t="s">
        <v>160</v>
      </c>
      <c r="E159" s="230" t="s">
        <v>167</v>
      </c>
      <c r="F159" s="230" t="s">
        <v>43</v>
      </c>
      <c r="G159" s="231"/>
      <c r="H159" s="399" t="s">
        <v>465</v>
      </c>
      <c r="I159" s="236">
        <v>200</v>
      </c>
      <c r="J159" s="271">
        <v>200</v>
      </c>
      <c r="K159" s="224" t="s">
        <v>147</v>
      </c>
      <c r="L159" s="224" t="s">
        <v>41</v>
      </c>
      <c r="N159">
        <f t="shared" si="0"/>
        <v>40</v>
      </c>
    </row>
    <row r="160" spans="1:14" x14ac:dyDescent="0.25">
      <c r="A160" s="246">
        <v>14</v>
      </c>
      <c r="B160" s="352" t="s">
        <v>1946</v>
      </c>
      <c r="C160" s="233" t="s">
        <v>1947</v>
      </c>
      <c r="D160" s="230" t="s">
        <v>160</v>
      </c>
      <c r="E160" s="230"/>
      <c r="F160" s="230" t="s">
        <v>50</v>
      </c>
      <c r="G160" s="231"/>
      <c r="H160" s="399" t="s">
        <v>465</v>
      </c>
      <c r="I160" s="236">
        <v>200</v>
      </c>
      <c r="J160" s="271">
        <v>200</v>
      </c>
      <c r="K160" s="224" t="s">
        <v>147</v>
      </c>
      <c r="L160" s="224" t="s">
        <v>41</v>
      </c>
      <c r="N160">
        <f t="shared" si="0"/>
        <v>40</v>
      </c>
    </row>
    <row r="161" spans="1:14" x14ac:dyDescent="0.25">
      <c r="A161" s="246">
        <v>14</v>
      </c>
      <c r="B161" s="352" t="s">
        <v>2598</v>
      </c>
      <c r="C161" s="233" t="s">
        <v>2599</v>
      </c>
      <c r="D161" s="230" t="s">
        <v>160</v>
      </c>
      <c r="E161" s="230" t="s">
        <v>388</v>
      </c>
      <c r="F161" s="230" t="s">
        <v>46</v>
      </c>
      <c r="G161" s="231" t="s">
        <v>2600</v>
      </c>
      <c r="H161" s="230" t="s">
        <v>40</v>
      </c>
      <c r="I161" s="236">
        <v>15000</v>
      </c>
      <c r="J161" s="271">
        <v>3000</v>
      </c>
      <c r="K161" s="224" t="s">
        <v>147</v>
      </c>
      <c r="L161" s="224" t="s">
        <v>41</v>
      </c>
      <c r="N161">
        <f t="shared" si="0"/>
        <v>3000</v>
      </c>
    </row>
    <row r="162" spans="1:14" x14ac:dyDescent="0.25">
      <c r="A162" s="246">
        <v>14</v>
      </c>
      <c r="B162" s="352" t="s">
        <v>2601</v>
      </c>
      <c r="C162" s="233" t="s">
        <v>2602</v>
      </c>
      <c r="D162" s="230" t="s">
        <v>160</v>
      </c>
      <c r="E162" s="230" t="s">
        <v>2603</v>
      </c>
      <c r="F162" s="230" t="s">
        <v>61</v>
      </c>
      <c r="G162" s="231" t="s">
        <v>2604</v>
      </c>
      <c r="H162" s="399" t="s">
        <v>465</v>
      </c>
      <c r="I162" s="236">
        <v>5000</v>
      </c>
      <c r="J162" s="271">
        <v>5000</v>
      </c>
      <c r="K162" s="224" t="s">
        <v>147</v>
      </c>
      <c r="L162" s="224" t="s">
        <v>41</v>
      </c>
      <c r="N162">
        <f t="shared" si="0"/>
        <v>1000</v>
      </c>
    </row>
    <row r="163" spans="1:14" x14ac:dyDescent="0.25">
      <c r="A163" s="246">
        <v>14</v>
      </c>
      <c r="B163" s="352" t="s">
        <v>2605</v>
      </c>
      <c r="C163" s="233" t="s">
        <v>2606</v>
      </c>
      <c r="D163" s="283" t="s">
        <v>163</v>
      </c>
      <c r="E163" s="230" t="s">
        <v>196</v>
      </c>
      <c r="F163" s="230" t="s">
        <v>56</v>
      </c>
      <c r="G163" s="231" t="s">
        <v>2607</v>
      </c>
      <c r="H163" s="399" t="s">
        <v>465</v>
      </c>
      <c r="I163" s="236">
        <v>1000</v>
      </c>
      <c r="J163" s="271">
        <v>1000</v>
      </c>
      <c r="K163" s="224" t="s">
        <v>147</v>
      </c>
      <c r="L163" s="224" t="s">
        <v>41</v>
      </c>
      <c r="N163">
        <f t="shared" si="0"/>
        <v>200</v>
      </c>
    </row>
    <row r="164" spans="1:14" x14ac:dyDescent="0.25">
      <c r="A164" s="246">
        <v>14</v>
      </c>
      <c r="B164" s="352" t="s">
        <v>2608</v>
      </c>
      <c r="C164" s="233" t="s">
        <v>1514</v>
      </c>
      <c r="D164" s="230" t="s">
        <v>160</v>
      </c>
      <c r="E164" s="230" t="s">
        <v>703</v>
      </c>
      <c r="F164" s="230" t="s">
        <v>42</v>
      </c>
      <c r="G164" s="231" t="s">
        <v>2609</v>
      </c>
      <c r="H164" s="230" t="s">
        <v>40</v>
      </c>
      <c r="I164" s="236">
        <v>500</v>
      </c>
      <c r="J164" s="271">
        <v>100</v>
      </c>
      <c r="K164" s="224" t="s">
        <v>147</v>
      </c>
      <c r="L164" s="224" t="s">
        <v>41</v>
      </c>
      <c r="N164">
        <f t="shared" si="0"/>
        <v>100</v>
      </c>
    </row>
    <row r="165" spans="1:14" x14ac:dyDescent="0.25">
      <c r="A165" s="246">
        <v>14</v>
      </c>
      <c r="B165" s="352" t="s">
        <v>2608</v>
      </c>
      <c r="C165" s="233" t="s">
        <v>1514</v>
      </c>
      <c r="D165" s="230" t="s">
        <v>160</v>
      </c>
      <c r="E165" s="230" t="s">
        <v>703</v>
      </c>
      <c r="F165" s="230" t="s">
        <v>42</v>
      </c>
      <c r="G165" s="231" t="s">
        <v>2609</v>
      </c>
      <c r="H165" s="399" t="s">
        <v>465</v>
      </c>
      <c r="I165" s="236">
        <v>500</v>
      </c>
      <c r="J165" s="271">
        <v>500</v>
      </c>
      <c r="K165" s="224" t="s">
        <v>147</v>
      </c>
      <c r="L165" s="224" t="s">
        <v>41</v>
      </c>
      <c r="N165">
        <f t="shared" si="0"/>
        <v>100</v>
      </c>
    </row>
    <row r="166" spans="1:14" x14ac:dyDescent="0.25">
      <c r="A166" s="246">
        <v>14</v>
      </c>
      <c r="B166" s="352" t="s">
        <v>2610</v>
      </c>
      <c r="C166" s="233" t="s">
        <v>2611</v>
      </c>
      <c r="D166" s="230" t="s">
        <v>160</v>
      </c>
      <c r="E166" s="230" t="s">
        <v>666</v>
      </c>
      <c r="F166" s="230" t="s">
        <v>69</v>
      </c>
      <c r="G166" s="231" t="s">
        <v>2612</v>
      </c>
      <c r="H166" s="399" t="s">
        <v>465</v>
      </c>
      <c r="I166" s="236">
        <v>2000</v>
      </c>
      <c r="J166" s="271">
        <v>2000</v>
      </c>
      <c r="K166" s="224" t="s">
        <v>147</v>
      </c>
      <c r="L166" s="224" t="s">
        <v>41</v>
      </c>
      <c r="N166">
        <f t="shared" si="0"/>
        <v>400</v>
      </c>
    </row>
    <row r="167" spans="1:14" x14ac:dyDescent="0.25">
      <c r="A167" s="246">
        <v>14</v>
      </c>
      <c r="B167" s="352" t="s">
        <v>1344</v>
      </c>
      <c r="C167" s="233" t="s">
        <v>2613</v>
      </c>
      <c r="D167" s="230" t="s">
        <v>160</v>
      </c>
      <c r="E167" s="230" t="s">
        <v>287</v>
      </c>
      <c r="F167" s="230" t="s">
        <v>47</v>
      </c>
      <c r="G167" s="231" t="s">
        <v>2614</v>
      </c>
      <c r="H167" s="399" t="s">
        <v>465</v>
      </c>
      <c r="I167" s="236">
        <v>300</v>
      </c>
      <c r="J167" s="271">
        <v>300</v>
      </c>
      <c r="K167" s="224" t="s">
        <v>147</v>
      </c>
      <c r="L167" s="224" t="s">
        <v>41</v>
      </c>
      <c r="N167">
        <f t="shared" si="0"/>
        <v>60</v>
      </c>
    </row>
    <row r="168" spans="1:14" x14ac:dyDescent="0.25">
      <c r="A168" s="246">
        <v>14</v>
      </c>
      <c r="B168" s="352" t="s">
        <v>1479</v>
      </c>
      <c r="C168" s="233" t="s">
        <v>1901</v>
      </c>
      <c r="D168" s="230" t="s">
        <v>160</v>
      </c>
      <c r="E168" s="230" t="s">
        <v>1619</v>
      </c>
      <c r="F168" s="230" t="s">
        <v>57</v>
      </c>
      <c r="G168" s="231" t="s">
        <v>1902</v>
      </c>
      <c r="H168" s="230" t="s">
        <v>40</v>
      </c>
      <c r="I168" s="236">
        <v>5000</v>
      </c>
      <c r="J168" s="271">
        <v>1000</v>
      </c>
      <c r="K168" s="224" t="s">
        <v>147</v>
      </c>
      <c r="L168" s="224" t="s">
        <v>41</v>
      </c>
      <c r="N168">
        <f t="shared" si="0"/>
        <v>1000</v>
      </c>
    </row>
    <row r="169" spans="1:14" x14ac:dyDescent="0.25">
      <c r="A169" s="273">
        <v>14</v>
      </c>
      <c r="B169" s="352" t="s">
        <v>1479</v>
      </c>
      <c r="C169" s="233" t="s">
        <v>1901</v>
      </c>
      <c r="D169" s="230" t="s">
        <v>160</v>
      </c>
      <c r="E169" s="230" t="s">
        <v>1619</v>
      </c>
      <c r="F169" s="230" t="s">
        <v>57</v>
      </c>
      <c r="G169" s="231" t="s">
        <v>1902</v>
      </c>
      <c r="H169" s="399" t="s">
        <v>465</v>
      </c>
      <c r="I169" s="236">
        <v>100</v>
      </c>
      <c r="J169" s="271">
        <v>100</v>
      </c>
      <c r="K169" s="224" t="s">
        <v>147</v>
      </c>
      <c r="L169" s="224" t="s">
        <v>41</v>
      </c>
      <c r="N169">
        <f t="shared" si="0"/>
        <v>20</v>
      </c>
    </row>
    <row r="170" spans="1:14" x14ac:dyDescent="0.25">
      <c r="A170" s="246">
        <v>14</v>
      </c>
      <c r="B170" s="352" t="s">
        <v>2619</v>
      </c>
      <c r="C170" s="233" t="s">
        <v>2620</v>
      </c>
      <c r="D170" s="230" t="s">
        <v>160</v>
      </c>
      <c r="E170" s="230" t="s">
        <v>716</v>
      </c>
      <c r="F170" s="230" t="s">
        <v>59</v>
      </c>
      <c r="G170" s="231" t="s">
        <v>2621</v>
      </c>
      <c r="H170" s="230" t="s">
        <v>40</v>
      </c>
      <c r="I170" s="236">
        <v>1000</v>
      </c>
      <c r="J170" s="271">
        <v>200</v>
      </c>
      <c r="K170" s="224" t="s">
        <v>147</v>
      </c>
      <c r="L170" s="224" t="s">
        <v>41</v>
      </c>
      <c r="N170">
        <f t="shared" si="0"/>
        <v>200</v>
      </c>
    </row>
    <row r="171" spans="1:14" x14ac:dyDescent="0.25">
      <c r="A171" s="246">
        <v>14</v>
      </c>
      <c r="B171" s="352" t="s">
        <v>2619</v>
      </c>
      <c r="C171" s="233" t="s">
        <v>2620</v>
      </c>
      <c r="D171" s="230" t="s">
        <v>160</v>
      </c>
      <c r="E171" s="230" t="s">
        <v>716</v>
      </c>
      <c r="F171" s="230" t="s">
        <v>59</v>
      </c>
      <c r="G171" s="231" t="s">
        <v>2621</v>
      </c>
      <c r="H171" s="399" t="s">
        <v>465</v>
      </c>
      <c r="I171" s="236">
        <v>100</v>
      </c>
      <c r="J171" s="271">
        <v>100</v>
      </c>
      <c r="K171" s="224" t="s">
        <v>147</v>
      </c>
      <c r="L171" s="224" t="s">
        <v>41</v>
      </c>
      <c r="N171">
        <f t="shared" si="0"/>
        <v>20</v>
      </c>
    </row>
    <row r="172" spans="1:14" x14ac:dyDescent="0.25">
      <c r="A172" s="246">
        <v>15</v>
      </c>
      <c r="B172" s="352" t="s">
        <v>2368</v>
      </c>
      <c r="C172" s="233" t="s">
        <v>2369</v>
      </c>
      <c r="D172" s="230" t="s">
        <v>160</v>
      </c>
      <c r="E172" s="230" t="s">
        <v>375</v>
      </c>
      <c r="F172" s="230" t="s">
        <v>43</v>
      </c>
      <c r="G172" s="231" t="s">
        <v>2622</v>
      </c>
      <c r="H172" s="399" t="s">
        <v>465</v>
      </c>
      <c r="I172" s="236">
        <v>300</v>
      </c>
      <c r="J172" s="271">
        <v>300</v>
      </c>
      <c r="K172" s="224" t="s">
        <v>147</v>
      </c>
      <c r="L172" s="224" t="s">
        <v>41</v>
      </c>
      <c r="N172">
        <f t="shared" si="0"/>
        <v>60</v>
      </c>
    </row>
    <row r="173" spans="1:14" x14ac:dyDescent="0.25">
      <c r="A173" s="246">
        <v>15</v>
      </c>
      <c r="B173" s="352" t="s">
        <v>2121</v>
      </c>
      <c r="C173" s="233" t="s">
        <v>2350</v>
      </c>
      <c r="D173" s="230" t="s">
        <v>160</v>
      </c>
      <c r="E173" s="230" t="s">
        <v>191</v>
      </c>
      <c r="F173" s="230" t="s">
        <v>43</v>
      </c>
      <c r="G173" s="231" t="s">
        <v>2623</v>
      </c>
      <c r="H173" s="230" t="s">
        <v>40</v>
      </c>
      <c r="I173" s="236">
        <v>300</v>
      </c>
      <c r="J173" s="271">
        <v>60</v>
      </c>
      <c r="K173" s="224" t="s">
        <v>147</v>
      </c>
      <c r="L173" s="224" t="s">
        <v>41</v>
      </c>
      <c r="N173">
        <f t="shared" si="0"/>
        <v>60</v>
      </c>
    </row>
    <row r="174" spans="1:14" x14ac:dyDescent="0.25">
      <c r="A174" s="246">
        <v>15</v>
      </c>
      <c r="B174" s="352" t="s">
        <v>2624</v>
      </c>
      <c r="C174" s="233" t="s">
        <v>2625</v>
      </c>
      <c r="D174" s="230" t="s">
        <v>160</v>
      </c>
      <c r="E174" s="230" t="s">
        <v>2626</v>
      </c>
      <c r="F174" s="230" t="s">
        <v>47</v>
      </c>
      <c r="G174" s="231" t="s">
        <v>2627</v>
      </c>
      <c r="H174" s="230" t="s">
        <v>40</v>
      </c>
      <c r="I174" s="236">
        <v>5000</v>
      </c>
      <c r="J174" s="271">
        <v>1000</v>
      </c>
      <c r="K174" s="224" t="s">
        <v>147</v>
      </c>
      <c r="L174" s="224" t="s">
        <v>41</v>
      </c>
      <c r="N174">
        <f t="shared" si="0"/>
        <v>1000</v>
      </c>
    </row>
    <row r="175" spans="1:14" x14ac:dyDescent="0.25">
      <c r="A175" s="246">
        <v>15</v>
      </c>
      <c r="B175" s="352" t="s">
        <v>2624</v>
      </c>
      <c r="C175" s="233" t="s">
        <v>2625</v>
      </c>
      <c r="D175" s="230" t="s">
        <v>160</v>
      </c>
      <c r="E175" s="230" t="s">
        <v>2626</v>
      </c>
      <c r="F175" s="230" t="s">
        <v>47</v>
      </c>
      <c r="G175" s="231" t="s">
        <v>2627</v>
      </c>
      <c r="H175" s="399" t="s">
        <v>465</v>
      </c>
      <c r="I175" s="236">
        <v>1000</v>
      </c>
      <c r="J175" s="271">
        <v>1000</v>
      </c>
      <c r="K175" s="224" t="s">
        <v>147</v>
      </c>
      <c r="L175" s="224" t="s">
        <v>41</v>
      </c>
      <c r="N175">
        <f t="shared" si="0"/>
        <v>200</v>
      </c>
    </row>
    <row r="176" spans="1:14" x14ac:dyDescent="0.25">
      <c r="A176" s="246">
        <v>15</v>
      </c>
      <c r="B176" s="352" t="s">
        <v>2540</v>
      </c>
      <c r="C176" s="233" t="s">
        <v>2628</v>
      </c>
      <c r="D176" s="230" t="s">
        <v>160</v>
      </c>
      <c r="E176" s="230" t="s">
        <v>2629</v>
      </c>
      <c r="F176" s="230" t="s">
        <v>50</v>
      </c>
      <c r="G176" s="231" t="s">
        <v>2630</v>
      </c>
      <c r="H176" s="230" t="s">
        <v>40</v>
      </c>
      <c r="I176" s="236">
        <v>1000</v>
      </c>
      <c r="J176" s="271">
        <v>200</v>
      </c>
      <c r="K176" s="224" t="s">
        <v>147</v>
      </c>
      <c r="L176" s="224" t="s">
        <v>41</v>
      </c>
      <c r="N176">
        <f t="shared" si="0"/>
        <v>200</v>
      </c>
    </row>
    <row r="177" spans="1:14" x14ac:dyDescent="0.25">
      <c r="A177" s="246">
        <v>15</v>
      </c>
      <c r="B177" s="352" t="s">
        <v>2540</v>
      </c>
      <c r="C177" s="233" t="s">
        <v>2628</v>
      </c>
      <c r="D177" s="230" t="s">
        <v>160</v>
      </c>
      <c r="E177" s="230" t="s">
        <v>2629</v>
      </c>
      <c r="F177" s="230" t="s">
        <v>50</v>
      </c>
      <c r="G177" s="231" t="s">
        <v>2630</v>
      </c>
      <c r="H177" s="399" t="s">
        <v>465</v>
      </c>
      <c r="I177" s="236">
        <v>1500</v>
      </c>
      <c r="J177" s="271">
        <v>1500</v>
      </c>
      <c r="K177" s="224" t="s">
        <v>147</v>
      </c>
      <c r="L177" s="224" t="s">
        <v>41</v>
      </c>
      <c r="N177">
        <f t="shared" si="0"/>
        <v>300</v>
      </c>
    </row>
    <row r="178" spans="1:14" x14ac:dyDescent="0.25">
      <c r="A178" s="246">
        <v>15</v>
      </c>
      <c r="B178" s="352" t="s">
        <v>2631</v>
      </c>
      <c r="C178" s="233" t="s">
        <v>1826</v>
      </c>
      <c r="D178" s="230" t="s">
        <v>160</v>
      </c>
      <c r="E178" s="230" t="s">
        <v>2632</v>
      </c>
      <c r="F178" s="230" t="s">
        <v>46</v>
      </c>
      <c r="G178" s="231" t="s">
        <v>2633</v>
      </c>
      <c r="H178" s="230" t="s">
        <v>40</v>
      </c>
      <c r="I178" s="236">
        <v>5000</v>
      </c>
      <c r="J178" s="271">
        <v>1000</v>
      </c>
      <c r="K178" s="224" t="s">
        <v>147</v>
      </c>
      <c r="L178" s="224" t="s">
        <v>41</v>
      </c>
      <c r="N178">
        <f t="shared" si="0"/>
        <v>1000</v>
      </c>
    </row>
    <row r="179" spans="1:14" x14ac:dyDescent="0.25">
      <c r="A179" s="246">
        <v>16</v>
      </c>
      <c r="B179" s="352" t="s">
        <v>2525</v>
      </c>
      <c r="C179" s="233" t="s">
        <v>1406</v>
      </c>
      <c r="D179" s="230" t="s">
        <v>160</v>
      </c>
      <c r="E179" s="230" t="s">
        <v>167</v>
      </c>
      <c r="F179" s="230" t="s">
        <v>43</v>
      </c>
      <c r="G179" s="231" t="s">
        <v>2526</v>
      </c>
      <c r="H179" s="230" t="s">
        <v>40</v>
      </c>
      <c r="I179" s="236">
        <v>1000</v>
      </c>
      <c r="J179" s="271">
        <v>200</v>
      </c>
      <c r="K179" s="224" t="s">
        <v>147</v>
      </c>
      <c r="L179" s="224" t="s">
        <v>41</v>
      </c>
      <c r="N179">
        <f t="shared" si="0"/>
        <v>200</v>
      </c>
    </row>
    <row r="180" spans="1:14" x14ac:dyDescent="0.25">
      <c r="A180" s="246">
        <v>16</v>
      </c>
      <c r="B180" s="352" t="s">
        <v>2640</v>
      </c>
      <c r="C180" s="233" t="s">
        <v>2641</v>
      </c>
      <c r="D180" s="230" t="s">
        <v>160</v>
      </c>
      <c r="E180" s="230" t="s">
        <v>2642</v>
      </c>
      <c r="F180" s="230" t="s">
        <v>49</v>
      </c>
      <c r="G180" s="231" t="s">
        <v>2643</v>
      </c>
      <c r="H180" s="230" t="s">
        <v>40</v>
      </c>
      <c r="I180" s="236">
        <v>4000</v>
      </c>
      <c r="J180" s="271">
        <v>800</v>
      </c>
      <c r="K180" s="224" t="s">
        <v>147</v>
      </c>
      <c r="L180" s="224" t="s">
        <v>41</v>
      </c>
      <c r="N180">
        <f t="shared" si="0"/>
        <v>800</v>
      </c>
    </row>
    <row r="181" spans="1:14" x14ac:dyDescent="0.25">
      <c r="A181" s="246">
        <v>16</v>
      </c>
      <c r="B181" s="352" t="s">
        <v>2644</v>
      </c>
      <c r="C181" s="233" t="s">
        <v>2645</v>
      </c>
      <c r="D181" s="230" t="s">
        <v>160</v>
      </c>
      <c r="E181" s="230" t="s">
        <v>299</v>
      </c>
      <c r="F181" s="230" t="s">
        <v>42</v>
      </c>
      <c r="G181" s="231" t="s">
        <v>2646</v>
      </c>
      <c r="H181" s="230" t="s">
        <v>40</v>
      </c>
      <c r="I181" s="236">
        <v>1000</v>
      </c>
      <c r="J181" s="271">
        <v>200</v>
      </c>
      <c r="K181" s="224" t="s">
        <v>147</v>
      </c>
      <c r="L181" s="224" t="s">
        <v>41</v>
      </c>
      <c r="N181">
        <f t="shared" si="0"/>
        <v>200</v>
      </c>
    </row>
    <row r="182" spans="1:14" x14ac:dyDescent="0.25">
      <c r="A182" s="246">
        <v>16</v>
      </c>
      <c r="B182" s="352" t="s">
        <v>2104</v>
      </c>
      <c r="C182" s="233" t="s">
        <v>2647</v>
      </c>
      <c r="D182" s="230" t="s">
        <v>160</v>
      </c>
      <c r="E182" s="230" t="s">
        <v>1125</v>
      </c>
      <c r="F182" s="230" t="s">
        <v>54</v>
      </c>
      <c r="G182" s="231" t="s">
        <v>2648</v>
      </c>
      <c r="H182" s="230" t="s">
        <v>40</v>
      </c>
      <c r="I182" s="236">
        <v>500</v>
      </c>
      <c r="J182" s="271">
        <v>100</v>
      </c>
      <c r="K182" s="224" t="s">
        <v>147</v>
      </c>
      <c r="L182" s="224" t="s">
        <v>41</v>
      </c>
      <c r="N182">
        <f t="shared" si="0"/>
        <v>100</v>
      </c>
    </row>
    <row r="183" spans="1:14" x14ac:dyDescent="0.25">
      <c r="A183" s="246">
        <v>19</v>
      </c>
      <c r="B183" s="352" t="s">
        <v>2649</v>
      </c>
      <c r="C183" s="233" t="s">
        <v>2650</v>
      </c>
      <c r="D183" s="230" t="s">
        <v>160</v>
      </c>
      <c r="E183" s="230" t="s">
        <v>317</v>
      </c>
      <c r="F183" s="230" t="s">
        <v>45</v>
      </c>
      <c r="G183" s="231" t="s">
        <v>2651</v>
      </c>
      <c r="H183" s="230" t="s">
        <v>40</v>
      </c>
      <c r="I183" s="236">
        <v>250</v>
      </c>
      <c r="J183" s="271">
        <v>50</v>
      </c>
      <c r="K183" s="224" t="s">
        <v>147</v>
      </c>
      <c r="L183" s="224" t="s">
        <v>41</v>
      </c>
      <c r="N183">
        <f t="shared" si="0"/>
        <v>50</v>
      </c>
    </row>
    <row r="184" spans="1:14" x14ac:dyDescent="0.25">
      <c r="A184" s="246">
        <v>19</v>
      </c>
      <c r="B184" s="352" t="s">
        <v>2649</v>
      </c>
      <c r="C184" s="233" t="s">
        <v>2650</v>
      </c>
      <c r="D184" s="230" t="s">
        <v>160</v>
      </c>
      <c r="E184" s="230" t="s">
        <v>317</v>
      </c>
      <c r="F184" s="230" t="s">
        <v>45</v>
      </c>
      <c r="G184" s="231" t="s">
        <v>2651</v>
      </c>
      <c r="H184" s="399" t="s">
        <v>465</v>
      </c>
      <c r="I184" s="236">
        <v>250</v>
      </c>
      <c r="J184" s="271">
        <v>250</v>
      </c>
      <c r="K184" s="224" t="s">
        <v>147</v>
      </c>
      <c r="L184" s="224" t="s">
        <v>41</v>
      </c>
      <c r="N184">
        <f t="shared" si="0"/>
        <v>50</v>
      </c>
    </row>
    <row r="185" spans="1:14" x14ac:dyDescent="0.25">
      <c r="A185" s="246">
        <v>19</v>
      </c>
      <c r="B185" s="352" t="s">
        <v>2110</v>
      </c>
      <c r="C185" s="233" t="s">
        <v>1756</v>
      </c>
      <c r="D185" s="230" t="s">
        <v>160</v>
      </c>
      <c r="E185" s="230" t="s">
        <v>401</v>
      </c>
      <c r="F185" s="230" t="s">
        <v>45</v>
      </c>
      <c r="G185" s="231" t="s">
        <v>2111</v>
      </c>
      <c r="H185" s="230" t="s">
        <v>40</v>
      </c>
      <c r="I185" s="236">
        <v>500</v>
      </c>
      <c r="J185" s="271">
        <v>100</v>
      </c>
      <c r="K185" s="224" t="s">
        <v>147</v>
      </c>
      <c r="L185" s="224" t="s">
        <v>41</v>
      </c>
      <c r="N185">
        <f t="shared" si="0"/>
        <v>100</v>
      </c>
    </row>
    <row r="186" spans="1:14" x14ac:dyDescent="0.25">
      <c r="A186" s="246">
        <v>19</v>
      </c>
      <c r="B186" s="352" t="s">
        <v>2110</v>
      </c>
      <c r="C186" s="233" t="s">
        <v>1756</v>
      </c>
      <c r="D186" s="230" t="s">
        <v>160</v>
      </c>
      <c r="E186" s="230" t="s">
        <v>401</v>
      </c>
      <c r="F186" s="230" t="s">
        <v>45</v>
      </c>
      <c r="G186" s="231" t="s">
        <v>2111</v>
      </c>
      <c r="H186" s="399" t="s">
        <v>465</v>
      </c>
      <c r="I186" s="236">
        <v>300</v>
      </c>
      <c r="J186" s="271">
        <v>300</v>
      </c>
      <c r="K186" s="224" t="s">
        <v>147</v>
      </c>
      <c r="L186" s="224" t="s">
        <v>41</v>
      </c>
      <c r="N186">
        <f t="shared" si="0"/>
        <v>60</v>
      </c>
    </row>
    <row r="187" spans="1:14" x14ac:dyDescent="0.25">
      <c r="A187" s="246">
        <v>19</v>
      </c>
      <c r="B187" s="352" t="s">
        <v>2652</v>
      </c>
      <c r="C187" s="233" t="s">
        <v>2653</v>
      </c>
      <c r="D187" s="230" t="s">
        <v>160</v>
      </c>
      <c r="E187" s="230" t="s">
        <v>180</v>
      </c>
      <c r="F187" s="230" t="s">
        <v>47</v>
      </c>
      <c r="G187" s="231" t="s">
        <v>2654</v>
      </c>
      <c r="H187" s="399" t="s">
        <v>465</v>
      </c>
      <c r="I187" s="236">
        <v>500</v>
      </c>
      <c r="J187" s="271">
        <v>500</v>
      </c>
      <c r="K187" s="224" t="s">
        <v>147</v>
      </c>
      <c r="L187" s="224" t="s">
        <v>41</v>
      </c>
      <c r="N187">
        <f t="shared" si="0"/>
        <v>100</v>
      </c>
    </row>
    <row r="188" spans="1:14" x14ac:dyDescent="0.25">
      <c r="A188" s="246">
        <v>19</v>
      </c>
      <c r="B188" s="352" t="s">
        <v>2655</v>
      </c>
      <c r="C188" s="233" t="s">
        <v>2575</v>
      </c>
      <c r="D188" s="230" t="s">
        <v>160</v>
      </c>
      <c r="E188" s="230" t="s">
        <v>1151</v>
      </c>
      <c r="F188" s="230" t="s">
        <v>49</v>
      </c>
      <c r="G188" s="231" t="s">
        <v>2656</v>
      </c>
      <c r="H188" s="230" t="s">
        <v>40</v>
      </c>
      <c r="I188" s="236">
        <v>5000</v>
      </c>
      <c r="J188" s="271">
        <v>1000</v>
      </c>
      <c r="K188" s="224" t="s">
        <v>147</v>
      </c>
      <c r="L188" s="224" t="s">
        <v>41</v>
      </c>
      <c r="N188">
        <f t="shared" si="0"/>
        <v>1000</v>
      </c>
    </row>
    <row r="189" spans="1:14" x14ac:dyDescent="0.25">
      <c r="A189" s="246">
        <v>19</v>
      </c>
      <c r="B189" s="352" t="s">
        <v>1929</v>
      </c>
      <c r="C189" s="233" t="s">
        <v>1930</v>
      </c>
      <c r="D189" s="230" t="s">
        <v>160</v>
      </c>
      <c r="E189" s="230" t="s">
        <v>334</v>
      </c>
      <c r="F189" s="230" t="s">
        <v>55</v>
      </c>
      <c r="G189" s="231" t="s">
        <v>335</v>
      </c>
      <c r="H189" s="399" t="s">
        <v>465</v>
      </c>
      <c r="I189" s="236">
        <v>200</v>
      </c>
      <c r="J189" s="271">
        <v>200</v>
      </c>
      <c r="K189" s="224" t="s">
        <v>147</v>
      </c>
      <c r="L189" s="224" t="s">
        <v>41</v>
      </c>
      <c r="N189">
        <f t="shared" si="0"/>
        <v>40</v>
      </c>
    </row>
    <row r="190" spans="1:14" x14ac:dyDescent="0.25">
      <c r="A190" s="246">
        <v>19</v>
      </c>
      <c r="B190" s="352" t="s">
        <v>2657</v>
      </c>
      <c r="C190" s="233" t="s">
        <v>2658</v>
      </c>
      <c r="D190" s="230" t="s">
        <v>160</v>
      </c>
      <c r="E190" s="230" t="s">
        <v>467</v>
      </c>
      <c r="F190" s="230" t="s">
        <v>82</v>
      </c>
      <c r="G190" s="231" t="s">
        <v>2659</v>
      </c>
      <c r="H190" s="230" t="s">
        <v>40</v>
      </c>
      <c r="I190" s="236">
        <v>500</v>
      </c>
      <c r="J190" s="271">
        <v>100</v>
      </c>
      <c r="K190" s="224" t="s">
        <v>147</v>
      </c>
      <c r="L190" s="224" t="s">
        <v>41</v>
      </c>
      <c r="N190">
        <f t="shared" si="0"/>
        <v>100</v>
      </c>
    </row>
    <row r="191" spans="1:14" x14ac:dyDescent="0.25">
      <c r="A191" s="246">
        <v>19</v>
      </c>
      <c r="B191" s="352" t="s">
        <v>1634</v>
      </c>
      <c r="C191" s="233" t="s">
        <v>2660</v>
      </c>
      <c r="D191" s="230" t="s">
        <v>160</v>
      </c>
      <c r="E191" s="230" t="s">
        <v>911</v>
      </c>
      <c r="F191" s="230" t="s">
        <v>49</v>
      </c>
      <c r="G191" s="231" t="s">
        <v>2661</v>
      </c>
      <c r="H191" s="399" t="s">
        <v>465</v>
      </c>
      <c r="I191" s="236">
        <v>1000</v>
      </c>
      <c r="J191" s="271">
        <v>1000</v>
      </c>
      <c r="K191" s="224" t="s">
        <v>147</v>
      </c>
      <c r="L191" s="224" t="s">
        <v>41</v>
      </c>
      <c r="N191">
        <f t="shared" si="0"/>
        <v>200</v>
      </c>
    </row>
    <row r="192" spans="1:14" x14ac:dyDescent="0.25">
      <c r="A192" s="246">
        <v>19</v>
      </c>
      <c r="B192" s="352" t="s">
        <v>1402</v>
      </c>
      <c r="C192" s="233" t="s">
        <v>2662</v>
      </c>
      <c r="D192" s="230" t="s">
        <v>160</v>
      </c>
      <c r="E192" s="230" t="s">
        <v>523</v>
      </c>
      <c r="F192" s="230" t="s">
        <v>42</v>
      </c>
      <c r="G192" s="231"/>
      <c r="H192" s="399" t="s">
        <v>465</v>
      </c>
      <c r="I192" s="236">
        <v>1000</v>
      </c>
      <c r="J192" s="271">
        <v>1000</v>
      </c>
      <c r="K192" s="224" t="s">
        <v>147</v>
      </c>
      <c r="L192" s="224" t="s">
        <v>41</v>
      </c>
      <c r="N192">
        <f t="shared" si="0"/>
        <v>200</v>
      </c>
    </row>
    <row r="193" spans="1:14" x14ac:dyDescent="0.25">
      <c r="A193" s="246">
        <v>19</v>
      </c>
      <c r="B193" s="352" t="s">
        <v>2663</v>
      </c>
      <c r="C193" s="233" t="s">
        <v>2664</v>
      </c>
      <c r="D193" s="283" t="s">
        <v>163</v>
      </c>
      <c r="E193" s="230" t="s">
        <v>2665</v>
      </c>
      <c r="F193" s="230" t="s">
        <v>46</v>
      </c>
      <c r="G193" s="231"/>
      <c r="H193" s="230" t="s">
        <v>40</v>
      </c>
      <c r="I193" s="236">
        <v>400</v>
      </c>
      <c r="J193" s="271">
        <v>80</v>
      </c>
      <c r="K193" s="224" t="s">
        <v>147</v>
      </c>
      <c r="L193" s="224" t="s">
        <v>41</v>
      </c>
      <c r="N193">
        <f t="shared" si="0"/>
        <v>80</v>
      </c>
    </row>
    <row r="194" spans="1:14" x14ac:dyDescent="0.25">
      <c r="A194" s="246">
        <v>19</v>
      </c>
      <c r="B194" s="352" t="s">
        <v>2151</v>
      </c>
      <c r="C194" s="233" t="s">
        <v>1809</v>
      </c>
      <c r="D194" s="230" t="s">
        <v>160</v>
      </c>
      <c r="E194" s="230" t="s">
        <v>2665</v>
      </c>
      <c r="F194" s="230" t="s">
        <v>46</v>
      </c>
      <c r="G194" s="231"/>
      <c r="H194" s="399" t="s">
        <v>465</v>
      </c>
      <c r="I194" s="236">
        <v>50</v>
      </c>
      <c r="J194" s="271">
        <v>50</v>
      </c>
      <c r="K194" s="224" t="s">
        <v>147</v>
      </c>
      <c r="L194" s="224" t="s">
        <v>41</v>
      </c>
      <c r="N194">
        <f t="shared" si="0"/>
        <v>10</v>
      </c>
    </row>
    <row r="195" spans="1:14" x14ac:dyDescent="0.25">
      <c r="A195" s="246">
        <v>19</v>
      </c>
      <c r="B195" s="352" t="s">
        <v>2666</v>
      </c>
      <c r="C195" s="233" t="s">
        <v>2268</v>
      </c>
      <c r="D195" s="230" t="s">
        <v>160</v>
      </c>
      <c r="E195" s="230" t="s">
        <v>2667</v>
      </c>
      <c r="F195" s="230" t="s">
        <v>46</v>
      </c>
      <c r="G195" s="231" t="s">
        <v>2668</v>
      </c>
      <c r="H195" s="230" t="s">
        <v>40</v>
      </c>
      <c r="I195" s="236">
        <v>2000</v>
      </c>
      <c r="J195" s="271">
        <v>400</v>
      </c>
      <c r="K195" s="224" t="s">
        <v>147</v>
      </c>
      <c r="L195" s="224" t="s">
        <v>41</v>
      </c>
      <c r="N195">
        <f t="shared" si="0"/>
        <v>400</v>
      </c>
    </row>
    <row r="196" spans="1:14" x14ac:dyDescent="0.25">
      <c r="A196" s="246">
        <v>19</v>
      </c>
      <c r="B196" s="352" t="s">
        <v>2666</v>
      </c>
      <c r="C196" s="233" t="s">
        <v>2268</v>
      </c>
      <c r="D196" s="230" t="s">
        <v>160</v>
      </c>
      <c r="E196" s="230" t="s">
        <v>2667</v>
      </c>
      <c r="F196" s="230" t="s">
        <v>46</v>
      </c>
      <c r="G196" s="231" t="s">
        <v>2668</v>
      </c>
      <c r="H196" s="399" t="s">
        <v>465</v>
      </c>
      <c r="I196" s="236">
        <v>100</v>
      </c>
      <c r="J196" s="271">
        <v>100</v>
      </c>
      <c r="K196" s="224" t="s">
        <v>147</v>
      </c>
      <c r="L196" s="224" t="s">
        <v>41</v>
      </c>
      <c r="N196">
        <f t="shared" si="0"/>
        <v>20</v>
      </c>
    </row>
    <row r="197" spans="1:14" x14ac:dyDescent="0.25">
      <c r="A197" s="246">
        <v>19</v>
      </c>
      <c r="B197" s="352" t="s">
        <v>1325</v>
      </c>
      <c r="C197" s="233" t="s">
        <v>2669</v>
      </c>
      <c r="D197" s="230" t="s">
        <v>160</v>
      </c>
      <c r="E197" s="230" t="s">
        <v>2665</v>
      </c>
      <c r="F197" s="230" t="s">
        <v>46</v>
      </c>
      <c r="G197" s="231"/>
      <c r="H197" s="399" t="s">
        <v>465</v>
      </c>
      <c r="I197" s="236">
        <v>50</v>
      </c>
      <c r="J197" s="271">
        <v>50</v>
      </c>
      <c r="K197" s="224" t="s">
        <v>147</v>
      </c>
      <c r="L197" s="224" t="s">
        <v>41</v>
      </c>
      <c r="N197">
        <f t="shared" si="0"/>
        <v>10</v>
      </c>
    </row>
    <row r="198" spans="1:14" x14ac:dyDescent="0.25">
      <c r="A198" s="246">
        <v>19</v>
      </c>
      <c r="B198" s="352" t="s">
        <v>2670</v>
      </c>
      <c r="C198" s="233" t="s">
        <v>2671</v>
      </c>
      <c r="D198" s="283" t="s">
        <v>163</v>
      </c>
      <c r="E198" s="230" t="s">
        <v>2665</v>
      </c>
      <c r="F198" s="230" t="s">
        <v>46</v>
      </c>
      <c r="G198" s="231"/>
      <c r="H198" s="230" t="s">
        <v>40</v>
      </c>
      <c r="I198" s="236">
        <v>1300</v>
      </c>
      <c r="J198" s="271">
        <v>260</v>
      </c>
      <c r="K198" s="224" t="s">
        <v>147</v>
      </c>
      <c r="L198" s="224" t="s">
        <v>41</v>
      </c>
      <c r="N198">
        <f t="shared" si="0"/>
        <v>260</v>
      </c>
    </row>
    <row r="199" spans="1:14" x14ac:dyDescent="0.25">
      <c r="A199" s="246">
        <v>19</v>
      </c>
      <c r="B199" s="352" t="s">
        <v>2410</v>
      </c>
      <c r="C199" s="233" t="s">
        <v>2268</v>
      </c>
      <c r="D199" s="230" t="s">
        <v>160</v>
      </c>
      <c r="E199" s="230" t="s">
        <v>685</v>
      </c>
      <c r="F199" s="230" t="s">
        <v>46</v>
      </c>
      <c r="G199" s="231" t="s">
        <v>2672</v>
      </c>
      <c r="H199" s="230" t="s">
        <v>40</v>
      </c>
      <c r="I199" s="236">
        <v>500</v>
      </c>
      <c r="J199" s="271">
        <v>100</v>
      </c>
      <c r="K199" s="224" t="s">
        <v>147</v>
      </c>
      <c r="L199" s="224" t="s">
        <v>41</v>
      </c>
      <c r="N199">
        <f t="shared" si="0"/>
        <v>100</v>
      </c>
    </row>
    <row r="200" spans="1:14" x14ac:dyDescent="0.25">
      <c r="A200" s="273">
        <v>19</v>
      </c>
      <c r="B200" s="352" t="s">
        <v>1642</v>
      </c>
      <c r="C200" s="233" t="s">
        <v>1643</v>
      </c>
      <c r="D200" s="283" t="s">
        <v>163</v>
      </c>
      <c r="E200" s="230" t="s">
        <v>1243</v>
      </c>
      <c r="F200" s="230" t="s">
        <v>47</v>
      </c>
      <c r="G200" s="231" t="s">
        <v>1644</v>
      </c>
      <c r="H200" s="399" t="s">
        <v>465</v>
      </c>
      <c r="I200" s="236">
        <v>3000</v>
      </c>
      <c r="J200" s="271">
        <v>3000</v>
      </c>
      <c r="K200" s="224" t="s">
        <v>147</v>
      </c>
      <c r="L200" s="224" t="s">
        <v>41</v>
      </c>
      <c r="N200">
        <f t="shared" si="0"/>
        <v>600</v>
      </c>
    </row>
    <row r="201" spans="1:14" x14ac:dyDescent="0.25">
      <c r="A201" s="246">
        <v>20</v>
      </c>
      <c r="B201" s="352" t="s">
        <v>1282</v>
      </c>
      <c r="C201" s="233" t="s">
        <v>1689</v>
      </c>
      <c r="D201" s="283" t="s">
        <v>163</v>
      </c>
      <c r="E201" s="230" t="s">
        <v>907</v>
      </c>
      <c r="F201" s="230" t="s">
        <v>47</v>
      </c>
      <c r="G201" s="231"/>
      <c r="H201" s="230" t="s">
        <v>40</v>
      </c>
      <c r="I201" s="236">
        <v>2000</v>
      </c>
      <c r="J201" s="271">
        <v>400</v>
      </c>
      <c r="K201" s="224" t="s">
        <v>147</v>
      </c>
      <c r="L201" s="224" t="s">
        <v>41</v>
      </c>
      <c r="N201">
        <f t="shared" si="0"/>
        <v>400</v>
      </c>
    </row>
    <row r="202" spans="1:14" x14ac:dyDescent="0.25">
      <c r="A202" s="246">
        <v>20</v>
      </c>
      <c r="B202" s="352" t="s">
        <v>2679</v>
      </c>
      <c r="C202" s="233" t="s">
        <v>2680</v>
      </c>
      <c r="D202" s="283" t="s">
        <v>163</v>
      </c>
      <c r="E202" s="230" t="s">
        <v>1125</v>
      </c>
      <c r="F202" s="230" t="s">
        <v>54</v>
      </c>
      <c r="G202" s="231" t="s">
        <v>2681</v>
      </c>
      <c r="H202" s="399" t="s">
        <v>465</v>
      </c>
      <c r="I202" s="236">
        <v>500</v>
      </c>
      <c r="J202" s="271">
        <v>500</v>
      </c>
      <c r="K202" s="224" t="s">
        <v>147</v>
      </c>
      <c r="L202" s="224" t="s">
        <v>41</v>
      </c>
      <c r="N202">
        <f t="shared" si="0"/>
        <v>100</v>
      </c>
    </row>
    <row r="203" spans="1:14" x14ac:dyDescent="0.25">
      <c r="A203" s="246">
        <v>20</v>
      </c>
      <c r="B203" s="352" t="s">
        <v>2682</v>
      </c>
      <c r="C203" s="233" t="s">
        <v>2683</v>
      </c>
      <c r="D203" s="230" t="s">
        <v>160</v>
      </c>
      <c r="E203" s="230" t="s">
        <v>483</v>
      </c>
      <c r="F203" s="230" t="s">
        <v>42</v>
      </c>
      <c r="G203" s="231" t="s">
        <v>2684</v>
      </c>
      <c r="H203" s="399" t="s">
        <v>465</v>
      </c>
      <c r="I203" s="236">
        <v>500</v>
      </c>
      <c r="J203" s="271">
        <v>500</v>
      </c>
      <c r="K203" s="224" t="s">
        <v>147</v>
      </c>
      <c r="L203" s="224" t="s">
        <v>41</v>
      </c>
    </row>
    <row r="204" spans="1:14" x14ac:dyDescent="0.25">
      <c r="A204" s="246">
        <v>20</v>
      </c>
      <c r="B204" s="352" t="s">
        <v>1527</v>
      </c>
      <c r="C204" s="233" t="s">
        <v>2685</v>
      </c>
      <c r="D204" s="230" t="s">
        <v>160</v>
      </c>
      <c r="E204" s="230" t="s">
        <v>2169</v>
      </c>
      <c r="F204" s="230" t="s">
        <v>43</v>
      </c>
      <c r="G204" s="231"/>
      <c r="H204" s="230" t="s">
        <v>40</v>
      </c>
      <c r="I204" s="236">
        <v>2500</v>
      </c>
      <c r="J204" s="271">
        <v>500</v>
      </c>
      <c r="K204" s="224" t="s">
        <v>147</v>
      </c>
      <c r="L204" s="224" t="s">
        <v>41</v>
      </c>
    </row>
    <row r="205" spans="1:14" x14ac:dyDescent="0.25">
      <c r="A205" s="246">
        <v>20</v>
      </c>
      <c r="B205" s="352" t="s">
        <v>1527</v>
      </c>
      <c r="C205" s="233" t="s">
        <v>2685</v>
      </c>
      <c r="D205" s="230" t="s">
        <v>160</v>
      </c>
      <c r="E205" s="230" t="s">
        <v>2169</v>
      </c>
      <c r="F205" s="230" t="s">
        <v>43</v>
      </c>
      <c r="G205" s="231"/>
      <c r="H205" s="399" t="s">
        <v>465</v>
      </c>
      <c r="I205" s="236">
        <v>400</v>
      </c>
      <c r="J205" s="271">
        <v>400</v>
      </c>
      <c r="K205" s="224" t="s">
        <v>147</v>
      </c>
      <c r="L205" s="224" t="s">
        <v>41</v>
      </c>
    </row>
    <row r="206" spans="1:14" x14ac:dyDescent="0.25">
      <c r="A206" s="246">
        <v>20</v>
      </c>
      <c r="B206" s="352" t="s">
        <v>2686</v>
      </c>
      <c r="C206" s="233" t="s">
        <v>1443</v>
      </c>
      <c r="D206" s="230" t="s">
        <v>160</v>
      </c>
      <c r="E206" s="230" t="s">
        <v>167</v>
      </c>
      <c r="F206" s="230" t="s">
        <v>43</v>
      </c>
      <c r="G206" s="231" t="s">
        <v>2687</v>
      </c>
      <c r="H206" s="426" t="s">
        <v>1912</v>
      </c>
      <c r="I206" s="236">
        <v>400</v>
      </c>
      <c r="J206" s="271" t="s">
        <v>152</v>
      </c>
      <c r="K206" s="224" t="s">
        <v>147</v>
      </c>
      <c r="L206" s="224" t="s">
        <v>41</v>
      </c>
    </row>
    <row r="207" spans="1:14" x14ac:dyDescent="0.25">
      <c r="A207" s="246">
        <v>20</v>
      </c>
      <c r="B207" s="352" t="s">
        <v>2688</v>
      </c>
      <c r="C207" s="233" t="s">
        <v>2689</v>
      </c>
      <c r="D207" s="230" t="s">
        <v>160</v>
      </c>
      <c r="E207" s="230" t="s">
        <v>1531</v>
      </c>
      <c r="F207" s="230" t="s">
        <v>49</v>
      </c>
      <c r="G207" s="231" t="s">
        <v>2690</v>
      </c>
      <c r="H207" s="230" t="s">
        <v>40</v>
      </c>
      <c r="I207" s="236">
        <v>800</v>
      </c>
      <c r="J207" s="271">
        <v>160</v>
      </c>
      <c r="K207" s="224" t="s">
        <v>147</v>
      </c>
      <c r="L207" s="224" t="s">
        <v>41</v>
      </c>
    </row>
    <row r="208" spans="1:14" x14ac:dyDescent="0.25">
      <c r="A208" s="246">
        <v>20</v>
      </c>
      <c r="B208" s="352" t="s">
        <v>2346</v>
      </c>
      <c r="C208" s="233" t="s">
        <v>2691</v>
      </c>
      <c r="D208" s="230" t="s">
        <v>160</v>
      </c>
      <c r="E208" s="230"/>
      <c r="F208" s="230" t="s">
        <v>85</v>
      </c>
      <c r="G208" s="231" t="s">
        <v>627</v>
      </c>
      <c r="H208" s="399" t="s">
        <v>465</v>
      </c>
      <c r="I208" s="236">
        <v>2000</v>
      </c>
      <c r="J208" s="271">
        <v>2000</v>
      </c>
      <c r="K208" s="224" t="s">
        <v>147</v>
      </c>
      <c r="L208" s="224" t="s">
        <v>41</v>
      </c>
    </row>
    <row r="209" spans="1:12" x14ac:dyDescent="0.25">
      <c r="A209" s="246">
        <v>21</v>
      </c>
      <c r="B209" s="352" t="s">
        <v>2545</v>
      </c>
      <c r="C209" s="233" t="s">
        <v>2692</v>
      </c>
      <c r="D209" s="230" t="s">
        <v>160</v>
      </c>
      <c r="E209" s="230" t="s">
        <v>259</v>
      </c>
      <c r="F209" s="230" t="s">
        <v>49</v>
      </c>
      <c r="G209" s="231" t="s">
        <v>2693</v>
      </c>
      <c r="H209" s="399" t="s">
        <v>465</v>
      </c>
      <c r="I209" s="236">
        <v>300</v>
      </c>
      <c r="J209" s="271">
        <v>300</v>
      </c>
      <c r="K209" s="224" t="s">
        <v>147</v>
      </c>
      <c r="L209" s="224" t="s">
        <v>41</v>
      </c>
    </row>
    <row r="210" spans="1:12" x14ac:dyDescent="0.25">
      <c r="A210" s="246">
        <v>21</v>
      </c>
      <c r="B210" s="352" t="s">
        <v>2540</v>
      </c>
      <c r="C210" s="233" t="s">
        <v>2694</v>
      </c>
      <c r="D210" s="230" t="s">
        <v>160</v>
      </c>
      <c r="E210" s="230" t="s">
        <v>529</v>
      </c>
      <c r="F210" s="230" t="s">
        <v>43</v>
      </c>
      <c r="G210" s="231"/>
      <c r="H210" s="230" t="s">
        <v>40</v>
      </c>
      <c r="I210" s="236">
        <v>1500</v>
      </c>
      <c r="J210" s="271">
        <v>300</v>
      </c>
      <c r="K210" s="224" t="s">
        <v>147</v>
      </c>
      <c r="L210" s="224" t="s">
        <v>41</v>
      </c>
    </row>
    <row r="211" spans="1:12" x14ac:dyDescent="0.25">
      <c r="A211" s="246">
        <v>21</v>
      </c>
      <c r="B211" s="352" t="s">
        <v>2652</v>
      </c>
      <c r="C211" s="233" t="s">
        <v>2695</v>
      </c>
      <c r="D211" s="230" t="s">
        <v>160</v>
      </c>
      <c r="E211" s="230"/>
      <c r="F211" s="230" t="s">
        <v>49</v>
      </c>
      <c r="G211" s="231" t="s">
        <v>2696</v>
      </c>
      <c r="H211" s="230" t="s">
        <v>40</v>
      </c>
      <c r="I211" s="236">
        <v>1000</v>
      </c>
      <c r="J211" s="271" t="s">
        <v>152</v>
      </c>
      <c r="K211" s="224" t="s">
        <v>147</v>
      </c>
      <c r="L211" s="224" t="s">
        <v>41</v>
      </c>
    </row>
    <row r="212" spans="1:12" x14ac:dyDescent="0.25">
      <c r="A212" s="246">
        <v>21</v>
      </c>
      <c r="B212" s="352" t="s">
        <v>2697</v>
      </c>
      <c r="C212" s="233" t="s">
        <v>1674</v>
      </c>
      <c r="D212" s="230" t="s">
        <v>160</v>
      </c>
      <c r="E212" s="230" t="s">
        <v>467</v>
      </c>
      <c r="F212" s="230" t="s">
        <v>57</v>
      </c>
      <c r="G212" s="231"/>
      <c r="H212" s="230" t="s">
        <v>40</v>
      </c>
      <c r="I212" s="236">
        <v>500</v>
      </c>
      <c r="J212" s="271">
        <v>100</v>
      </c>
      <c r="K212" s="224" t="s">
        <v>147</v>
      </c>
      <c r="L212" s="224" t="s">
        <v>41</v>
      </c>
    </row>
    <row r="213" spans="1:12" x14ac:dyDescent="0.25">
      <c r="A213" s="246">
        <v>21</v>
      </c>
      <c r="B213" s="352" t="s">
        <v>2698</v>
      </c>
      <c r="C213" s="233" t="s">
        <v>2699</v>
      </c>
      <c r="D213" s="283" t="s">
        <v>163</v>
      </c>
      <c r="E213" s="230"/>
      <c r="F213" s="230" t="s">
        <v>49</v>
      </c>
      <c r="G213" s="231" t="s">
        <v>2696</v>
      </c>
      <c r="H213" s="399" t="s">
        <v>465</v>
      </c>
      <c r="I213" s="236">
        <v>600</v>
      </c>
      <c r="J213" s="271">
        <v>600</v>
      </c>
      <c r="K213" s="224" t="s">
        <v>147</v>
      </c>
      <c r="L213" s="224" t="s">
        <v>41</v>
      </c>
    </row>
    <row r="214" spans="1:12" x14ac:dyDescent="0.25">
      <c r="A214" s="246">
        <v>21</v>
      </c>
      <c r="B214" s="352" t="s">
        <v>2698</v>
      </c>
      <c r="C214" s="233" t="s">
        <v>2699</v>
      </c>
      <c r="D214" s="283" t="s">
        <v>163</v>
      </c>
      <c r="E214" s="230"/>
      <c r="F214" s="230" t="s">
        <v>49</v>
      </c>
      <c r="G214" s="231" t="s">
        <v>2696</v>
      </c>
      <c r="H214" s="354" t="s">
        <v>1420</v>
      </c>
      <c r="I214" s="236">
        <v>200</v>
      </c>
      <c r="J214" s="271">
        <v>100</v>
      </c>
      <c r="K214" s="224" t="s">
        <v>147</v>
      </c>
      <c r="L214" s="224" t="s">
        <v>41</v>
      </c>
    </row>
    <row r="215" spans="1:12" x14ac:dyDescent="0.25">
      <c r="A215" s="246">
        <v>21</v>
      </c>
      <c r="B215" s="352" t="s">
        <v>2698</v>
      </c>
      <c r="C215" s="233" t="s">
        <v>2699</v>
      </c>
      <c r="D215" s="283" t="s">
        <v>163</v>
      </c>
      <c r="E215" s="230"/>
      <c r="F215" s="230" t="s">
        <v>49</v>
      </c>
      <c r="G215" s="231" t="s">
        <v>2696</v>
      </c>
      <c r="H215" s="450" t="s">
        <v>1911</v>
      </c>
      <c r="I215" s="236">
        <v>20</v>
      </c>
      <c r="J215" s="271">
        <v>100</v>
      </c>
      <c r="K215" s="224" t="s">
        <v>147</v>
      </c>
      <c r="L215" s="224" t="s">
        <v>41</v>
      </c>
    </row>
    <row r="216" spans="1:12" x14ac:dyDescent="0.25">
      <c r="A216" s="246">
        <v>21</v>
      </c>
      <c r="B216" s="352" t="s">
        <v>1831</v>
      </c>
      <c r="C216" s="233" t="s">
        <v>2702</v>
      </c>
      <c r="D216" s="230" t="s">
        <v>160</v>
      </c>
      <c r="E216" s="230" t="s">
        <v>2703</v>
      </c>
      <c r="F216" s="230" t="s">
        <v>49</v>
      </c>
      <c r="G216" s="231"/>
      <c r="H216" s="230" t="s">
        <v>40</v>
      </c>
      <c r="I216" s="236">
        <v>1000</v>
      </c>
      <c r="J216" s="271" t="s">
        <v>152</v>
      </c>
      <c r="K216" s="224" t="s">
        <v>147</v>
      </c>
      <c r="L216" s="224" t="s">
        <v>41</v>
      </c>
    </row>
    <row r="217" spans="1:12" x14ac:dyDescent="0.25">
      <c r="A217" s="246">
        <v>21</v>
      </c>
      <c r="B217" s="352" t="s">
        <v>2704</v>
      </c>
      <c r="C217" s="233" t="s">
        <v>2705</v>
      </c>
      <c r="D217" s="230" t="s">
        <v>160</v>
      </c>
      <c r="E217" s="230" t="s">
        <v>538</v>
      </c>
      <c r="F217" s="230" t="s">
        <v>49</v>
      </c>
      <c r="G217" s="231"/>
      <c r="H217" s="230" t="s">
        <v>40</v>
      </c>
      <c r="I217" s="236">
        <v>1000</v>
      </c>
      <c r="J217" s="271" t="s">
        <v>152</v>
      </c>
      <c r="K217" s="224" t="s">
        <v>147</v>
      </c>
      <c r="L217" s="224" t="s">
        <v>41</v>
      </c>
    </row>
    <row r="218" spans="1:12" x14ac:dyDescent="0.25">
      <c r="A218" s="246">
        <v>21</v>
      </c>
      <c r="B218" s="352" t="s">
        <v>2706</v>
      </c>
      <c r="C218" s="233" t="s">
        <v>2707</v>
      </c>
      <c r="D218" s="230" t="s">
        <v>160</v>
      </c>
      <c r="E218" s="230"/>
      <c r="F218" s="230" t="s">
        <v>49</v>
      </c>
      <c r="G218" s="231"/>
      <c r="H218" s="230" t="s">
        <v>40</v>
      </c>
      <c r="I218" s="236">
        <v>1000</v>
      </c>
      <c r="J218" s="271" t="s">
        <v>152</v>
      </c>
      <c r="K218" s="224" t="s">
        <v>147</v>
      </c>
      <c r="L218" s="224" t="s">
        <v>41</v>
      </c>
    </row>
    <row r="219" spans="1:12" x14ac:dyDescent="0.25">
      <c r="A219" s="246">
        <v>21</v>
      </c>
      <c r="B219" s="352" t="s">
        <v>2237</v>
      </c>
      <c r="C219" s="233" t="s">
        <v>2708</v>
      </c>
      <c r="D219" s="283" t="s">
        <v>163</v>
      </c>
      <c r="E219" s="230"/>
      <c r="F219" s="230" t="s">
        <v>49</v>
      </c>
      <c r="G219" s="231"/>
      <c r="H219" s="230" t="s">
        <v>40</v>
      </c>
      <c r="I219" s="236">
        <v>1000</v>
      </c>
      <c r="J219" s="271" t="s">
        <v>152</v>
      </c>
      <c r="K219" s="224" t="s">
        <v>147</v>
      </c>
      <c r="L219" s="224" t="s">
        <v>41</v>
      </c>
    </row>
    <row r="220" spans="1:12" x14ac:dyDescent="0.25">
      <c r="A220" s="246">
        <v>24</v>
      </c>
      <c r="B220" s="352" t="s">
        <v>2206</v>
      </c>
      <c r="C220" s="233" t="s">
        <v>2207</v>
      </c>
      <c r="D220" s="230" t="s">
        <v>160</v>
      </c>
      <c r="E220" s="230" t="s">
        <v>2740</v>
      </c>
      <c r="F220" s="230" t="s">
        <v>55</v>
      </c>
      <c r="G220" s="231"/>
      <c r="H220" s="230" t="s">
        <v>40</v>
      </c>
      <c r="I220" s="236">
        <v>1000</v>
      </c>
      <c r="J220" s="271" t="s">
        <v>152</v>
      </c>
      <c r="K220" s="224" t="s">
        <v>147</v>
      </c>
      <c r="L220" s="224" t="s">
        <v>41</v>
      </c>
    </row>
    <row r="221" spans="1:12" x14ac:dyDescent="0.25">
      <c r="A221" s="246">
        <v>24</v>
      </c>
      <c r="B221" s="352" t="s">
        <v>2741</v>
      </c>
      <c r="C221" s="233" t="s">
        <v>2742</v>
      </c>
      <c r="D221" s="230" t="s">
        <v>160</v>
      </c>
      <c r="E221" s="230" t="s">
        <v>661</v>
      </c>
      <c r="F221" s="230" t="s">
        <v>55</v>
      </c>
      <c r="G221" s="231"/>
      <c r="H221" s="230" t="s">
        <v>40</v>
      </c>
      <c r="I221" s="236">
        <v>1000</v>
      </c>
      <c r="J221" s="271" t="s">
        <v>152</v>
      </c>
      <c r="K221" s="224" t="s">
        <v>147</v>
      </c>
      <c r="L221" s="224" t="s">
        <v>41</v>
      </c>
    </row>
    <row r="222" spans="1:12" x14ac:dyDescent="0.25">
      <c r="A222" s="246">
        <v>24</v>
      </c>
      <c r="B222" s="352" t="s">
        <v>2743</v>
      </c>
      <c r="C222" s="233" t="s">
        <v>2744</v>
      </c>
      <c r="D222" s="230" t="s">
        <v>160</v>
      </c>
      <c r="E222" s="230" t="s">
        <v>2745</v>
      </c>
      <c r="F222" s="230" t="s">
        <v>55</v>
      </c>
      <c r="G222" s="231"/>
      <c r="H222" s="230" t="s">
        <v>40</v>
      </c>
      <c r="I222" s="236">
        <v>1000</v>
      </c>
      <c r="J222" s="271" t="s">
        <v>152</v>
      </c>
      <c r="K222" s="224" t="s">
        <v>147</v>
      </c>
      <c r="L222" s="224" t="s">
        <v>41</v>
      </c>
    </row>
    <row r="223" spans="1:12" x14ac:dyDescent="0.25">
      <c r="A223" s="246">
        <v>24</v>
      </c>
      <c r="B223" s="352" t="s">
        <v>2746</v>
      </c>
      <c r="C223" s="233" t="s">
        <v>2747</v>
      </c>
      <c r="D223" s="230" t="s">
        <v>160</v>
      </c>
      <c r="E223" s="230" t="s">
        <v>2745</v>
      </c>
      <c r="F223" s="230" t="s">
        <v>55</v>
      </c>
      <c r="G223" s="231"/>
      <c r="H223" s="230" t="s">
        <v>40</v>
      </c>
      <c r="I223" s="236">
        <v>1000</v>
      </c>
      <c r="J223" s="271" t="s">
        <v>152</v>
      </c>
      <c r="K223" s="224" t="s">
        <v>147</v>
      </c>
      <c r="L223" s="224" t="s">
        <v>41</v>
      </c>
    </row>
    <row r="224" spans="1:12" x14ac:dyDescent="0.25">
      <c r="A224" s="246">
        <v>24</v>
      </c>
      <c r="B224" s="352" t="s">
        <v>2746</v>
      </c>
      <c r="C224" s="233" t="s">
        <v>2748</v>
      </c>
      <c r="D224" s="230" t="s">
        <v>160</v>
      </c>
      <c r="E224" s="230" t="s">
        <v>2749</v>
      </c>
      <c r="F224" s="230" t="s">
        <v>55</v>
      </c>
      <c r="G224" s="231"/>
      <c r="H224" s="230" t="s">
        <v>40</v>
      </c>
      <c r="I224" s="236">
        <v>1000</v>
      </c>
      <c r="J224" s="271" t="s">
        <v>152</v>
      </c>
      <c r="K224" s="224" t="s">
        <v>147</v>
      </c>
      <c r="L224" s="224" t="s">
        <v>41</v>
      </c>
    </row>
    <row r="225" spans="1:17" x14ac:dyDescent="0.25">
      <c r="A225" s="246">
        <v>24</v>
      </c>
      <c r="B225" s="352" t="s">
        <v>2413</v>
      </c>
      <c r="C225" s="233" t="s">
        <v>1776</v>
      </c>
      <c r="D225" s="230" t="s">
        <v>160</v>
      </c>
      <c r="E225" s="230" t="s">
        <v>2740</v>
      </c>
      <c r="F225" s="230" t="s">
        <v>55</v>
      </c>
      <c r="G225" s="231"/>
      <c r="H225" s="230" t="s">
        <v>40</v>
      </c>
      <c r="I225" s="236">
        <v>1000</v>
      </c>
      <c r="J225" s="271" t="s">
        <v>152</v>
      </c>
      <c r="K225" s="224" t="s">
        <v>147</v>
      </c>
      <c r="L225" s="224" t="s">
        <v>41</v>
      </c>
    </row>
    <row r="226" spans="1:17" x14ac:dyDescent="0.25">
      <c r="A226" s="246">
        <v>24</v>
      </c>
      <c r="B226" s="352" t="s">
        <v>2750</v>
      </c>
      <c r="C226" s="233" t="s">
        <v>2751</v>
      </c>
      <c r="D226" s="230" t="s">
        <v>160</v>
      </c>
      <c r="E226" s="230" t="s">
        <v>2752</v>
      </c>
      <c r="F226" s="230" t="s">
        <v>55</v>
      </c>
      <c r="G226" s="231"/>
      <c r="H226" s="230" t="s">
        <v>40</v>
      </c>
      <c r="I226" s="236">
        <v>1000</v>
      </c>
      <c r="J226" s="271" t="s">
        <v>152</v>
      </c>
      <c r="K226" s="224" t="s">
        <v>147</v>
      </c>
      <c r="L226" s="224" t="s">
        <v>41</v>
      </c>
    </row>
    <row r="227" spans="1:17" x14ac:dyDescent="0.25">
      <c r="A227" s="246">
        <v>27</v>
      </c>
      <c r="B227" s="352" t="s">
        <v>2709</v>
      </c>
      <c r="C227" s="233" t="s">
        <v>2710</v>
      </c>
      <c r="D227" s="230" t="s">
        <v>160</v>
      </c>
      <c r="E227" s="230" t="s">
        <v>519</v>
      </c>
      <c r="F227" s="230" t="s">
        <v>56</v>
      </c>
      <c r="G227" s="231" t="s">
        <v>2711</v>
      </c>
      <c r="H227" s="230" t="s">
        <v>40</v>
      </c>
      <c r="I227" s="236">
        <v>550</v>
      </c>
      <c r="J227" s="271">
        <v>110</v>
      </c>
      <c r="K227" s="224" t="s">
        <v>147</v>
      </c>
      <c r="L227" s="224" t="s">
        <v>41</v>
      </c>
    </row>
    <row r="228" spans="1:17" x14ac:dyDescent="0.25">
      <c r="A228" s="246">
        <v>27</v>
      </c>
      <c r="B228" s="352" t="s">
        <v>1414</v>
      </c>
      <c r="C228" s="233" t="s">
        <v>1415</v>
      </c>
      <c r="D228" s="230" t="s">
        <v>160</v>
      </c>
      <c r="E228" s="230" t="s">
        <v>1416</v>
      </c>
      <c r="F228" s="230" t="s">
        <v>47</v>
      </c>
      <c r="G228" s="231"/>
      <c r="H228" s="399" t="s">
        <v>465</v>
      </c>
      <c r="I228" s="236">
        <v>1500</v>
      </c>
      <c r="J228" s="271">
        <v>1500</v>
      </c>
      <c r="K228" s="224" t="s">
        <v>147</v>
      </c>
      <c r="L228" s="224" t="s">
        <v>41</v>
      </c>
    </row>
    <row r="229" spans="1:17" x14ac:dyDescent="0.25">
      <c r="A229" s="246">
        <v>27</v>
      </c>
      <c r="B229" s="352" t="s">
        <v>2709</v>
      </c>
      <c r="C229" s="233" t="s">
        <v>2105</v>
      </c>
      <c r="D229" s="230" t="s">
        <v>160</v>
      </c>
      <c r="E229" s="230" t="s">
        <v>519</v>
      </c>
      <c r="F229" s="230" t="s">
        <v>56</v>
      </c>
      <c r="G229" s="231" t="s">
        <v>2712</v>
      </c>
      <c r="H229" s="230" t="s">
        <v>40</v>
      </c>
      <c r="I229" s="236">
        <v>700</v>
      </c>
      <c r="J229" s="271">
        <v>140</v>
      </c>
      <c r="K229" s="224" t="s">
        <v>147</v>
      </c>
      <c r="L229" s="224" t="s">
        <v>41</v>
      </c>
      <c r="Q229" s="69">
        <f>SUM(I229:I231,I227,I236:I237,I239:I241,I244:I247,I249:I250,I253:I256,I258:I261,I263:I265,I267,I269:I272)</f>
        <v>51500</v>
      </c>
    </row>
    <row r="230" spans="1:17" x14ac:dyDescent="0.25">
      <c r="A230" s="246">
        <v>27</v>
      </c>
      <c r="B230" s="352" t="s">
        <v>1564</v>
      </c>
      <c r="C230" s="233" t="s">
        <v>2713</v>
      </c>
      <c r="D230" s="230" t="s">
        <v>160</v>
      </c>
      <c r="E230" s="230" t="s">
        <v>167</v>
      </c>
      <c r="F230" s="230" t="s">
        <v>43</v>
      </c>
      <c r="G230" s="231"/>
      <c r="H230" s="230" t="s">
        <v>40</v>
      </c>
      <c r="I230" s="236">
        <v>1000</v>
      </c>
      <c r="J230" s="271">
        <v>200</v>
      </c>
      <c r="K230" s="224" t="s">
        <v>147</v>
      </c>
      <c r="L230" s="224" t="s">
        <v>41</v>
      </c>
    </row>
    <row r="231" spans="1:17" x14ac:dyDescent="0.25">
      <c r="A231" s="246">
        <v>27</v>
      </c>
      <c r="B231" s="352" t="s">
        <v>2714</v>
      </c>
      <c r="C231" s="233" t="s">
        <v>2715</v>
      </c>
      <c r="D231" s="230" t="s">
        <v>160</v>
      </c>
      <c r="E231" s="230" t="s">
        <v>2716</v>
      </c>
      <c r="F231" s="230" t="s">
        <v>59</v>
      </c>
      <c r="G231" s="231" t="s">
        <v>2717</v>
      </c>
      <c r="H231" s="230" t="s">
        <v>40</v>
      </c>
      <c r="I231" s="236">
        <v>5000</v>
      </c>
      <c r="J231" s="271">
        <v>1000</v>
      </c>
      <c r="K231" s="224" t="s">
        <v>147</v>
      </c>
      <c r="L231" s="224" t="s">
        <v>41</v>
      </c>
    </row>
    <row r="232" spans="1:17" x14ac:dyDescent="0.25">
      <c r="A232" s="246">
        <v>27</v>
      </c>
      <c r="B232" s="352" t="s">
        <v>1831</v>
      </c>
      <c r="C232" s="233" t="s">
        <v>2718</v>
      </c>
      <c r="D232" s="230" t="s">
        <v>160</v>
      </c>
      <c r="E232" s="230" t="s">
        <v>2703</v>
      </c>
      <c r="F232" s="230" t="s">
        <v>49</v>
      </c>
      <c r="G232" s="231" t="s">
        <v>2719</v>
      </c>
      <c r="H232" s="399" t="s">
        <v>465</v>
      </c>
      <c r="I232" s="236">
        <v>200</v>
      </c>
      <c r="J232" s="271">
        <v>200</v>
      </c>
      <c r="K232" s="224" t="s">
        <v>147</v>
      </c>
      <c r="L232" s="224" t="s">
        <v>41</v>
      </c>
    </row>
    <row r="233" spans="1:17" x14ac:dyDescent="0.25">
      <c r="A233" s="246">
        <v>27</v>
      </c>
      <c r="B233" s="352" t="s">
        <v>2720</v>
      </c>
      <c r="C233" s="233" t="s">
        <v>1864</v>
      </c>
      <c r="D233" s="230" t="s">
        <v>160</v>
      </c>
      <c r="E233" s="230" t="s">
        <v>2721</v>
      </c>
      <c r="F233" s="230" t="s">
        <v>48</v>
      </c>
      <c r="G233" s="231" t="s">
        <v>2722</v>
      </c>
      <c r="H233" s="450" t="s">
        <v>1911</v>
      </c>
      <c r="I233" s="236">
        <v>50</v>
      </c>
      <c r="J233" s="271">
        <v>250</v>
      </c>
      <c r="K233" s="224" t="s">
        <v>147</v>
      </c>
      <c r="L233" s="224" t="s">
        <v>41</v>
      </c>
    </row>
    <row r="234" spans="1:17" x14ac:dyDescent="0.25">
      <c r="A234" s="246">
        <v>27</v>
      </c>
      <c r="B234" s="352" t="s">
        <v>2624</v>
      </c>
      <c r="C234" s="233" t="s">
        <v>2723</v>
      </c>
      <c r="D234" s="230" t="s">
        <v>160</v>
      </c>
      <c r="E234" s="230" t="s">
        <v>2626</v>
      </c>
      <c r="F234" s="230" t="s">
        <v>47</v>
      </c>
      <c r="G234" s="231" t="s">
        <v>2724</v>
      </c>
      <c r="H234" s="354" t="s">
        <v>1420</v>
      </c>
      <c r="I234" s="236">
        <v>1500</v>
      </c>
      <c r="J234" s="271">
        <v>750</v>
      </c>
      <c r="K234" s="224" t="s">
        <v>147</v>
      </c>
      <c r="L234" s="224" t="s">
        <v>41</v>
      </c>
    </row>
    <row r="235" spans="1:17" x14ac:dyDescent="0.25">
      <c r="A235" s="246">
        <v>27</v>
      </c>
      <c r="B235" s="352" t="s">
        <v>2624</v>
      </c>
      <c r="C235" s="233" t="s">
        <v>2723</v>
      </c>
      <c r="D235" s="230" t="s">
        <v>160</v>
      </c>
      <c r="E235" s="230" t="s">
        <v>2626</v>
      </c>
      <c r="F235" s="230" t="s">
        <v>47</v>
      </c>
      <c r="G235" s="231" t="s">
        <v>2724</v>
      </c>
      <c r="H235" s="450" t="s">
        <v>1911</v>
      </c>
      <c r="I235" s="236">
        <v>10</v>
      </c>
      <c r="J235" s="271">
        <v>50</v>
      </c>
      <c r="K235" s="224" t="s">
        <v>147</v>
      </c>
      <c r="L235" s="224" t="s">
        <v>41</v>
      </c>
    </row>
    <row r="236" spans="1:17" x14ac:dyDescent="0.25">
      <c r="A236" s="246">
        <v>27</v>
      </c>
      <c r="B236" s="352" t="s">
        <v>2725</v>
      </c>
      <c r="C236" s="233" t="s">
        <v>2436</v>
      </c>
      <c r="D236" s="230" t="s">
        <v>160</v>
      </c>
      <c r="E236" s="230" t="s">
        <v>331</v>
      </c>
      <c r="F236" s="230" t="s">
        <v>43</v>
      </c>
      <c r="G236" s="231"/>
      <c r="H236" s="230" t="s">
        <v>40</v>
      </c>
      <c r="I236" s="236">
        <v>600</v>
      </c>
      <c r="J236" s="271">
        <v>120</v>
      </c>
      <c r="K236" s="224" t="s">
        <v>147</v>
      </c>
      <c r="L236" s="224" t="s">
        <v>41</v>
      </c>
    </row>
    <row r="237" spans="1:17" x14ac:dyDescent="0.25">
      <c r="A237" s="246">
        <v>27</v>
      </c>
      <c r="B237" s="352" t="s">
        <v>1944</v>
      </c>
      <c r="C237" s="233" t="s">
        <v>2559</v>
      </c>
      <c r="D237" s="230" t="s">
        <v>160</v>
      </c>
      <c r="E237" s="230" t="s">
        <v>299</v>
      </c>
      <c r="F237" s="230" t="s">
        <v>42</v>
      </c>
      <c r="G237" s="231" t="s">
        <v>976</v>
      </c>
      <c r="H237" s="230" t="s">
        <v>40</v>
      </c>
      <c r="I237" s="236">
        <v>1500</v>
      </c>
      <c r="J237" s="271">
        <v>300</v>
      </c>
      <c r="K237" s="224" t="s">
        <v>147</v>
      </c>
      <c r="L237" s="224" t="s">
        <v>41</v>
      </c>
    </row>
    <row r="238" spans="1:17" x14ac:dyDescent="0.25">
      <c r="A238" s="246">
        <v>27</v>
      </c>
      <c r="B238" s="352" t="s">
        <v>1944</v>
      </c>
      <c r="C238" s="233" t="s">
        <v>2559</v>
      </c>
      <c r="D238" s="230" t="s">
        <v>160</v>
      </c>
      <c r="E238" s="230" t="s">
        <v>299</v>
      </c>
      <c r="F238" s="230" t="s">
        <v>42</v>
      </c>
      <c r="G238" s="231" t="s">
        <v>976</v>
      </c>
      <c r="H238" s="399" t="s">
        <v>465</v>
      </c>
      <c r="I238" s="236">
        <v>200</v>
      </c>
      <c r="J238" s="271">
        <v>200</v>
      </c>
      <c r="K238" s="224" t="s">
        <v>147</v>
      </c>
      <c r="L238" s="224" t="s">
        <v>41</v>
      </c>
    </row>
    <row r="239" spans="1:17" x14ac:dyDescent="0.25">
      <c r="A239" s="246">
        <v>27</v>
      </c>
      <c r="B239" s="352" t="s">
        <v>2726</v>
      </c>
      <c r="C239" s="233" t="s">
        <v>2727</v>
      </c>
      <c r="D239" s="230" t="s">
        <v>160</v>
      </c>
      <c r="E239" s="230" t="s">
        <v>180</v>
      </c>
      <c r="F239" s="230" t="s">
        <v>54</v>
      </c>
      <c r="G239" s="231" t="s">
        <v>2728</v>
      </c>
      <c r="H239" s="230" t="s">
        <v>40</v>
      </c>
      <c r="I239" s="236">
        <v>3000</v>
      </c>
      <c r="J239" s="271">
        <v>600</v>
      </c>
      <c r="K239" s="224" t="s">
        <v>147</v>
      </c>
      <c r="L239" s="224" t="s">
        <v>41</v>
      </c>
    </row>
    <row r="240" spans="1:17" x14ac:dyDescent="0.25">
      <c r="A240" s="246">
        <v>27</v>
      </c>
      <c r="B240" s="352" t="s">
        <v>2729</v>
      </c>
      <c r="C240" s="233" t="s">
        <v>2730</v>
      </c>
      <c r="D240" s="230" t="s">
        <v>160</v>
      </c>
      <c r="E240" s="230" t="s">
        <v>2169</v>
      </c>
      <c r="F240" s="230" t="s">
        <v>43</v>
      </c>
      <c r="G240" s="231" t="s">
        <v>2731</v>
      </c>
      <c r="H240" s="230" t="s">
        <v>40</v>
      </c>
      <c r="I240" s="236">
        <v>600</v>
      </c>
      <c r="J240" s="271">
        <v>120</v>
      </c>
      <c r="K240" s="224" t="s">
        <v>147</v>
      </c>
      <c r="L240" s="224" t="s">
        <v>41</v>
      </c>
    </row>
    <row r="241" spans="1:12" x14ac:dyDescent="0.25">
      <c r="A241" s="246">
        <v>27</v>
      </c>
      <c r="B241" s="352" t="s">
        <v>1666</v>
      </c>
      <c r="C241" s="233" t="s">
        <v>1443</v>
      </c>
      <c r="D241" s="230" t="s">
        <v>160</v>
      </c>
      <c r="E241" s="230" t="s">
        <v>167</v>
      </c>
      <c r="F241" s="230" t="s">
        <v>43</v>
      </c>
      <c r="G241" s="231" t="s">
        <v>2687</v>
      </c>
      <c r="H241" s="230" t="s">
        <v>40</v>
      </c>
      <c r="I241" s="236">
        <v>4000</v>
      </c>
      <c r="J241" s="271">
        <v>800</v>
      </c>
      <c r="K241" s="224" t="s">
        <v>147</v>
      </c>
      <c r="L241" s="224" t="s">
        <v>41</v>
      </c>
    </row>
    <row r="242" spans="1:12" x14ac:dyDescent="0.25">
      <c r="A242" s="246">
        <v>27</v>
      </c>
      <c r="B242" s="352" t="s">
        <v>2732</v>
      </c>
      <c r="C242" s="233" t="s">
        <v>2733</v>
      </c>
      <c r="D242" s="283" t="s">
        <v>163</v>
      </c>
      <c r="E242" s="230" t="s">
        <v>2254</v>
      </c>
      <c r="F242" s="230" t="s">
        <v>49</v>
      </c>
      <c r="G242" s="231" t="s">
        <v>2734</v>
      </c>
      <c r="H242" s="399" t="s">
        <v>465</v>
      </c>
      <c r="I242" s="236">
        <v>5000</v>
      </c>
      <c r="J242" s="271">
        <v>5000</v>
      </c>
      <c r="K242" s="224" t="s">
        <v>147</v>
      </c>
      <c r="L242" s="224" t="s">
        <v>41</v>
      </c>
    </row>
    <row r="243" spans="1:12" x14ac:dyDescent="0.25">
      <c r="A243" s="246">
        <v>27</v>
      </c>
      <c r="B243" s="352" t="s">
        <v>2732</v>
      </c>
      <c r="C243" s="233" t="s">
        <v>2733</v>
      </c>
      <c r="D243" s="283" t="s">
        <v>163</v>
      </c>
      <c r="E243" s="230" t="s">
        <v>2254</v>
      </c>
      <c r="F243" s="230" t="s">
        <v>49</v>
      </c>
      <c r="G243" s="231" t="s">
        <v>2734</v>
      </c>
      <c r="H243" s="354" t="s">
        <v>1420</v>
      </c>
      <c r="I243" s="236">
        <v>5000</v>
      </c>
      <c r="J243" s="271">
        <v>2500</v>
      </c>
      <c r="K243" s="224" t="s">
        <v>147</v>
      </c>
      <c r="L243" s="224" t="s">
        <v>41</v>
      </c>
    </row>
    <row r="244" spans="1:12" x14ac:dyDescent="0.25">
      <c r="A244" s="246">
        <v>27</v>
      </c>
      <c r="B244" s="352" t="s">
        <v>2333</v>
      </c>
      <c r="C244" s="233" t="s">
        <v>2735</v>
      </c>
      <c r="D244" s="230" t="s">
        <v>160</v>
      </c>
      <c r="E244" s="230" t="s">
        <v>1154</v>
      </c>
      <c r="F244" s="230" t="s">
        <v>47</v>
      </c>
      <c r="G244" s="231" t="s">
        <v>2736</v>
      </c>
      <c r="H244" s="230" t="s">
        <v>40</v>
      </c>
      <c r="I244" s="236">
        <v>500</v>
      </c>
      <c r="J244" s="271">
        <v>100</v>
      </c>
      <c r="K244" s="224" t="s">
        <v>147</v>
      </c>
      <c r="L244" s="224" t="s">
        <v>41</v>
      </c>
    </row>
    <row r="245" spans="1:12" x14ac:dyDescent="0.25">
      <c r="A245" s="246">
        <v>27</v>
      </c>
      <c r="B245" s="352" t="s">
        <v>2737</v>
      </c>
      <c r="C245" s="233" t="s">
        <v>2738</v>
      </c>
      <c r="D245" s="230" t="s">
        <v>160</v>
      </c>
      <c r="E245" s="230" t="s">
        <v>313</v>
      </c>
      <c r="F245" s="230" t="s">
        <v>49</v>
      </c>
      <c r="G245" s="231" t="s">
        <v>2739</v>
      </c>
      <c r="H245" s="230" t="s">
        <v>40</v>
      </c>
      <c r="I245" s="236">
        <v>1000</v>
      </c>
      <c r="J245" s="271">
        <v>200</v>
      </c>
      <c r="K245" s="224" t="s">
        <v>147</v>
      </c>
      <c r="L245" s="224" t="s">
        <v>41</v>
      </c>
    </row>
    <row r="246" spans="1:12" x14ac:dyDescent="0.25">
      <c r="A246" s="246">
        <v>27</v>
      </c>
      <c r="B246" s="352" t="s">
        <v>2293</v>
      </c>
      <c r="C246" s="233" t="s">
        <v>2459</v>
      </c>
      <c r="D246" s="283" t="s">
        <v>163</v>
      </c>
      <c r="E246" s="230" t="s">
        <v>167</v>
      </c>
      <c r="F246" s="230" t="s">
        <v>43</v>
      </c>
      <c r="G246" s="231" t="s">
        <v>1011</v>
      </c>
      <c r="H246" s="230" t="s">
        <v>40</v>
      </c>
      <c r="I246" s="236">
        <v>20000</v>
      </c>
      <c r="J246" s="271">
        <v>4000</v>
      </c>
      <c r="K246" s="224" t="s">
        <v>147</v>
      </c>
      <c r="L246" s="224" t="s">
        <v>41</v>
      </c>
    </row>
    <row r="247" spans="1:12" x14ac:dyDescent="0.25">
      <c r="A247" s="246">
        <v>27</v>
      </c>
      <c r="B247" s="352" t="s">
        <v>2753</v>
      </c>
      <c r="C247" s="233" t="s">
        <v>2754</v>
      </c>
      <c r="D247" s="230" t="s">
        <v>160</v>
      </c>
      <c r="E247" s="230" t="s">
        <v>1909</v>
      </c>
      <c r="F247" s="230" t="s">
        <v>49</v>
      </c>
      <c r="G247" s="231" t="s">
        <v>2755</v>
      </c>
      <c r="H247" s="230" t="s">
        <v>40</v>
      </c>
      <c r="I247" s="236">
        <v>1000</v>
      </c>
      <c r="J247" s="271">
        <v>200</v>
      </c>
      <c r="K247" s="224" t="s">
        <v>147</v>
      </c>
      <c r="L247" s="224" t="s">
        <v>41</v>
      </c>
    </row>
    <row r="248" spans="1:12" x14ac:dyDescent="0.25">
      <c r="A248" s="246">
        <v>27</v>
      </c>
      <c r="B248" s="352" t="s">
        <v>2753</v>
      </c>
      <c r="C248" s="233" t="s">
        <v>2754</v>
      </c>
      <c r="D248" s="230" t="s">
        <v>160</v>
      </c>
      <c r="E248" s="230" t="s">
        <v>1909</v>
      </c>
      <c r="F248" s="230" t="s">
        <v>49</v>
      </c>
      <c r="G248" s="231" t="s">
        <v>2755</v>
      </c>
      <c r="H248" s="399" t="s">
        <v>465</v>
      </c>
      <c r="I248" s="236">
        <v>500</v>
      </c>
      <c r="J248" s="271">
        <v>500</v>
      </c>
      <c r="K248" s="224" t="s">
        <v>147</v>
      </c>
      <c r="L248" s="224" t="s">
        <v>41</v>
      </c>
    </row>
    <row r="249" spans="1:12" x14ac:dyDescent="0.25">
      <c r="A249" s="246">
        <v>27</v>
      </c>
      <c r="B249" s="352" t="s">
        <v>2756</v>
      </c>
      <c r="C249" s="233" t="s">
        <v>2757</v>
      </c>
      <c r="D249" s="230" t="s">
        <v>160</v>
      </c>
      <c r="E249" s="230" t="s">
        <v>329</v>
      </c>
      <c r="F249" s="230" t="s">
        <v>54</v>
      </c>
      <c r="G249" s="231"/>
      <c r="H249" s="230" t="s">
        <v>40</v>
      </c>
      <c r="I249" s="236">
        <v>500</v>
      </c>
      <c r="J249" s="271">
        <v>100</v>
      </c>
      <c r="K249" s="224" t="s">
        <v>147</v>
      </c>
      <c r="L249" s="224" t="s">
        <v>41</v>
      </c>
    </row>
    <row r="250" spans="1:12" x14ac:dyDescent="0.25">
      <c r="A250" s="246">
        <v>27</v>
      </c>
      <c r="B250" s="352" t="s">
        <v>2758</v>
      </c>
      <c r="C250" s="233" t="s">
        <v>1406</v>
      </c>
      <c r="D250" s="230" t="s">
        <v>160</v>
      </c>
      <c r="E250" s="230" t="s">
        <v>2759</v>
      </c>
      <c r="F250" s="230" t="s">
        <v>60</v>
      </c>
      <c r="G250" s="231"/>
      <c r="H250" s="230" t="s">
        <v>40</v>
      </c>
      <c r="I250" s="236">
        <v>500</v>
      </c>
      <c r="J250" s="271">
        <v>100</v>
      </c>
      <c r="K250" s="224" t="s">
        <v>147</v>
      </c>
      <c r="L250" s="224" t="s">
        <v>41</v>
      </c>
    </row>
    <row r="251" spans="1:12" x14ac:dyDescent="0.25">
      <c r="A251" s="246">
        <v>27</v>
      </c>
      <c r="B251" s="352" t="s">
        <v>2760</v>
      </c>
      <c r="C251" s="233" t="s">
        <v>2761</v>
      </c>
      <c r="D251" s="230" t="s">
        <v>160</v>
      </c>
      <c r="E251" s="230" t="s">
        <v>954</v>
      </c>
      <c r="F251" s="230" t="s">
        <v>43</v>
      </c>
      <c r="G251" s="231"/>
      <c r="H251" s="399" t="s">
        <v>465</v>
      </c>
      <c r="I251" s="236">
        <v>100</v>
      </c>
      <c r="J251" s="271">
        <v>100</v>
      </c>
      <c r="K251" s="224" t="s">
        <v>147</v>
      </c>
      <c r="L251" s="224" t="s">
        <v>41</v>
      </c>
    </row>
    <row r="252" spans="1:12" x14ac:dyDescent="0.25">
      <c r="A252" s="246">
        <v>27</v>
      </c>
      <c r="B252" s="352" t="s">
        <v>2760</v>
      </c>
      <c r="C252" s="233" t="s">
        <v>2761</v>
      </c>
      <c r="D252" s="230" t="s">
        <v>160</v>
      </c>
      <c r="E252" s="230" t="s">
        <v>954</v>
      </c>
      <c r="F252" s="230" t="s">
        <v>43</v>
      </c>
      <c r="G252" s="231"/>
      <c r="H252" s="450" t="s">
        <v>1911</v>
      </c>
      <c r="I252" s="236">
        <v>20</v>
      </c>
      <c r="J252" s="271">
        <v>100</v>
      </c>
      <c r="K252" s="224" t="s">
        <v>147</v>
      </c>
      <c r="L252" s="224" t="s">
        <v>41</v>
      </c>
    </row>
    <row r="253" spans="1:12" x14ac:dyDescent="0.25">
      <c r="A253" s="246">
        <v>27</v>
      </c>
      <c r="B253" s="352" t="s">
        <v>2533</v>
      </c>
      <c r="C253" s="233" t="s">
        <v>2762</v>
      </c>
      <c r="D253" s="283" t="s">
        <v>163</v>
      </c>
      <c r="E253" s="230" t="s">
        <v>388</v>
      </c>
      <c r="F253" s="230" t="s">
        <v>57</v>
      </c>
      <c r="G253" s="231" t="s">
        <v>2763</v>
      </c>
      <c r="H253" s="230" t="s">
        <v>40</v>
      </c>
      <c r="I253" s="236">
        <v>3000</v>
      </c>
      <c r="J253" s="271">
        <v>600</v>
      </c>
      <c r="K253" s="224" t="s">
        <v>147</v>
      </c>
      <c r="L253" s="224" t="s">
        <v>41</v>
      </c>
    </row>
    <row r="254" spans="1:12" x14ac:dyDescent="0.25">
      <c r="A254" s="246">
        <v>27</v>
      </c>
      <c r="B254" s="352" t="s">
        <v>2764</v>
      </c>
      <c r="C254" s="233" t="s">
        <v>1809</v>
      </c>
      <c r="D254" s="230" t="s">
        <v>160</v>
      </c>
      <c r="E254" s="230" t="s">
        <v>180</v>
      </c>
      <c r="F254" s="230" t="s">
        <v>54</v>
      </c>
      <c r="G254" s="231" t="s">
        <v>2765</v>
      </c>
      <c r="H254" s="230" t="s">
        <v>40</v>
      </c>
      <c r="I254" s="236">
        <v>1500</v>
      </c>
      <c r="J254" s="271">
        <v>300</v>
      </c>
      <c r="K254" s="224" t="s">
        <v>147</v>
      </c>
      <c r="L254" s="224" t="s">
        <v>41</v>
      </c>
    </row>
    <row r="255" spans="1:12" x14ac:dyDescent="0.25">
      <c r="A255" s="246">
        <v>27</v>
      </c>
      <c r="B255" s="352" t="s">
        <v>2766</v>
      </c>
      <c r="C255" s="233" t="s">
        <v>2767</v>
      </c>
      <c r="D255" s="230" t="s">
        <v>160</v>
      </c>
      <c r="E255" s="230" t="s">
        <v>523</v>
      </c>
      <c r="F255" s="230" t="s">
        <v>42</v>
      </c>
      <c r="G255" s="231"/>
      <c r="H255" s="230" t="s">
        <v>40</v>
      </c>
      <c r="I255" s="236">
        <v>300</v>
      </c>
      <c r="J255" s="271">
        <v>60</v>
      </c>
      <c r="K255" s="224" t="s">
        <v>147</v>
      </c>
      <c r="L255" s="224" t="s">
        <v>41</v>
      </c>
    </row>
    <row r="256" spans="1:12" x14ac:dyDescent="0.25">
      <c r="A256" s="246">
        <v>27</v>
      </c>
      <c r="B256" s="352" t="s">
        <v>2768</v>
      </c>
      <c r="C256" s="233" t="s">
        <v>1743</v>
      </c>
      <c r="D256" s="230" t="s">
        <v>160</v>
      </c>
      <c r="E256" s="230" t="s">
        <v>211</v>
      </c>
      <c r="F256" s="230" t="s">
        <v>47</v>
      </c>
      <c r="G256" s="231"/>
      <c r="H256" s="230" t="s">
        <v>40</v>
      </c>
      <c r="I256" s="236">
        <v>300</v>
      </c>
      <c r="J256" s="271">
        <v>60</v>
      </c>
      <c r="K256" s="224" t="s">
        <v>147</v>
      </c>
      <c r="L256" s="224" t="s">
        <v>41</v>
      </c>
    </row>
    <row r="257" spans="1:12" x14ac:dyDescent="0.25">
      <c r="A257" s="246">
        <v>27</v>
      </c>
      <c r="B257" s="352" t="s">
        <v>2768</v>
      </c>
      <c r="C257" s="233" t="s">
        <v>1743</v>
      </c>
      <c r="D257" s="230" t="s">
        <v>160</v>
      </c>
      <c r="E257" s="230" t="s">
        <v>211</v>
      </c>
      <c r="F257" s="230" t="s">
        <v>47</v>
      </c>
      <c r="G257" s="231"/>
      <c r="H257" s="399" t="s">
        <v>465</v>
      </c>
      <c r="I257" s="236">
        <v>50</v>
      </c>
      <c r="J257" s="271">
        <v>50</v>
      </c>
      <c r="K257" s="224" t="s">
        <v>147</v>
      </c>
      <c r="L257" s="224" t="s">
        <v>41</v>
      </c>
    </row>
    <row r="258" spans="1:12" x14ac:dyDescent="0.25">
      <c r="A258" s="246">
        <v>27</v>
      </c>
      <c r="B258" s="352" t="s">
        <v>2574</v>
      </c>
      <c r="C258" s="233" t="s">
        <v>2769</v>
      </c>
      <c r="D258" s="230" t="s">
        <v>160</v>
      </c>
      <c r="E258" s="230" t="s">
        <v>259</v>
      </c>
      <c r="F258" s="230" t="s">
        <v>49</v>
      </c>
      <c r="G258" s="231" t="s">
        <v>2770</v>
      </c>
      <c r="H258" s="230" t="s">
        <v>40</v>
      </c>
      <c r="I258" s="236">
        <v>300</v>
      </c>
      <c r="J258" s="271">
        <v>60</v>
      </c>
      <c r="K258" s="224" t="s">
        <v>147</v>
      </c>
      <c r="L258" s="224" t="s">
        <v>41</v>
      </c>
    </row>
    <row r="259" spans="1:12" x14ac:dyDescent="0.25">
      <c r="A259" s="246">
        <v>27</v>
      </c>
      <c r="B259" s="352" t="s">
        <v>1990</v>
      </c>
      <c r="C259" s="233" t="s">
        <v>1552</v>
      </c>
      <c r="D259" s="230" t="s">
        <v>160</v>
      </c>
      <c r="E259" s="230" t="s">
        <v>2703</v>
      </c>
      <c r="F259" s="230" t="s">
        <v>49</v>
      </c>
      <c r="G259" s="231" t="s">
        <v>2771</v>
      </c>
      <c r="H259" s="230" t="s">
        <v>40</v>
      </c>
      <c r="I259" s="236">
        <v>400</v>
      </c>
      <c r="J259" s="271">
        <v>80</v>
      </c>
      <c r="K259" s="224" t="s">
        <v>147</v>
      </c>
      <c r="L259" s="224" t="s">
        <v>41</v>
      </c>
    </row>
    <row r="260" spans="1:12" x14ac:dyDescent="0.25">
      <c r="A260" s="246">
        <v>27</v>
      </c>
      <c r="B260" s="352" t="s">
        <v>2772</v>
      </c>
      <c r="C260" s="233" t="s">
        <v>2773</v>
      </c>
      <c r="D260" s="230" t="s">
        <v>160</v>
      </c>
      <c r="E260" s="230" t="s">
        <v>2169</v>
      </c>
      <c r="F260" s="230" t="s">
        <v>43</v>
      </c>
      <c r="G260" s="231" t="s">
        <v>2774</v>
      </c>
      <c r="H260" s="230" t="s">
        <v>40</v>
      </c>
      <c r="I260" s="236">
        <v>500</v>
      </c>
      <c r="J260" s="271">
        <v>100</v>
      </c>
      <c r="K260" s="224" t="s">
        <v>147</v>
      </c>
      <c r="L260" s="224" t="s">
        <v>41</v>
      </c>
    </row>
    <row r="261" spans="1:12" x14ac:dyDescent="0.25">
      <c r="A261" s="246">
        <v>27</v>
      </c>
      <c r="B261" s="352" t="s">
        <v>2775</v>
      </c>
      <c r="C261" s="233" t="s">
        <v>2776</v>
      </c>
      <c r="D261" s="283" t="s">
        <v>163</v>
      </c>
      <c r="E261" s="230" t="s">
        <v>1176</v>
      </c>
      <c r="F261" s="230" t="s">
        <v>56</v>
      </c>
      <c r="G261" s="231" t="s">
        <v>2777</v>
      </c>
      <c r="H261" s="230" t="s">
        <v>40</v>
      </c>
      <c r="I261" s="236">
        <v>200</v>
      </c>
      <c r="J261" s="271">
        <v>40</v>
      </c>
      <c r="K261" s="224" t="s">
        <v>147</v>
      </c>
      <c r="L261" s="224" t="s">
        <v>41</v>
      </c>
    </row>
    <row r="262" spans="1:12" x14ac:dyDescent="0.25">
      <c r="A262" s="246">
        <v>27</v>
      </c>
      <c r="B262" s="352" t="s">
        <v>2775</v>
      </c>
      <c r="C262" s="233" t="s">
        <v>2776</v>
      </c>
      <c r="D262" s="283" t="s">
        <v>163</v>
      </c>
      <c r="E262" s="230" t="s">
        <v>1176</v>
      </c>
      <c r="F262" s="230" t="s">
        <v>56</v>
      </c>
      <c r="G262" s="231" t="s">
        <v>2777</v>
      </c>
      <c r="H262" s="354" t="s">
        <v>1420</v>
      </c>
      <c r="I262" s="236">
        <v>200</v>
      </c>
      <c r="J262" s="271">
        <v>100</v>
      </c>
      <c r="K262" s="224" t="s">
        <v>147</v>
      </c>
      <c r="L262" s="224" t="s">
        <v>41</v>
      </c>
    </row>
    <row r="263" spans="1:12" x14ac:dyDescent="0.25">
      <c r="A263" s="246">
        <v>27</v>
      </c>
      <c r="B263" s="352" t="s">
        <v>2778</v>
      </c>
      <c r="C263" s="233" t="s">
        <v>2779</v>
      </c>
      <c r="D263" s="230" t="s">
        <v>160</v>
      </c>
      <c r="E263" s="230" t="s">
        <v>2169</v>
      </c>
      <c r="F263" s="230" t="s">
        <v>43</v>
      </c>
      <c r="G263" s="231"/>
      <c r="H263" s="230" t="s">
        <v>40</v>
      </c>
      <c r="I263" s="236">
        <v>350</v>
      </c>
      <c r="J263" s="271">
        <v>70</v>
      </c>
      <c r="K263" s="224" t="s">
        <v>147</v>
      </c>
      <c r="L263" s="224" t="s">
        <v>41</v>
      </c>
    </row>
    <row r="264" spans="1:12" x14ac:dyDescent="0.25">
      <c r="A264" s="246">
        <v>27</v>
      </c>
      <c r="B264" s="352" t="s">
        <v>2780</v>
      </c>
      <c r="C264" s="233" t="s">
        <v>1534</v>
      </c>
      <c r="D264" s="230" t="s">
        <v>160</v>
      </c>
      <c r="E264" s="230"/>
      <c r="F264" s="230" t="s">
        <v>54</v>
      </c>
      <c r="G264" s="231" t="s">
        <v>2781</v>
      </c>
      <c r="H264" s="230" t="s">
        <v>40</v>
      </c>
      <c r="I264" s="236">
        <v>700</v>
      </c>
      <c r="J264" s="271">
        <v>140</v>
      </c>
      <c r="K264" s="224" t="s">
        <v>147</v>
      </c>
      <c r="L264" s="224" t="s">
        <v>41</v>
      </c>
    </row>
    <row r="265" spans="1:12" x14ac:dyDescent="0.25">
      <c r="A265" s="246">
        <v>27</v>
      </c>
      <c r="B265" s="352" t="s">
        <v>2746</v>
      </c>
      <c r="C265" s="233" t="s">
        <v>2782</v>
      </c>
      <c r="D265" s="283" t="s">
        <v>163</v>
      </c>
      <c r="E265" s="230" t="s">
        <v>2745</v>
      </c>
      <c r="F265" s="230" t="s">
        <v>55</v>
      </c>
      <c r="G265" s="231" t="s">
        <v>2783</v>
      </c>
      <c r="H265" s="230" t="s">
        <v>40</v>
      </c>
      <c r="I265" s="236">
        <v>500</v>
      </c>
      <c r="J265" s="271">
        <v>100</v>
      </c>
      <c r="K265" s="224" t="s">
        <v>147</v>
      </c>
      <c r="L265" s="224" t="s">
        <v>41</v>
      </c>
    </row>
    <row r="266" spans="1:12" x14ac:dyDescent="0.25">
      <c r="A266" s="246">
        <v>27</v>
      </c>
      <c r="B266" s="352" t="s">
        <v>2784</v>
      </c>
      <c r="C266" s="233" t="s">
        <v>2785</v>
      </c>
      <c r="D266" s="283" t="s">
        <v>163</v>
      </c>
      <c r="E266" s="230" t="s">
        <v>2786</v>
      </c>
      <c r="F266" s="230" t="s">
        <v>73</v>
      </c>
      <c r="G266" s="231" t="s">
        <v>2787</v>
      </c>
      <c r="H266" s="399" t="s">
        <v>465</v>
      </c>
      <c r="I266" s="236">
        <v>50</v>
      </c>
      <c r="J266" s="271">
        <v>50</v>
      </c>
      <c r="K266" s="224" t="s">
        <v>147</v>
      </c>
      <c r="L266" s="224" t="s">
        <v>41</v>
      </c>
    </row>
    <row r="267" spans="1:12" x14ac:dyDescent="0.25">
      <c r="A267" s="246">
        <v>27</v>
      </c>
      <c r="B267" s="352" t="s">
        <v>2788</v>
      </c>
      <c r="C267" s="233" t="s">
        <v>2789</v>
      </c>
      <c r="D267" s="283" t="s">
        <v>163</v>
      </c>
      <c r="E267" s="230"/>
      <c r="F267" s="230" t="s">
        <v>48</v>
      </c>
      <c r="G267" s="231" t="s">
        <v>750</v>
      </c>
      <c r="H267" s="230" t="s">
        <v>40</v>
      </c>
      <c r="I267" s="236">
        <v>500</v>
      </c>
      <c r="J267" s="271">
        <v>100</v>
      </c>
      <c r="K267" s="224" t="s">
        <v>147</v>
      </c>
      <c r="L267" s="224" t="s">
        <v>41</v>
      </c>
    </row>
    <row r="268" spans="1:12" x14ac:dyDescent="0.25">
      <c r="A268" s="246">
        <v>27</v>
      </c>
      <c r="B268" s="352" t="s">
        <v>2788</v>
      </c>
      <c r="C268" s="233" t="s">
        <v>2789</v>
      </c>
      <c r="D268" s="283" t="s">
        <v>163</v>
      </c>
      <c r="E268" s="230"/>
      <c r="F268" s="230" t="s">
        <v>48</v>
      </c>
      <c r="G268" s="231" t="s">
        <v>750</v>
      </c>
      <c r="H268" s="354" t="s">
        <v>1420</v>
      </c>
      <c r="I268" s="236">
        <v>500</v>
      </c>
      <c r="J268" s="271">
        <v>250</v>
      </c>
      <c r="K268" s="224" t="s">
        <v>147</v>
      </c>
      <c r="L268" s="224" t="s">
        <v>41</v>
      </c>
    </row>
    <row r="269" spans="1:12" x14ac:dyDescent="0.25">
      <c r="A269" s="246">
        <v>27</v>
      </c>
      <c r="B269" s="352" t="s">
        <v>2149</v>
      </c>
      <c r="C269" s="233" t="s">
        <v>2790</v>
      </c>
      <c r="D269" s="230" t="s">
        <v>160</v>
      </c>
      <c r="E269" s="230"/>
      <c r="F269" s="230" t="s">
        <v>49</v>
      </c>
      <c r="G269" s="231" t="s">
        <v>2791</v>
      </c>
      <c r="H269" s="230" t="s">
        <v>40</v>
      </c>
      <c r="I269" s="236">
        <v>300</v>
      </c>
      <c r="J269" s="271">
        <v>60</v>
      </c>
      <c r="K269" s="224" t="s">
        <v>147</v>
      </c>
      <c r="L269" s="224" t="s">
        <v>41</v>
      </c>
    </row>
    <row r="270" spans="1:12" x14ac:dyDescent="0.25">
      <c r="A270" s="246">
        <v>27</v>
      </c>
      <c r="B270" s="352" t="s">
        <v>2792</v>
      </c>
      <c r="C270" s="233" t="s">
        <v>2793</v>
      </c>
      <c r="D270" s="283" t="s">
        <v>163</v>
      </c>
      <c r="E270" s="230" t="s">
        <v>2745</v>
      </c>
      <c r="F270" s="230" t="s">
        <v>55</v>
      </c>
      <c r="G270" s="231" t="s">
        <v>2794</v>
      </c>
      <c r="H270" s="230" t="s">
        <v>40</v>
      </c>
      <c r="I270" s="236">
        <v>500</v>
      </c>
      <c r="J270" s="271">
        <v>100</v>
      </c>
      <c r="K270" s="224" t="s">
        <v>147</v>
      </c>
      <c r="L270" s="224" t="s">
        <v>41</v>
      </c>
    </row>
    <row r="271" spans="1:12" x14ac:dyDescent="0.25">
      <c r="A271" s="246">
        <v>27</v>
      </c>
      <c r="B271" s="352" t="s">
        <v>2795</v>
      </c>
      <c r="C271" s="233" t="s">
        <v>2796</v>
      </c>
      <c r="D271" s="230" t="s">
        <v>160</v>
      </c>
      <c r="E271" s="230"/>
      <c r="F271" s="230" t="s">
        <v>55</v>
      </c>
      <c r="G271" s="231"/>
      <c r="H271" s="230" t="s">
        <v>40</v>
      </c>
      <c r="I271" s="236">
        <v>500</v>
      </c>
      <c r="J271" s="271">
        <v>100</v>
      </c>
      <c r="K271" s="224" t="s">
        <v>147</v>
      </c>
      <c r="L271" s="224" t="s">
        <v>41</v>
      </c>
    </row>
    <row r="272" spans="1:12" x14ac:dyDescent="0.25">
      <c r="A272" s="273">
        <v>27</v>
      </c>
      <c r="B272" s="352" t="s">
        <v>2797</v>
      </c>
      <c r="C272" s="233" t="s">
        <v>1318</v>
      </c>
      <c r="D272" s="230" t="s">
        <v>160</v>
      </c>
      <c r="E272" s="230"/>
      <c r="F272" s="230" t="s">
        <v>60</v>
      </c>
      <c r="G272" s="231"/>
      <c r="H272" s="230" t="s">
        <v>40</v>
      </c>
      <c r="I272" s="236">
        <v>1200</v>
      </c>
      <c r="J272" s="271">
        <v>240</v>
      </c>
      <c r="K272" s="224" t="s">
        <v>147</v>
      </c>
      <c r="L272" s="224" t="s">
        <v>41</v>
      </c>
    </row>
    <row r="273" spans="1:17" x14ac:dyDescent="0.25">
      <c r="A273" s="246"/>
      <c r="B273" s="352"/>
      <c r="C273" s="233"/>
      <c r="D273" s="230"/>
      <c r="E273" s="230"/>
      <c r="F273" s="230"/>
      <c r="G273" s="231"/>
      <c r="H273" s="230"/>
      <c r="I273" s="236"/>
      <c r="J273" s="271"/>
      <c r="K273" s="224"/>
      <c r="L273" s="224"/>
    </row>
    <row r="274" spans="1:17" x14ac:dyDescent="0.25">
      <c r="A274" s="246"/>
      <c r="B274" s="352"/>
      <c r="C274" s="233"/>
      <c r="D274" s="230"/>
      <c r="E274" s="230"/>
      <c r="F274" s="230"/>
      <c r="G274" s="231"/>
      <c r="H274" s="230"/>
      <c r="I274" s="236"/>
      <c r="J274" s="271"/>
      <c r="K274" s="224"/>
      <c r="L274" s="224"/>
    </row>
    <row r="275" spans="1:17" x14ac:dyDescent="0.25">
      <c r="A275" s="222"/>
      <c r="B275" s="353"/>
      <c r="C275" s="100"/>
      <c r="D275" s="224"/>
      <c r="E275" s="224"/>
      <c r="F275" s="224"/>
      <c r="G275" s="225"/>
      <c r="H275" s="224"/>
      <c r="I275" s="234"/>
      <c r="J275" s="235"/>
      <c r="K275" s="224"/>
      <c r="L275" s="224"/>
      <c r="N275">
        <f>SUM(N12:N194)</f>
        <v>82076</v>
      </c>
    </row>
    <row r="276" spans="1:17" x14ac:dyDescent="0.25">
      <c r="A276" s="285"/>
      <c r="B276" s="350"/>
      <c r="C276" s="60"/>
      <c r="D276" s="60"/>
      <c r="E276" s="60"/>
      <c r="F276" s="60"/>
      <c r="G276" s="60"/>
      <c r="H276" s="60"/>
      <c r="I276" s="61"/>
      <c r="J276" s="121"/>
      <c r="K276" s="60"/>
    </row>
    <row r="278" spans="1:17" x14ac:dyDescent="0.25">
      <c r="J278" s="123"/>
      <c r="K278" s="70"/>
    </row>
    <row r="279" spans="1:17" ht="16.5" customHeight="1" x14ac:dyDescent="0.25">
      <c r="C279" s="62" t="s">
        <v>20</v>
      </c>
      <c r="F279" s="62" t="s">
        <v>21</v>
      </c>
      <c r="J279" s="103" t="s">
        <v>109</v>
      </c>
      <c r="K279" s="127"/>
      <c r="Q279" s="30"/>
    </row>
    <row r="280" spans="1:17" x14ac:dyDescent="0.25">
      <c r="J280" s="103" t="s">
        <v>110</v>
      </c>
      <c r="K280" s="127"/>
      <c r="L280" s="98"/>
    </row>
    <row r="281" spans="1:17" x14ac:dyDescent="0.25">
      <c r="J281" s="103" t="s">
        <v>138</v>
      </c>
      <c r="K281" s="128"/>
    </row>
    <row r="282" spans="1:17" x14ac:dyDescent="0.25">
      <c r="C282" s="124" t="s">
        <v>1577</v>
      </c>
      <c r="F282" s="617" t="s">
        <v>157</v>
      </c>
      <c r="G282" s="617"/>
      <c r="H282" s="617"/>
      <c r="I282" s="617"/>
      <c r="J282" s="103" t="s">
        <v>1265</v>
      </c>
      <c r="K282" s="128"/>
    </row>
    <row r="283" spans="1:17" x14ac:dyDescent="0.25">
      <c r="C283" s="62" t="s">
        <v>967</v>
      </c>
      <c r="F283" s="618" t="s">
        <v>158</v>
      </c>
      <c r="G283" s="618"/>
      <c r="H283" s="618"/>
      <c r="I283" s="618"/>
      <c r="J283" s="103" t="s">
        <v>111</v>
      </c>
      <c r="K283" s="127"/>
    </row>
    <row r="284" spans="1:17" x14ac:dyDescent="0.25">
      <c r="J284" s="103" t="s">
        <v>112</v>
      </c>
      <c r="K284" s="128"/>
    </row>
    <row r="285" spans="1:17" s="62" customFormat="1" x14ac:dyDescent="0.25">
      <c r="A285" s="430"/>
      <c r="B285" s="430"/>
      <c r="J285" s="103" t="s">
        <v>114</v>
      </c>
      <c r="K285" s="288"/>
      <c r="M285"/>
      <c r="N285"/>
      <c r="O285"/>
    </row>
    <row r="286" spans="1:17" s="62" customFormat="1" x14ac:dyDescent="0.25">
      <c r="A286" s="430"/>
      <c r="B286" s="430"/>
      <c r="J286" s="103" t="s">
        <v>22</v>
      </c>
      <c r="K286" s="128"/>
      <c r="M286"/>
      <c r="N286"/>
      <c r="O286"/>
    </row>
    <row r="287" spans="1:17" s="62" customFormat="1" x14ac:dyDescent="0.25">
      <c r="A287" s="430"/>
      <c r="B287" s="430"/>
      <c r="C287" s="99"/>
      <c r="F287" s="99"/>
      <c r="G287" s="99"/>
      <c r="H287" s="99"/>
      <c r="J287" s="125" t="s">
        <v>107</v>
      </c>
      <c r="K287" s="71"/>
      <c r="M287"/>
      <c r="N287"/>
      <c r="O287"/>
    </row>
    <row r="288" spans="1:17" s="62" customFormat="1" x14ac:dyDescent="0.25">
      <c r="A288" s="430"/>
      <c r="B288" s="430"/>
      <c r="J288" s="125" t="s">
        <v>108</v>
      </c>
      <c r="K288" s="70"/>
      <c r="M288"/>
      <c r="N288"/>
      <c r="O288"/>
    </row>
    <row r="289" spans="1:15" s="62" customFormat="1" x14ac:dyDescent="0.25">
      <c r="A289" s="430"/>
      <c r="B289" s="430"/>
      <c r="J289" s="103"/>
      <c r="K289" s="70"/>
      <c r="M289"/>
      <c r="N289"/>
      <c r="O289"/>
    </row>
    <row r="290" spans="1:15" s="62" customFormat="1" x14ac:dyDescent="0.25">
      <c r="A290" s="430"/>
      <c r="B290" s="430"/>
      <c r="J290" s="103"/>
      <c r="K290" s="71"/>
      <c r="M290"/>
      <c r="N290"/>
      <c r="O290"/>
    </row>
    <row r="291" spans="1:15" s="62" customFormat="1" x14ac:dyDescent="0.25">
      <c r="A291" s="430"/>
      <c r="B291" s="430"/>
      <c r="J291" s="103"/>
      <c r="K291" s="71"/>
      <c r="M291"/>
      <c r="N291"/>
      <c r="O291"/>
    </row>
    <row r="311" spans="13:13" x14ac:dyDescent="0.25">
      <c r="M311" s="30"/>
    </row>
    <row r="334" spans="13:13" x14ac:dyDescent="0.25">
      <c r="M334" s="30"/>
    </row>
    <row r="461" spans="13:13" x14ac:dyDescent="0.25">
      <c r="M461" s="30"/>
    </row>
  </sheetData>
  <mergeCells count="8">
    <mergeCell ref="F282:I282"/>
    <mergeCell ref="F283:I283"/>
    <mergeCell ref="A1:L1"/>
    <mergeCell ref="A2:L2"/>
    <mergeCell ref="A6:C6"/>
    <mergeCell ref="G7:I7"/>
    <mergeCell ref="K7:L7"/>
    <mergeCell ref="A8:C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C852C-A5C8-48F8-B30A-EDAFAEB056D8}">
  <sheetPr>
    <tabColor theme="5"/>
  </sheetPr>
  <dimension ref="A1:O39"/>
  <sheetViews>
    <sheetView view="pageBreakPreview" topLeftCell="A4" zoomScale="96" zoomScaleNormal="100" zoomScaleSheetLayoutView="96" workbookViewId="0">
      <selection activeCell="F13" sqref="F13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1.71093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1983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/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/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411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411" t="s">
        <v>13</v>
      </c>
      <c r="L9" s="411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20.25" customHeight="1" x14ac:dyDescent="0.25">
      <c r="A12" s="294">
        <v>1</v>
      </c>
      <c r="B12" s="333" t="s">
        <v>1984</v>
      </c>
      <c r="C12" s="334"/>
      <c r="D12" s="335"/>
      <c r="E12" s="355" t="s">
        <v>80</v>
      </c>
      <c r="F12" s="336" t="s">
        <v>1986</v>
      </c>
      <c r="G12" s="333" t="s">
        <v>1985</v>
      </c>
      <c r="H12" s="333" t="s">
        <v>40</v>
      </c>
      <c r="I12" s="337">
        <v>5000</v>
      </c>
      <c r="J12" s="220" t="s">
        <v>152</v>
      </c>
      <c r="K12" s="100"/>
      <c r="L12" s="181" t="s">
        <v>41</v>
      </c>
    </row>
    <row r="13" spans="1:15" ht="22.5" customHeight="1" x14ac:dyDescent="0.25">
      <c r="A13" s="294">
        <v>8</v>
      </c>
      <c r="B13" s="333" t="s">
        <v>1984</v>
      </c>
      <c r="C13" s="334"/>
      <c r="D13" s="335"/>
      <c r="E13" s="355" t="s">
        <v>80</v>
      </c>
      <c r="F13" s="336" t="s">
        <v>1986</v>
      </c>
      <c r="G13" s="333" t="s">
        <v>1985</v>
      </c>
      <c r="H13" s="333" t="s">
        <v>40</v>
      </c>
      <c r="I13" s="337">
        <v>5000</v>
      </c>
      <c r="J13" s="220" t="s">
        <v>152</v>
      </c>
      <c r="K13" s="100"/>
      <c r="L13" s="181" t="s">
        <v>41</v>
      </c>
    </row>
    <row r="14" spans="1:15" s="62" customFormat="1" ht="20.25" customHeight="1" x14ac:dyDescent="0.25">
      <c r="A14" s="309">
        <v>9</v>
      </c>
      <c r="B14" s="333" t="s">
        <v>2056</v>
      </c>
      <c r="C14" s="334"/>
      <c r="D14" s="335"/>
      <c r="E14" s="333" t="s">
        <v>78</v>
      </c>
      <c r="F14" s="336" t="s">
        <v>2057</v>
      </c>
      <c r="G14" s="333" t="s">
        <v>2058</v>
      </c>
      <c r="H14" s="409" t="s">
        <v>40</v>
      </c>
      <c r="I14" s="343">
        <v>2000</v>
      </c>
      <c r="J14" s="220" t="s">
        <v>152</v>
      </c>
      <c r="K14" s="100"/>
      <c r="L14" s="181" t="s">
        <v>41</v>
      </c>
      <c r="M14" s="166"/>
    </row>
    <row r="15" spans="1:15" s="62" customFormat="1" ht="16.5" customHeight="1" x14ac:dyDescent="0.25">
      <c r="A15" s="295">
        <v>10</v>
      </c>
      <c r="B15" s="338" t="s">
        <v>2062</v>
      </c>
      <c r="C15" s="339"/>
      <c r="D15" s="340" t="s">
        <v>2064</v>
      </c>
      <c r="E15" s="340" t="s">
        <v>2063</v>
      </c>
      <c r="F15" s="341" t="s">
        <v>2065</v>
      </c>
      <c r="G15" s="340" t="s">
        <v>2066</v>
      </c>
      <c r="H15" s="342" t="s">
        <v>40</v>
      </c>
      <c r="I15" s="344">
        <v>50000</v>
      </c>
      <c r="J15" s="220" t="s">
        <v>152</v>
      </c>
      <c r="K15" s="100"/>
      <c r="L15" s="181" t="s">
        <v>41</v>
      </c>
      <c r="M15" s="166"/>
      <c r="O15" s="98"/>
    </row>
    <row r="16" spans="1:15" s="62" customFormat="1" ht="17.25" customHeight="1" x14ac:dyDescent="0.25">
      <c r="A16" s="275">
        <v>11</v>
      </c>
      <c r="B16" s="333" t="s">
        <v>2067</v>
      </c>
      <c r="C16" s="339"/>
      <c r="D16" s="340" t="s">
        <v>873</v>
      </c>
      <c r="E16" s="340" t="s">
        <v>48</v>
      </c>
      <c r="F16" s="341"/>
      <c r="G16" s="340" t="s">
        <v>2068</v>
      </c>
      <c r="H16" s="345" t="s">
        <v>377</v>
      </c>
      <c r="I16" s="344">
        <v>2000</v>
      </c>
      <c r="J16" s="220" t="s">
        <v>152</v>
      </c>
      <c r="K16" s="100"/>
      <c r="L16" s="181" t="s">
        <v>41</v>
      </c>
      <c r="O16" s="98"/>
    </row>
    <row r="17" spans="1:15" s="62" customFormat="1" ht="18" customHeight="1" x14ac:dyDescent="0.25">
      <c r="A17" s="295">
        <v>29</v>
      </c>
      <c r="B17" s="338" t="s">
        <v>2285</v>
      </c>
      <c r="C17" s="339"/>
      <c r="D17" s="340"/>
      <c r="E17" s="340" t="s">
        <v>44</v>
      </c>
      <c r="F17" s="341" t="s">
        <v>2284</v>
      </c>
      <c r="G17" s="428" t="s">
        <v>2286</v>
      </c>
      <c r="H17" s="345" t="s">
        <v>40</v>
      </c>
      <c r="I17" s="344">
        <v>6000</v>
      </c>
      <c r="J17" s="220" t="s">
        <v>152</v>
      </c>
      <c r="K17" s="100"/>
      <c r="L17" s="181" t="s">
        <v>41</v>
      </c>
      <c r="O17" s="98"/>
    </row>
    <row r="18" spans="1:15" s="62" customFormat="1" ht="18" customHeight="1" x14ac:dyDescent="0.25">
      <c r="A18" s="295"/>
      <c r="B18" s="338"/>
      <c r="C18" s="339"/>
      <c r="D18" s="340"/>
      <c r="E18" s="340"/>
      <c r="F18" s="341"/>
      <c r="G18" s="340"/>
      <c r="H18" s="345"/>
      <c r="I18" s="344"/>
      <c r="J18" s="220" t="s">
        <v>152</v>
      </c>
      <c r="K18" s="100"/>
      <c r="L18" s="181" t="s">
        <v>41</v>
      </c>
      <c r="O18" s="98"/>
    </row>
    <row r="19" spans="1:15" s="62" customFormat="1" ht="18" customHeight="1" x14ac:dyDescent="0.25">
      <c r="A19" s="295"/>
      <c r="B19" s="338"/>
      <c r="C19" s="339"/>
      <c r="D19" s="340"/>
      <c r="E19" s="340"/>
      <c r="F19" s="341"/>
      <c r="G19" s="340"/>
      <c r="H19" s="345"/>
      <c r="I19" s="344"/>
      <c r="J19" s="220" t="s">
        <v>152</v>
      </c>
      <c r="K19" s="100"/>
      <c r="L19" s="181" t="s">
        <v>41</v>
      </c>
      <c r="O19" s="98"/>
    </row>
    <row r="20" spans="1:15" s="62" customFormat="1" ht="18" customHeight="1" x14ac:dyDescent="0.25">
      <c r="A20" s="295"/>
      <c r="B20" s="338"/>
      <c r="C20" s="339"/>
      <c r="D20" s="340"/>
      <c r="E20" s="340"/>
      <c r="F20" s="341"/>
      <c r="G20" s="340"/>
      <c r="H20" s="345"/>
      <c r="I20" s="344"/>
      <c r="J20" s="220" t="s">
        <v>152</v>
      </c>
      <c r="K20" s="100"/>
      <c r="L20" s="181" t="s">
        <v>41</v>
      </c>
      <c r="O20" s="98"/>
    </row>
    <row r="21" spans="1:15" s="62" customFormat="1" ht="18" customHeight="1" x14ac:dyDescent="0.25">
      <c r="A21" s="295"/>
      <c r="B21" s="338"/>
      <c r="C21" s="339"/>
      <c r="D21" s="340"/>
      <c r="E21" s="340"/>
      <c r="F21" s="341"/>
      <c r="G21" s="340"/>
      <c r="H21" s="345"/>
      <c r="I21" s="344"/>
      <c r="J21" s="220" t="s">
        <v>152</v>
      </c>
      <c r="K21" s="100"/>
      <c r="L21" s="181" t="s">
        <v>41</v>
      </c>
      <c r="O21" s="98"/>
    </row>
    <row r="22" spans="1:15" s="62" customFormat="1" ht="18" customHeight="1" x14ac:dyDescent="0.25">
      <c r="A22" s="295"/>
      <c r="B22" s="277"/>
      <c r="C22" s="216"/>
      <c r="D22" s="181"/>
      <c r="E22" s="181"/>
      <c r="F22" s="217"/>
      <c r="G22" s="181"/>
      <c r="H22" s="242"/>
      <c r="I22" s="221"/>
      <c r="J22" s="220" t="s">
        <v>152</v>
      </c>
      <c r="K22" s="100"/>
      <c r="L22" s="181" t="s">
        <v>41</v>
      </c>
      <c r="O22" s="98"/>
    </row>
    <row r="23" spans="1:15" s="62" customFormat="1" ht="18" customHeight="1" x14ac:dyDescent="0.25">
      <c r="A23" s="215"/>
      <c r="B23" s="277"/>
      <c r="C23" s="216"/>
      <c r="D23" s="181"/>
      <c r="E23" s="181"/>
      <c r="F23" s="217"/>
      <c r="G23" s="181"/>
      <c r="H23" s="242"/>
      <c r="I23" s="221"/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15"/>
      <c r="B24" s="277"/>
      <c r="C24" s="216"/>
      <c r="D24" s="181"/>
      <c r="E24" s="181"/>
      <c r="F24" s="217"/>
      <c r="G24" s="181"/>
      <c r="H24" s="242"/>
      <c r="I24" s="221"/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240"/>
      <c r="B25" s="207"/>
      <c r="C25" s="100"/>
      <c r="D25" s="100"/>
      <c r="E25" s="100"/>
      <c r="F25" s="241"/>
      <c r="G25" s="218"/>
      <c r="H25" s="242"/>
      <c r="I25" s="221"/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240"/>
      <c r="B26" s="207"/>
      <c r="C26" s="100"/>
      <c r="D26" s="100"/>
      <c r="E26" s="100"/>
      <c r="F26" s="241"/>
      <c r="G26" s="100"/>
      <c r="H26" s="242"/>
      <c r="I26" s="221"/>
      <c r="J26" s="220" t="s">
        <v>152</v>
      </c>
      <c r="K26" s="100"/>
      <c r="L26" s="181" t="s">
        <v>41</v>
      </c>
      <c r="O26" s="98"/>
    </row>
    <row r="27" spans="1:15" s="62" customFormat="1" x14ac:dyDescent="0.25">
      <c r="A27" s="240"/>
      <c r="B27" s="100"/>
      <c r="C27" s="216"/>
      <c r="D27" s="100"/>
      <c r="E27" s="100"/>
      <c r="F27" s="241"/>
      <c r="G27" s="100"/>
      <c r="H27" s="140"/>
      <c r="I27" s="221"/>
      <c r="J27" s="216"/>
      <c r="K27" s="100"/>
      <c r="L27" s="100"/>
      <c r="O27" s="98"/>
    </row>
    <row r="28" spans="1:15" x14ac:dyDescent="0.25">
      <c r="I28" s="28"/>
      <c r="J28" s="28"/>
    </row>
    <row r="29" spans="1:15" x14ac:dyDescent="0.25">
      <c r="F29" s="30">
        <f>SUM(I12:I17)</f>
        <v>70000</v>
      </c>
      <c r="I29" s="63" t="s">
        <v>19</v>
      </c>
      <c r="J29" s="28"/>
      <c r="K29" s="326"/>
      <c r="L29" s="30"/>
    </row>
    <row r="30" spans="1:15" x14ac:dyDescent="0.25">
      <c r="I30" s="28" t="s">
        <v>109</v>
      </c>
      <c r="J30" s="28"/>
      <c r="K30" s="357"/>
      <c r="L30" s="276"/>
    </row>
    <row r="31" spans="1:15" x14ac:dyDescent="0.25">
      <c r="B31" t="s">
        <v>20</v>
      </c>
      <c r="E31" t="s">
        <v>21</v>
      </c>
      <c r="I31" s="28" t="s">
        <v>110</v>
      </c>
      <c r="J31" s="132"/>
      <c r="K31" s="328"/>
      <c r="L31" s="427" t="s">
        <v>2100</v>
      </c>
    </row>
    <row r="32" spans="1:15" x14ac:dyDescent="0.25">
      <c r="I32" s="28" t="s">
        <v>149</v>
      </c>
      <c r="J32" s="132"/>
      <c r="K32" t="s">
        <v>138</v>
      </c>
      <c r="L32" s="287">
        <f>SUM(I12:I14)</f>
        <v>12000</v>
      </c>
    </row>
    <row r="33" spans="2:12" x14ac:dyDescent="0.25">
      <c r="I33" s="28" t="s">
        <v>601</v>
      </c>
      <c r="J33" s="132"/>
      <c r="K33" s="274"/>
      <c r="L33" s="427" t="s">
        <v>2102</v>
      </c>
    </row>
    <row r="34" spans="2:12" x14ac:dyDescent="0.25">
      <c r="I34" s="28" t="s">
        <v>111</v>
      </c>
      <c r="J34" s="132"/>
      <c r="K34" s="274" t="s">
        <v>138</v>
      </c>
      <c r="L34" s="287">
        <f>SUM(I15:I16)</f>
        <v>52000</v>
      </c>
    </row>
    <row r="35" spans="2:12" x14ac:dyDescent="0.25">
      <c r="B35" s="29"/>
      <c r="E35" s="251"/>
      <c r="F35" s="251"/>
      <c r="G35" s="251"/>
      <c r="H35" s="251"/>
      <c r="I35" s="28" t="s">
        <v>113</v>
      </c>
      <c r="J35" s="132"/>
      <c r="L35" s="427" t="s">
        <v>2304</v>
      </c>
    </row>
    <row r="36" spans="2:12" x14ac:dyDescent="0.25">
      <c r="B36" s="267" t="s">
        <v>1577</v>
      </c>
      <c r="C36" s="267"/>
      <c r="D36" s="267"/>
      <c r="E36" s="268" t="s">
        <v>157</v>
      </c>
      <c r="F36" s="252"/>
      <c r="G36" s="252"/>
      <c r="H36" s="252"/>
      <c r="I36" s="28" t="s">
        <v>114</v>
      </c>
      <c r="J36" s="130"/>
      <c r="K36" t="s">
        <v>138</v>
      </c>
      <c r="L36" s="69">
        <v>6000</v>
      </c>
    </row>
    <row r="37" spans="2:12" x14ac:dyDescent="0.25">
      <c r="B37" t="s">
        <v>1576</v>
      </c>
      <c r="E37" t="s">
        <v>158</v>
      </c>
      <c r="I37" s="28" t="s">
        <v>22</v>
      </c>
      <c r="J37" s="131"/>
    </row>
    <row r="38" spans="2:12" x14ac:dyDescent="0.25">
      <c r="I38" s="3" t="s">
        <v>115</v>
      </c>
      <c r="J38" s="132"/>
      <c r="L38" s="30"/>
    </row>
    <row r="39" spans="2:12" x14ac:dyDescent="0.25">
      <c r="I39" s="3" t="s">
        <v>87</v>
      </c>
      <c r="J39" s="132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261FD-3ABC-490F-A993-E5EC04D4EED0}">
  <sheetPr>
    <tabColor theme="5"/>
  </sheetPr>
  <dimension ref="A1:U345"/>
  <sheetViews>
    <sheetView view="pageBreakPreview" topLeftCell="A134" zoomScale="106" zoomScaleNormal="100" zoomScaleSheetLayoutView="106" workbookViewId="0">
      <selection activeCell="B150" sqref="B150"/>
    </sheetView>
  </sheetViews>
  <sheetFormatPr defaultRowHeight="15" x14ac:dyDescent="0.25"/>
  <cols>
    <col min="1" max="1" width="4.7109375" style="412" customWidth="1"/>
    <col min="2" max="2" width="15" style="412" customWidth="1"/>
    <col min="3" max="3" width="18" style="62" customWidth="1"/>
    <col min="4" max="4" width="7.28515625" style="62" customWidth="1"/>
    <col min="5" max="5" width="17.7109375" style="62" customWidth="1"/>
    <col min="6" max="6" width="14.5703125" style="62" customWidth="1"/>
    <col min="7" max="7" width="14.28515625" style="62" customWidth="1"/>
    <col min="8" max="8" width="14" style="62" customWidth="1"/>
    <col min="9" max="9" width="16.42578125" style="62" customWidth="1"/>
    <col min="10" max="10" width="16.85546875" style="122" customWidth="1"/>
    <col min="11" max="11" width="9.5703125" style="62" customWidth="1"/>
    <col min="12" max="12" width="17.85546875" style="62" customWidth="1"/>
    <col min="16" max="16" width="4.5703125" customWidth="1"/>
    <col min="17" max="17" width="14.28515625" customWidth="1"/>
    <col min="18" max="18" width="12.42578125" customWidth="1"/>
  </cols>
  <sheetData>
    <row r="1" spans="1:21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</row>
    <row r="2" spans="1:21" ht="18" x14ac:dyDescent="0.25">
      <c r="A2" s="620" t="s">
        <v>1983</v>
      </c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21" x14ac:dyDescent="0.25">
      <c r="C3" s="102"/>
      <c r="D3" s="78"/>
      <c r="E3" s="102"/>
      <c r="F3" s="102"/>
      <c r="H3" s="78"/>
      <c r="I3" s="83"/>
      <c r="J3" s="103"/>
      <c r="K3" s="104" t="s">
        <v>1959</v>
      </c>
      <c r="L3" s="105"/>
      <c r="Q3" s="30"/>
      <c r="R3" s="30"/>
    </row>
    <row r="4" spans="1:21" x14ac:dyDescent="0.25">
      <c r="C4" s="102"/>
      <c r="D4" s="78"/>
      <c r="E4" s="102"/>
      <c r="F4" s="102"/>
      <c r="H4" s="78"/>
      <c r="I4" s="83"/>
      <c r="J4" s="106"/>
      <c r="K4" s="95" t="s">
        <v>89</v>
      </c>
      <c r="L4" s="126">
        <v>106</v>
      </c>
    </row>
    <row r="5" spans="1:21" x14ac:dyDescent="0.25">
      <c r="C5" s="102"/>
      <c r="D5" s="78"/>
      <c r="E5" s="102"/>
      <c r="F5" s="107"/>
      <c r="H5" s="78"/>
      <c r="I5" s="83"/>
      <c r="J5" s="106"/>
      <c r="K5" s="95" t="s">
        <v>91</v>
      </c>
      <c r="L5" s="126">
        <v>36</v>
      </c>
      <c r="Q5" s="30"/>
      <c r="R5" s="30"/>
    </row>
    <row r="6" spans="1:21" x14ac:dyDescent="0.25">
      <c r="A6" s="622" t="s">
        <v>117</v>
      </c>
      <c r="B6" s="622"/>
      <c r="C6" s="622"/>
      <c r="D6" s="79"/>
      <c r="E6" s="107"/>
      <c r="F6" s="108"/>
      <c r="G6" s="60"/>
      <c r="H6" s="79"/>
      <c r="I6" s="84"/>
      <c r="J6" s="103"/>
      <c r="K6" s="101" t="s">
        <v>1560</v>
      </c>
      <c r="L6" s="109"/>
      <c r="R6" s="30"/>
    </row>
    <row r="7" spans="1:21" x14ac:dyDescent="0.25">
      <c r="A7" s="110"/>
      <c r="B7" s="347"/>
      <c r="C7" s="111"/>
      <c r="D7" s="80"/>
      <c r="E7" s="169"/>
      <c r="F7" s="169"/>
      <c r="G7" s="613" t="s">
        <v>1</v>
      </c>
      <c r="H7" s="623"/>
      <c r="I7" s="614"/>
      <c r="J7" s="112"/>
      <c r="K7" s="624" t="s">
        <v>2</v>
      </c>
      <c r="L7" s="625"/>
      <c r="Q7" s="30"/>
      <c r="R7" s="30"/>
    </row>
    <row r="8" spans="1:21" x14ac:dyDescent="0.25">
      <c r="A8" s="629" t="s">
        <v>3</v>
      </c>
      <c r="B8" s="629"/>
      <c r="C8" s="630"/>
      <c r="D8" s="18" t="s">
        <v>4</v>
      </c>
      <c r="E8" s="413" t="s">
        <v>5</v>
      </c>
      <c r="F8" s="73" t="s">
        <v>6</v>
      </c>
      <c r="G8" s="11" t="s">
        <v>7</v>
      </c>
      <c r="H8" s="81"/>
      <c r="I8" s="12" t="s">
        <v>8</v>
      </c>
      <c r="J8" s="74" t="s">
        <v>9</v>
      </c>
      <c r="K8" s="96"/>
      <c r="L8" s="113"/>
      <c r="Q8" s="214"/>
      <c r="R8" s="30"/>
    </row>
    <row r="9" spans="1:21" x14ac:dyDescent="0.25">
      <c r="A9" s="114"/>
      <c r="B9" s="348"/>
      <c r="C9" s="115"/>
      <c r="D9" s="81"/>
      <c r="E9" s="116"/>
      <c r="F9" s="115"/>
      <c r="G9" s="17" t="s">
        <v>10</v>
      </c>
      <c r="H9" s="18" t="s">
        <v>11</v>
      </c>
      <c r="I9" s="12" t="s">
        <v>12</v>
      </c>
      <c r="J9" s="117"/>
      <c r="K9" s="413" t="s">
        <v>13</v>
      </c>
      <c r="L9" s="413" t="s">
        <v>14</v>
      </c>
      <c r="Q9" s="214"/>
    </row>
    <row r="10" spans="1:21" x14ac:dyDescent="0.25">
      <c r="A10" s="118"/>
      <c r="B10" s="349"/>
      <c r="C10" s="119"/>
      <c r="D10" s="82"/>
      <c r="E10" s="170"/>
      <c r="F10" s="170"/>
      <c r="G10" s="22"/>
      <c r="H10" s="85"/>
      <c r="I10" s="86" t="s">
        <v>15</v>
      </c>
      <c r="J10" s="120"/>
      <c r="K10" s="22"/>
      <c r="L10" s="51" t="s">
        <v>16</v>
      </c>
      <c r="Q10" s="214"/>
    </row>
    <row r="11" spans="1:21" x14ac:dyDescent="0.25">
      <c r="A11" s="142" t="s">
        <v>17</v>
      </c>
      <c r="B11" s="142"/>
      <c r="C11" s="59"/>
      <c r="D11" s="59"/>
      <c r="E11" s="59"/>
      <c r="F11" s="59"/>
      <c r="G11" s="59"/>
      <c r="H11" s="59"/>
      <c r="I11" s="59"/>
      <c r="J11" s="75"/>
      <c r="K11" s="59"/>
      <c r="L11" s="59"/>
      <c r="Q11" s="272" t="s">
        <v>2100</v>
      </c>
      <c r="S11" t="s">
        <v>1652</v>
      </c>
      <c r="T11" t="s">
        <v>163</v>
      </c>
      <c r="U11" t="s">
        <v>309</v>
      </c>
    </row>
    <row r="12" spans="1:21" x14ac:dyDescent="0.25">
      <c r="A12" s="228">
        <v>1</v>
      </c>
      <c r="B12" s="351" t="s">
        <v>1831</v>
      </c>
      <c r="C12" s="230" t="s">
        <v>1960</v>
      </c>
      <c r="D12" s="230" t="s">
        <v>160</v>
      </c>
      <c r="E12" s="230" t="s">
        <v>1180</v>
      </c>
      <c r="F12" s="230" t="s">
        <v>42</v>
      </c>
      <c r="G12" s="231" t="s">
        <v>1833</v>
      </c>
      <c r="H12" s="399" t="s">
        <v>465</v>
      </c>
      <c r="I12" s="232">
        <v>1500</v>
      </c>
      <c r="J12" s="229">
        <v>1500</v>
      </c>
      <c r="K12" s="224" t="s">
        <v>147</v>
      </c>
      <c r="L12" s="224" t="s">
        <v>41</v>
      </c>
      <c r="N12">
        <f>I12/5</f>
        <v>300</v>
      </c>
      <c r="P12" s="30"/>
      <c r="Q12" s="320" t="s">
        <v>138</v>
      </c>
      <c r="R12" s="27">
        <f>SUM(I14:I15,I17:I20,I26:I47,I49:I54)</f>
        <v>45600</v>
      </c>
      <c r="S12" s="320">
        <v>24</v>
      </c>
      <c r="T12">
        <v>7</v>
      </c>
      <c r="U12" t="s">
        <v>2069</v>
      </c>
    </row>
    <row r="13" spans="1:21" x14ac:dyDescent="0.25">
      <c r="A13" s="228">
        <v>1</v>
      </c>
      <c r="B13" s="351" t="s">
        <v>1961</v>
      </c>
      <c r="C13" s="230" t="s">
        <v>1962</v>
      </c>
      <c r="D13" s="283" t="s">
        <v>163</v>
      </c>
      <c r="E13" s="230" t="s">
        <v>467</v>
      </c>
      <c r="F13" s="230" t="s">
        <v>54</v>
      </c>
      <c r="G13" s="231" t="s">
        <v>1963</v>
      </c>
      <c r="H13" s="399" t="s">
        <v>465</v>
      </c>
      <c r="I13" s="232">
        <v>2000</v>
      </c>
      <c r="J13" s="229">
        <v>2000</v>
      </c>
      <c r="K13" s="224" t="s">
        <v>147</v>
      </c>
      <c r="L13" s="224" t="s">
        <v>41</v>
      </c>
      <c r="N13">
        <f t="shared" ref="N13:N158" si="0">I13/5</f>
        <v>400</v>
      </c>
      <c r="P13" s="30"/>
      <c r="Q13" s="321" t="s">
        <v>465</v>
      </c>
      <c r="R13" s="27">
        <f>SUM(I12:I13,I16,I21:I25)</f>
        <v>5600</v>
      </c>
      <c r="S13" s="320">
        <v>7</v>
      </c>
      <c r="T13">
        <v>1</v>
      </c>
    </row>
    <row r="14" spans="1:21" x14ac:dyDescent="0.25">
      <c r="A14" s="228">
        <v>1</v>
      </c>
      <c r="B14" s="351" t="s">
        <v>1964</v>
      </c>
      <c r="C14" s="230" t="s">
        <v>1965</v>
      </c>
      <c r="D14" s="283" t="s">
        <v>163</v>
      </c>
      <c r="E14" s="230" t="s">
        <v>1180</v>
      </c>
      <c r="F14" s="230" t="s">
        <v>42</v>
      </c>
      <c r="G14" s="231" t="s">
        <v>1966</v>
      </c>
      <c r="H14" s="233" t="s">
        <v>40</v>
      </c>
      <c r="I14" s="232">
        <v>500</v>
      </c>
      <c r="J14" s="229">
        <v>100</v>
      </c>
      <c r="K14" s="224" t="s">
        <v>147</v>
      </c>
      <c r="L14" s="224" t="s">
        <v>41</v>
      </c>
      <c r="N14">
        <f t="shared" si="0"/>
        <v>100</v>
      </c>
      <c r="P14" s="30"/>
      <c r="Q14" s="293" t="s">
        <v>1912</v>
      </c>
      <c r="R14" s="322">
        <v>40</v>
      </c>
      <c r="S14" s="320">
        <v>1</v>
      </c>
    </row>
    <row r="15" spans="1:21" x14ac:dyDescent="0.25">
      <c r="A15" s="228">
        <v>1</v>
      </c>
      <c r="B15" s="351" t="s">
        <v>1967</v>
      </c>
      <c r="C15" s="230" t="s">
        <v>1968</v>
      </c>
      <c r="D15" s="230" t="s">
        <v>160</v>
      </c>
      <c r="E15" s="230" t="s">
        <v>1792</v>
      </c>
      <c r="F15" s="230" t="s">
        <v>42</v>
      </c>
      <c r="G15" s="231" t="s">
        <v>1969</v>
      </c>
      <c r="H15" s="233" t="s">
        <v>40</v>
      </c>
      <c r="I15" s="232">
        <v>200</v>
      </c>
      <c r="J15" s="229">
        <v>40</v>
      </c>
      <c r="K15" s="224" t="s">
        <v>147</v>
      </c>
      <c r="L15" s="224" t="s">
        <v>41</v>
      </c>
      <c r="N15">
        <f t="shared" si="0"/>
        <v>40</v>
      </c>
      <c r="Q15" s="272" t="s">
        <v>2101</v>
      </c>
      <c r="R15" s="322"/>
      <c r="S15" s="320"/>
    </row>
    <row r="16" spans="1:21" x14ac:dyDescent="0.25">
      <c r="A16" s="228">
        <v>1</v>
      </c>
      <c r="B16" s="351" t="s">
        <v>1970</v>
      </c>
      <c r="C16" s="230" t="s">
        <v>1971</v>
      </c>
      <c r="D16" s="230" t="s">
        <v>160</v>
      </c>
      <c r="E16" s="230" t="s">
        <v>457</v>
      </c>
      <c r="F16" s="230" t="s">
        <v>54</v>
      </c>
      <c r="G16" s="231" t="s">
        <v>1972</v>
      </c>
      <c r="H16" s="399" t="s">
        <v>465</v>
      </c>
      <c r="I16" s="232">
        <v>200</v>
      </c>
      <c r="J16" s="229">
        <v>200</v>
      </c>
      <c r="K16" s="224" t="s">
        <v>147</v>
      </c>
      <c r="L16" s="224" t="s">
        <v>41</v>
      </c>
      <c r="N16">
        <f t="shared" si="0"/>
        <v>40</v>
      </c>
      <c r="Q16" s="320" t="s">
        <v>138</v>
      </c>
      <c r="R16" s="322">
        <f>SUM(I55:I67)</f>
        <v>21500</v>
      </c>
      <c r="S16" s="60">
        <v>6</v>
      </c>
      <c r="T16">
        <v>7</v>
      </c>
    </row>
    <row r="17" spans="1:21" x14ac:dyDescent="0.25">
      <c r="A17" s="228">
        <v>1</v>
      </c>
      <c r="B17" s="351" t="s">
        <v>1973</v>
      </c>
      <c r="C17" s="230" t="s">
        <v>1974</v>
      </c>
      <c r="D17" s="230" t="s">
        <v>160</v>
      </c>
      <c r="E17" s="230" t="s">
        <v>1531</v>
      </c>
      <c r="F17" s="230" t="s">
        <v>49</v>
      </c>
      <c r="G17" s="231" t="s">
        <v>1975</v>
      </c>
      <c r="H17" s="233" t="s">
        <v>40</v>
      </c>
      <c r="I17" s="232">
        <v>1000</v>
      </c>
      <c r="J17" s="229">
        <v>200</v>
      </c>
      <c r="K17" s="224" t="s">
        <v>147</v>
      </c>
      <c r="L17" s="224" t="s">
        <v>41</v>
      </c>
      <c r="N17">
        <f t="shared" si="0"/>
        <v>200</v>
      </c>
      <c r="P17" s="69"/>
      <c r="Q17" s="272" t="s">
        <v>2205</v>
      </c>
      <c r="R17" s="322"/>
      <c r="S17" s="60"/>
    </row>
    <row r="18" spans="1:21" x14ac:dyDescent="0.25">
      <c r="A18" s="228">
        <v>1</v>
      </c>
      <c r="B18" s="351" t="s">
        <v>1976</v>
      </c>
      <c r="C18" s="230" t="s">
        <v>1977</v>
      </c>
      <c r="D18" s="230" t="s">
        <v>160</v>
      </c>
      <c r="E18" s="230" t="s">
        <v>1978</v>
      </c>
      <c r="F18" s="230" t="s">
        <v>47</v>
      </c>
      <c r="G18" s="231"/>
      <c r="H18" s="233" t="s">
        <v>40</v>
      </c>
      <c r="I18" s="232">
        <v>1000</v>
      </c>
      <c r="J18" s="229">
        <v>200</v>
      </c>
      <c r="K18" s="224" t="s">
        <v>147</v>
      </c>
      <c r="L18" s="224" t="s">
        <v>41</v>
      </c>
      <c r="N18">
        <f t="shared" si="0"/>
        <v>200</v>
      </c>
      <c r="Q18" s="320" t="s">
        <v>138</v>
      </c>
      <c r="R18" s="27">
        <f>SUM(I68:I115)</f>
        <v>112500</v>
      </c>
      <c r="S18" s="60">
        <v>40</v>
      </c>
      <c r="T18">
        <v>8</v>
      </c>
    </row>
    <row r="19" spans="1:21" x14ac:dyDescent="0.25">
      <c r="A19" s="228">
        <v>1</v>
      </c>
      <c r="B19" s="351" t="s">
        <v>1979</v>
      </c>
      <c r="C19" s="230" t="s">
        <v>1980</v>
      </c>
      <c r="D19" s="230" t="s">
        <v>160</v>
      </c>
      <c r="E19" s="230" t="s">
        <v>1981</v>
      </c>
      <c r="F19" s="230" t="s">
        <v>67</v>
      </c>
      <c r="G19" s="231" t="s">
        <v>1982</v>
      </c>
      <c r="H19" s="233" t="s">
        <v>40</v>
      </c>
      <c r="I19" s="232">
        <v>2000</v>
      </c>
      <c r="J19" s="229">
        <v>400</v>
      </c>
      <c r="K19" s="224" t="s">
        <v>147</v>
      </c>
      <c r="L19" s="224" t="s">
        <v>41</v>
      </c>
      <c r="N19">
        <f t="shared" si="0"/>
        <v>400</v>
      </c>
      <c r="P19" s="30"/>
      <c r="Q19" s="272" t="s">
        <v>2258</v>
      </c>
      <c r="R19" s="322"/>
      <c r="S19" s="60"/>
    </row>
    <row r="20" spans="1:21" s="62" customFormat="1" x14ac:dyDescent="0.25">
      <c r="A20" s="228">
        <v>1</v>
      </c>
      <c r="B20" s="351" t="s">
        <v>1979</v>
      </c>
      <c r="C20" s="230" t="s">
        <v>1980</v>
      </c>
      <c r="D20" s="230" t="s">
        <v>160</v>
      </c>
      <c r="E20" s="230" t="s">
        <v>1981</v>
      </c>
      <c r="F20" s="230" t="s">
        <v>67</v>
      </c>
      <c r="G20" s="231" t="s">
        <v>1982</v>
      </c>
      <c r="H20" s="398" t="s">
        <v>377</v>
      </c>
      <c r="I20" s="232">
        <v>300</v>
      </c>
      <c r="J20" s="229">
        <v>60</v>
      </c>
      <c r="K20" s="224" t="s">
        <v>147</v>
      </c>
      <c r="L20" s="224" t="s">
        <v>41</v>
      </c>
      <c r="N20" s="62">
        <f t="shared" si="0"/>
        <v>60</v>
      </c>
      <c r="Q20" s="320" t="s">
        <v>138</v>
      </c>
      <c r="R20" s="98">
        <f>SUM(I116:I137)</f>
        <v>53750</v>
      </c>
      <c r="S20" s="60">
        <v>14</v>
      </c>
      <c r="T20" s="62">
        <v>7</v>
      </c>
    </row>
    <row r="21" spans="1:21" x14ac:dyDescent="0.25">
      <c r="A21" s="228">
        <v>1</v>
      </c>
      <c r="B21" s="351" t="s">
        <v>1987</v>
      </c>
      <c r="C21" s="230" t="s">
        <v>1988</v>
      </c>
      <c r="D21" s="230" t="s">
        <v>160</v>
      </c>
      <c r="E21" s="230"/>
      <c r="F21" s="230" t="s">
        <v>61</v>
      </c>
      <c r="G21" s="231" t="s">
        <v>363</v>
      </c>
      <c r="H21" s="399" t="s">
        <v>465</v>
      </c>
      <c r="I21" s="232">
        <v>200</v>
      </c>
      <c r="J21" s="229">
        <v>200</v>
      </c>
      <c r="K21" s="224" t="s">
        <v>147</v>
      </c>
      <c r="L21" s="224" t="s">
        <v>41</v>
      </c>
      <c r="N21">
        <f t="shared" si="0"/>
        <v>40</v>
      </c>
      <c r="Q21" s="272" t="s">
        <v>2303</v>
      </c>
      <c r="R21" s="30"/>
      <c r="S21" s="60"/>
    </row>
    <row r="22" spans="1:21" x14ac:dyDescent="0.25">
      <c r="A22" s="228">
        <v>1</v>
      </c>
      <c r="B22" s="351" t="s">
        <v>1989</v>
      </c>
      <c r="C22" s="230" t="s">
        <v>1300</v>
      </c>
      <c r="D22" s="230" t="s">
        <v>160</v>
      </c>
      <c r="E22" s="230" t="s">
        <v>685</v>
      </c>
      <c r="F22" s="230" t="s">
        <v>46</v>
      </c>
      <c r="G22" s="231"/>
      <c r="H22" s="399" t="s">
        <v>465</v>
      </c>
      <c r="I22" s="232">
        <v>1000</v>
      </c>
      <c r="J22" s="229">
        <v>1000</v>
      </c>
      <c r="K22" s="224" t="s">
        <v>147</v>
      </c>
      <c r="L22" s="224" t="s">
        <v>41</v>
      </c>
      <c r="N22">
        <f t="shared" si="0"/>
        <v>200</v>
      </c>
      <c r="Q22" s="394" t="s">
        <v>138</v>
      </c>
      <c r="R22" s="30">
        <f>SUM(I138,I140:I145,I149:I150,I152:I154,I156:I158)</f>
        <v>44700</v>
      </c>
      <c r="S22" s="60">
        <v>10</v>
      </c>
      <c r="T22">
        <v>5</v>
      </c>
      <c r="U22" t="s">
        <v>789</v>
      </c>
    </row>
    <row r="23" spans="1:21" x14ac:dyDescent="0.25">
      <c r="A23" s="228">
        <v>1</v>
      </c>
      <c r="B23" s="351" t="s">
        <v>1990</v>
      </c>
      <c r="C23" s="230" t="s">
        <v>1991</v>
      </c>
      <c r="D23" s="230" t="s">
        <v>160</v>
      </c>
      <c r="E23" s="230" t="s">
        <v>911</v>
      </c>
      <c r="F23" s="230" t="s">
        <v>49</v>
      </c>
      <c r="G23" s="231" t="s">
        <v>1992</v>
      </c>
      <c r="H23" s="399" t="s">
        <v>465</v>
      </c>
      <c r="I23" s="232">
        <v>500</v>
      </c>
      <c r="J23" s="229">
        <v>500</v>
      </c>
      <c r="K23" s="224" t="s">
        <v>147</v>
      </c>
      <c r="L23" s="224" t="s">
        <v>41</v>
      </c>
      <c r="N23">
        <f t="shared" si="0"/>
        <v>100</v>
      </c>
      <c r="Q23" t="s">
        <v>465</v>
      </c>
      <c r="R23" s="69">
        <f>SUM(I139,I146,I147,I148,I151,I155)</f>
        <v>9700</v>
      </c>
      <c r="S23" s="60">
        <v>4</v>
      </c>
      <c r="T23">
        <v>2</v>
      </c>
    </row>
    <row r="24" spans="1:21" x14ac:dyDescent="0.25">
      <c r="A24" s="228">
        <v>1</v>
      </c>
      <c r="B24" s="351" t="s">
        <v>1993</v>
      </c>
      <c r="C24" s="230" t="s">
        <v>1901</v>
      </c>
      <c r="D24" s="230" t="s">
        <v>160</v>
      </c>
      <c r="E24" s="230" t="s">
        <v>1994</v>
      </c>
      <c r="F24" s="230" t="s">
        <v>77</v>
      </c>
      <c r="G24" s="231"/>
      <c r="H24" s="399" t="s">
        <v>465</v>
      </c>
      <c r="I24" s="232">
        <v>100</v>
      </c>
      <c r="J24" s="229">
        <v>100</v>
      </c>
      <c r="K24" s="224" t="s">
        <v>147</v>
      </c>
      <c r="L24" s="224" t="s">
        <v>41</v>
      </c>
      <c r="N24">
        <f t="shared" si="0"/>
        <v>20</v>
      </c>
      <c r="Q24" s="30"/>
    </row>
    <row r="25" spans="1:21" x14ac:dyDescent="0.25">
      <c r="A25" s="228">
        <v>1</v>
      </c>
      <c r="B25" s="351" t="s">
        <v>1995</v>
      </c>
      <c r="C25" s="230" t="s">
        <v>1996</v>
      </c>
      <c r="D25" s="230" t="s">
        <v>160</v>
      </c>
      <c r="E25" s="230" t="s">
        <v>538</v>
      </c>
      <c r="F25" s="230" t="s">
        <v>49</v>
      </c>
      <c r="G25" s="231"/>
      <c r="H25" s="399" t="s">
        <v>465</v>
      </c>
      <c r="I25" s="232">
        <v>100</v>
      </c>
      <c r="J25" s="229">
        <v>100</v>
      </c>
      <c r="K25" s="224" t="s">
        <v>147</v>
      </c>
      <c r="L25" s="224" t="s">
        <v>41</v>
      </c>
      <c r="N25">
        <f t="shared" si="0"/>
        <v>20</v>
      </c>
      <c r="Q25" s="30"/>
    </row>
    <row r="26" spans="1:21" x14ac:dyDescent="0.25">
      <c r="A26" s="228">
        <v>1</v>
      </c>
      <c r="B26" s="351" t="s">
        <v>1918</v>
      </c>
      <c r="C26" s="230" t="s">
        <v>1919</v>
      </c>
      <c r="D26" s="283" t="s">
        <v>163</v>
      </c>
      <c r="E26" s="230" t="s">
        <v>954</v>
      </c>
      <c r="F26" s="230" t="s">
        <v>43</v>
      </c>
      <c r="G26" s="231" t="s">
        <v>1923</v>
      </c>
      <c r="H26" s="233" t="s">
        <v>40</v>
      </c>
      <c r="I26" s="232">
        <v>5000</v>
      </c>
      <c r="J26" s="229">
        <v>1000</v>
      </c>
      <c r="K26" s="224" t="s">
        <v>147</v>
      </c>
      <c r="L26" s="224" t="s">
        <v>41</v>
      </c>
      <c r="N26">
        <f t="shared" si="0"/>
        <v>1000</v>
      </c>
      <c r="Q26" s="30"/>
      <c r="R26" s="30"/>
    </row>
    <row r="27" spans="1:21" x14ac:dyDescent="0.25">
      <c r="A27" s="228">
        <v>1</v>
      </c>
      <c r="B27" s="351" t="s">
        <v>1997</v>
      </c>
      <c r="C27" s="230" t="s">
        <v>1660</v>
      </c>
      <c r="D27" s="230" t="s">
        <v>160</v>
      </c>
      <c r="E27" s="230" t="s">
        <v>1998</v>
      </c>
      <c r="F27" s="230" t="s">
        <v>57</v>
      </c>
      <c r="G27" s="231"/>
      <c r="H27" s="233" t="s">
        <v>40</v>
      </c>
      <c r="I27" s="232">
        <v>1000</v>
      </c>
      <c r="J27" s="229">
        <v>200</v>
      </c>
      <c r="K27" s="224" t="s">
        <v>147</v>
      </c>
      <c r="L27" s="224" t="s">
        <v>41</v>
      </c>
      <c r="N27">
        <f t="shared" si="0"/>
        <v>200</v>
      </c>
      <c r="R27" s="69"/>
    </row>
    <row r="28" spans="1:21" x14ac:dyDescent="0.25">
      <c r="A28" s="228">
        <v>1</v>
      </c>
      <c r="B28" s="351" t="s">
        <v>1999</v>
      </c>
      <c r="C28" s="230" t="s">
        <v>1951</v>
      </c>
      <c r="D28" s="283" t="s">
        <v>163</v>
      </c>
      <c r="E28" s="230" t="s">
        <v>2000</v>
      </c>
      <c r="F28" s="230" t="s">
        <v>58</v>
      </c>
      <c r="G28" s="231"/>
      <c r="H28" s="233" t="s">
        <v>40</v>
      </c>
      <c r="I28" s="232">
        <v>2300</v>
      </c>
      <c r="J28" s="229">
        <v>460</v>
      </c>
      <c r="K28" s="224" t="s">
        <v>147</v>
      </c>
      <c r="L28" s="224" t="s">
        <v>41</v>
      </c>
      <c r="N28">
        <f t="shared" si="0"/>
        <v>460</v>
      </c>
      <c r="Q28" s="30"/>
      <c r="R28" s="30"/>
    </row>
    <row r="29" spans="1:21" x14ac:dyDescent="0.25">
      <c r="A29" s="228">
        <v>1</v>
      </c>
      <c r="B29" s="351" t="s">
        <v>1999</v>
      </c>
      <c r="C29" s="230" t="s">
        <v>1951</v>
      </c>
      <c r="D29" s="283" t="s">
        <v>163</v>
      </c>
      <c r="E29" s="230" t="s">
        <v>2000</v>
      </c>
      <c r="F29" s="230" t="s">
        <v>58</v>
      </c>
      <c r="G29" s="231"/>
      <c r="H29" s="233" t="s">
        <v>40</v>
      </c>
      <c r="I29" s="232">
        <v>500</v>
      </c>
      <c r="J29" s="229" t="s">
        <v>152</v>
      </c>
      <c r="K29" s="224" t="s">
        <v>147</v>
      </c>
      <c r="L29" s="224" t="s">
        <v>41</v>
      </c>
      <c r="N29">
        <f t="shared" si="0"/>
        <v>100</v>
      </c>
    </row>
    <row r="30" spans="1:21" x14ac:dyDescent="0.25">
      <c r="A30" s="228">
        <v>1</v>
      </c>
      <c r="B30" s="351" t="s">
        <v>2001</v>
      </c>
      <c r="C30" s="230" t="s">
        <v>1394</v>
      </c>
      <c r="D30" s="230" t="s">
        <v>160</v>
      </c>
      <c r="E30" s="230"/>
      <c r="F30" s="230" t="s">
        <v>60</v>
      </c>
      <c r="G30" s="231"/>
      <c r="H30" s="233" t="s">
        <v>40</v>
      </c>
      <c r="I30" s="232">
        <v>300</v>
      </c>
      <c r="J30" s="229">
        <v>60</v>
      </c>
      <c r="K30" s="224" t="s">
        <v>147</v>
      </c>
      <c r="L30" s="224" t="s">
        <v>41</v>
      </c>
      <c r="N30">
        <f t="shared" si="0"/>
        <v>60</v>
      </c>
    </row>
    <row r="31" spans="1:21" x14ac:dyDescent="0.25">
      <c r="A31" s="228">
        <v>3</v>
      </c>
      <c r="B31" s="351" t="s">
        <v>2002</v>
      </c>
      <c r="C31" s="230" t="s">
        <v>2003</v>
      </c>
      <c r="D31" s="230" t="s">
        <v>160</v>
      </c>
      <c r="E31" s="230" t="s">
        <v>947</v>
      </c>
      <c r="F31" s="230" t="s">
        <v>60</v>
      </c>
      <c r="G31" s="231" t="s">
        <v>2004</v>
      </c>
      <c r="H31" s="233" t="s">
        <v>40</v>
      </c>
      <c r="I31" s="232">
        <v>3000</v>
      </c>
      <c r="J31" s="229">
        <v>600</v>
      </c>
      <c r="K31" s="224" t="s">
        <v>147</v>
      </c>
      <c r="L31" s="224" t="s">
        <v>41</v>
      </c>
      <c r="N31">
        <f t="shared" si="0"/>
        <v>600</v>
      </c>
    </row>
    <row r="32" spans="1:21" x14ac:dyDescent="0.25">
      <c r="A32" s="228">
        <v>3</v>
      </c>
      <c r="B32" s="351" t="s">
        <v>2005</v>
      </c>
      <c r="C32" s="230" t="s">
        <v>2006</v>
      </c>
      <c r="D32" s="230" t="s">
        <v>160</v>
      </c>
      <c r="E32" s="230" t="s">
        <v>1792</v>
      </c>
      <c r="F32" s="230" t="s">
        <v>42</v>
      </c>
      <c r="G32" s="231" t="s">
        <v>2007</v>
      </c>
      <c r="H32" s="233" t="s">
        <v>40</v>
      </c>
      <c r="I32" s="232">
        <v>3000</v>
      </c>
      <c r="J32" s="229">
        <v>600</v>
      </c>
      <c r="K32" s="224" t="s">
        <v>147</v>
      </c>
      <c r="L32" s="224" t="s">
        <v>41</v>
      </c>
      <c r="N32">
        <f t="shared" si="0"/>
        <v>600</v>
      </c>
    </row>
    <row r="33" spans="1:20" x14ac:dyDescent="0.25">
      <c r="A33" s="228">
        <v>3</v>
      </c>
      <c r="B33" s="351" t="s">
        <v>2008</v>
      </c>
      <c r="C33" s="230" t="s">
        <v>2009</v>
      </c>
      <c r="D33" s="230" t="s">
        <v>160</v>
      </c>
      <c r="E33" s="230"/>
      <c r="F33" s="230" t="s">
        <v>54</v>
      </c>
      <c r="G33" s="231" t="s">
        <v>2010</v>
      </c>
      <c r="H33" s="233" t="s">
        <v>40</v>
      </c>
      <c r="I33" s="232">
        <v>1000</v>
      </c>
      <c r="J33" s="229">
        <v>200</v>
      </c>
      <c r="K33" s="224" t="s">
        <v>147</v>
      </c>
      <c r="L33" s="224" t="s">
        <v>41</v>
      </c>
      <c r="N33">
        <f t="shared" si="0"/>
        <v>200</v>
      </c>
      <c r="Q33" s="30">
        <f>SUM(I12:I47,I49:I158)</f>
        <v>293350</v>
      </c>
      <c r="R33" s="30"/>
      <c r="S33" s="30"/>
      <c r="T33" s="30"/>
    </row>
    <row r="34" spans="1:20" x14ac:dyDescent="0.25">
      <c r="A34" s="228">
        <v>3</v>
      </c>
      <c r="B34" s="351" t="s">
        <v>2011</v>
      </c>
      <c r="C34" s="230" t="s">
        <v>2012</v>
      </c>
      <c r="D34" s="230" t="s">
        <v>160</v>
      </c>
      <c r="E34" s="230"/>
      <c r="F34" s="230" t="s">
        <v>83</v>
      </c>
      <c r="G34" s="231" t="s">
        <v>2013</v>
      </c>
      <c r="H34" s="233" t="s">
        <v>40</v>
      </c>
      <c r="I34" s="232">
        <v>2000</v>
      </c>
      <c r="J34" s="229">
        <v>400</v>
      </c>
      <c r="K34" s="224" t="s">
        <v>147</v>
      </c>
      <c r="L34" s="224" t="s">
        <v>41</v>
      </c>
      <c r="N34">
        <f t="shared" si="0"/>
        <v>400</v>
      </c>
      <c r="Q34" s="30"/>
    </row>
    <row r="35" spans="1:20" x14ac:dyDescent="0.25">
      <c r="A35" s="228">
        <v>3</v>
      </c>
      <c r="B35" s="351" t="s">
        <v>2014</v>
      </c>
      <c r="C35" s="230" t="s">
        <v>2015</v>
      </c>
      <c r="D35" s="283" t="s">
        <v>163</v>
      </c>
      <c r="E35" s="230" t="s">
        <v>2016</v>
      </c>
      <c r="F35" s="230" t="s">
        <v>60</v>
      </c>
      <c r="G35" s="231" t="s">
        <v>2017</v>
      </c>
      <c r="H35" s="233" t="s">
        <v>40</v>
      </c>
      <c r="I35" s="232">
        <v>2000</v>
      </c>
      <c r="J35" s="229">
        <v>400</v>
      </c>
      <c r="K35" s="224" t="s">
        <v>147</v>
      </c>
      <c r="L35" s="224" t="s">
        <v>41</v>
      </c>
      <c r="N35">
        <f t="shared" si="0"/>
        <v>400</v>
      </c>
    </row>
    <row r="36" spans="1:20" x14ac:dyDescent="0.25">
      <c r="A36" s="228">
        <v>3</v>
      </c>
      <c r="B36" s="351" t="s">
        <v>2018</v>
      </c>
      <c r="C36" s="230" t="s">
        <v>2019</v>
      </c>
      <c r="D36" s="230" t="s">
        <v>160</v>
      </c>
      <c r="E36" s="230" t="s">
        <v>947</v>
      </c>
      <c r="F36" s="230" t="s">
        <v>60</v>
      </c>
      <c r="G36" s="231" t="s">
        <v>2020</v>
      </c>
      <c r="H36" s="233" t="s">
        <v>40</v>
      </c>
      <c r="I36" s="232">
        <v>2000</v>
      </c>
      <c r="J36" s="229">
        <v>400</v>
      </c>
      <c r="K36" s="224" t="s">
        <v>147</v>
      </c>
      <c r="L36" s="224" t="s">
        <v>41</v>
      </c>
      <c r="N36">
        <f t="shared" si="0"/>
        <v>400</v>
      </c>
    </row>
    <row r="37" spans="1:20" x14ac:dyDescent="0.25">
      <c r="A37" s="228">
        <v>3</v>
      </c>
      <c r="B37" s="351" t="s">
        <v>2021</v>
      </c>
      <c r="C37" s="230" t="s">
        <v>2022</v>
      </c>
      <c r="D37" s="230" t="s">
        <v>160</v>
      </c>
      <c r="E37" s="230" t="s">
        <v>947</v>
      </c>
      <c r="F37" s="230" t="s">
        <v>60</v>
      </c>
      <c r="G37" s="231"/>
      <c r="H37" s="233" t="s">
        <v>40</v>
      </c>
      <c r="I37" s="232">
        <v>2000</v>
      </c>
      <c r="J37" s="229">
        <v>400</v>
      </c>
      <c r="K37" s="224" t="s">
        <v>147</v>
      </c>
      <c r="L37" s="224" t="s">
        <v>41</v>
      </c>
      <c r="N37">
        <f t="shared" si="0"/>
        <v>400</v>
      </c>
    </row>
    <row r="38" spans="1:20" x14ac:dyDescent="0.25">
      <c r="A38" s="228">
        <v>3</v>
      </c>
      <c r="B38" s="351" t="s">
        <v>2023</v>
      </c>
      <c r="C38" s="230" t="s">
        <v>2024</v>
      </c>
      <c r="D38" s="230" t="s">
        <v>160</v>
      </c>
      <c r="E38" s="230" t="s">
        <v>180</v>
      </c>
      <c r="F38" s="230" t="s">
        <v>57</v>
      </c>
      <c r="G38" s="231" t="s">
        <v>2025</v>
      </c>
      <c r="H38" s="233" t="s">
        <v>40</v>
      </c>
      <c r="I38" s="236">
        <v>250</v>
      </c>
      <c r="J38" s="271">
        <v>50</v>
      </c>
      <c r="K38" s="224" t="s">
        <v>147</v>
      </c>
      <c r="L38" s="224" t="s">
        <v>41</v>
      </c>
      <c r="N38">
        <f t="shared" si="0"/>
        <v>50</v>
      </c>
    </row>
    <row r="39" spans="1:20" x14ac:dyDescent="0.25">
      <c r="A39" s="228">
        <v>8</v>
      </c>
      <c r="B39" s="351" t="s">
        <v>2026</v>
      </c>
      <c r="C39" s="230" t="s">
        <v>2027</v>
      </c>
      <c r="D39" s="283" t="s">
        <v>163</v>
      </c>
      <c r="E39" s="230" t="s">
        <v>58</v>
      </c>
      <c r="F39" s="230" t="s">
        <v>42</v>
      </c>
      <c r="G39" s="231" t="s">
        <v>2028</v>
      </c>
      <c r="H39" s="233" t="s">
        <v>40</v>
      </c>
      <c r="I39" s="236">
        <v>2000</v>
      </c>
      <c r="J39" s="271" t="s">
        <v>152</v>
      </c>
      <c r="K39" s="224" t="s">
        <v>147</v>
      </c>
      <c r="L39" s="224" t="s">
        <v>41</v>
      </c>
      <c r="N39">
        <f t="shared" si="0"/>
        <v>400</v>
      </c>
    </row>
    <row r="40" spans="1:20" x14ac:dyDescent="0.25">
      <c r="A40" s="228">
        <v>8</v>
      </c>
      <c r="B40" s="351" t="s">
        <v>2029</v>
      </c>
      <c r="C40" s="230" t="s">
        <v>2030</v>
      </c>
      <c r="D40" s="230" t="s">
        <v>160</v>
      </c>
      <c r="E40" s="230"/>
      <c r="F40" s="230" t="s">
        <v>49</v>
      </c>
      <c r="G40" s="231" t="s">
        <v>2031</v>
      </c>
      <c r="H40" s="233" t="s">
        <v>40</v>
      </c>
      <c r="I40" s="236">
        <v>1000</v>
      </c>
      <c r="J40" s="271">
        <v>200</v>
      </c>
      <c r="K40" s="224" t="s">
        <v>147</v>
      </c>
      <c r="L40" s="224" t="s">
        <v>41</v>
      </c>
      <c r="N40">
        <f t="shared" si="0"/>
        <v>200</v>
      </c>
    </row>
    <row r="41" spans="1:20" x14ac:dyDescent="0.25">
      <c r="A41" s="228">
        <v>8</v>
      </c>
      <c r="B41" s="351" t="s">
        <v>2032</v>
      </c>
      <c r="C41" s="230" t="s">
        <v>2033</v>
      </c>
      <c r="D41" s="230" t="s">
        <v>160</v>
      </c>
      <c r="E41" s="230" t="s">
        <v>483</v>
      </c>
      <c r="F41" s="230" t="s">
        <v>56</v>
      </c>
      <c r="G41" s="231" t="s">
        <v>553</v>
      </c>
      <c r="H41" s="233" t="s">
        <v>40</v>
      </c>
      <c r="I41" s="236">
        <v>200</v>
      </c>
      <c r="J41" s="271">
        <v>40</v>
      </c>
      <c r="K41" s="224" t="s">
        <v>147</v>
      </c>
      <c r="L41" s="224" t="s">
        <v>41</v>
      </c>
      <c r="N41">
        <f t="shared" si="0"/>
        <v>40</v>
      </c>
    </row>
    <row r="42" spans="1:20" s="62" customFormat="1" x14ac:dyDescent="0.25">
      <c r="A42" s="228">
        <v>8</v>
      </c>
      <c r="B42" s="351" t="s">
        <v>2034</v>
      </c>
      <c r="C42" s="230" t="s">
        <v>2035</v>
      </c>
      <c r="D42" s="230" t="s">
        <v>160</v>
      </c>
      <c r="E42" s="230" t="s">
        <v>331</v>
      </c>
      <c r="F42" s="230" t="s">
        <v>54</v>
      </c>
      <c r="G42" s="231"/>
      <c r="H42" s="233" t="s">
        <v>40</v>
      </c>
      <c r="I42" s="236">
        <v>500</v>
      </c>
      <c r="J42" s="271">
        <v>150</v>
      </c>
      <c r="K42" s="224" t="s">
        <v>147</v>
      </c>
      <c r="L42" s="224" t="s">
        <v>41</v>
      </c>
      <c r="N42" s="62">
        <f t="shared" si="0"/>
        <v>100</v>
      </c>
    </row>
    <row r="43" spans="1:20" s="62" customFormat="1" x14ac:dyDescent="0.25">
      <c r="A43" s="228">
        <v>8</v>
      </c>
      <c r="B43" s="351" t="s">
        <v>2036</v>
      </c>
      <c r="C43" s="230" t="s">
        <v>1765</v>
      </c>
      <c r="D43" s="230" t="s">
        <v>160</v>
      </c>
      <c r="E43" s="230" t="s">
        <v>1766</v>
      </c>
      <c r="F43" s="230" t="s">
        <v>49</v>
      </c>
      <c r="G43" s="231"/>
      <c r="H43" s="230" t="s">
        <v>40</v>
      </c>
      <c r="I43" s="236">
        <v>750</v>
      </c>
      <c r="J43" s="271">
        <v>225</v>
      </c>
      <c r="K43" s="224" t="s">
        <v>147</v>
      </c>
      <c r="L43" s="224" t="s">
        <v>41</v>
      </c>
      <c r="N43" s="62">
        <f t="shared" si="0"/>
        <v>150</v>
      </c>
      <c r="R43" s="325"/>
    </row>
    <row r="44" spans="1:20" s="62" customFormat="1" x14ac:dyDescent="0.25">
      <c r="A44" s="228">
        <v>8</v>
      </c>
      <c r="B44" s="351" t="s">
        <v>1953</v>
      </c>
      <c r="C44" s="230" t="s">
        <v>2037</v>
      </c>
      <c r="D44" s="283" t="s">
        <v>163</v>
      </c>
      <c r="E44" s="230" t="s">
        <v>712</v>
      </c>
      <c r="F44" s="230" t="s">
        <v>61</v>
      </c>
      <c r="G44" s="231" t="s">
        <v>2038</v>
      </c>
      <c r="H44" s="233" t="s">
        <v>40</v>
      </c>
      <c r="I44" s="236">
        <v>1000</v>
      </c>
      <c r="J44" s="271">
        <v>200</v>
      </c>
      <c r="K44" s="224" t="s">
        <v>147</v>
      </c>
      <c r="L44" s="224" t="s">
        <v>41</v>
      </c>
      <c r="N44" s="62">
        <f t="shared" si="0"/>
        <v>200</v>
      </c>
    </row>
    <row r="45" spans="1:20" s="62" customFormat="1" x14ac:dyDescent="0.25">
      <c r="A45" s="228">
        <v>8</v>
      </c>
      <c r="B45" s="351" t="s">
        <v>1953</v>
      </c>
      <c r="C45" s="230" t="s">
        <v>2037</v>
      </c>
      <c r="D45" s="283" t="s">
        <v>163</v>
      </c>
      <c r="E45" s="230" t="s">
        <v>712</v>
      </c>
      <c r="F45" s="230" t="s">
        <v>61</v>
      </c>
      <c r="G45" s="231" t="s">
        <v>2038</v>
      </c>
      <c r="H45" s="233" t="s">
        <v>40</v>
      </c>
      <c r="I45" s="236">
        <v>1000</v>
      </c>
      <c r="J45" s="271" t="s">
        <v>152</v>
      </c>
      <c r="K45" s="224" t="s">
        <v>147</v>
      </c>
      <c r="L45" s="224" t="s">
        <v>41</v>
      </c>
      <c r="N45" s="62">
        <f t="shared" si="0"/>
        <v>200</v>
      </c>
    </row>
    <row r="46" spans="1:20" s="62" customFormat="1" x14ac:dyDescent="0.25">
      <c r="A46" s="228">
        <v>8</v>
      </c>
      <c r="B46" s="351" t="s">
        <v>2039</v>
      </c>
      <c r="C46" s="230" t="s">
        <v>2040</v>
      </c>
      <c r="D46" s="230" t="s">
        <v>160</v>
      </c>
      <c r="E46" s="230" t="s">
        <v>814</v>
      </c>
      <c r="F46" s="230" t="s">
        <v>53</v>
      </c>
      <c r="G46" s="231" t="s">
        <v>2041</v>
      </c>
      <c r="H46" s="230" t="s">
        <v>40</v>
      </c>
      <c r="I46" s="236">
        <v>2000</v>
      </c>
      <c r="J46" s="271">
        <v>400</v>
      </c>
      <c r="K46" s="224" t="s">
        <v>147</v>
      </c>
      <c r="L46" s="224" t="s">
        <v>41</v>
      </c>
      <c r="N46" s="62">
        <f t="shared" si="0"/>
        <v>400</v>
      </c>
    </row>
    <row r="47" spans="1:20" s="62" customFormat="1" x14ac:dyDescent="0.25">
      <c r="A47" s="228">
        <v>8</v>
      </c>
      <c r="B47" s="351" t="s">
        <v>2042</v>
      </c>
      <c r="C47" s="230" t="s">
        <v>1353</v>
      </c>
      <c r="D47" s="230" t="s">
        <v>160</v>
      </c>
      <c r="E47" s="230" t="s">
        <v>321</v>
      </c>
      <c r="F47" s="230" t="s">
        <v>42</v>
      </c>
      <c r="G47" s="231" t="s">
        <v>2043</v>
      </c>
      <c r="H47" s="233" t="s">
        <v>40</v>
      </c>
      <c r="I47" s="236">
        <v>3000</v>
      </c>
      <c r="J47" s="271">
        <v>600</v>
      </c>
      <c r="K47" s="224" t="s">
        <v>147</v>
      </c>
      <c r="L47" s="224" t="s">
        <v>41</v>
      </c>
      <c r="N47" s="62">
        <f t="shared" si="0"/>
        <v>600</v>
      </c>
    </row>
    <row r="48" spans="1:20" s="62" customFormat="1" x14ac:dyDescent="0.25">
      <c r="A48" s="228">
        <v>8</v>
      </c>
      <c r="B48" s="351" t="s">
        <v>2044</v>
      </c>
      <c r="C48" s="230" t="s">
        <v>1388</v>
      </c>
      <c r="D48" s="230" t="s">
        <v>160</v>
      </c>
      <c r="E48" s="230" t="s">
        <v>954</v>
      </c>
      <c r="F48" s="230" t="s">
        <v>43</v>
      </c>
      <c r="G48" s="231"/>
      <c r="H48" s="426" t="s">
        <v>1912</v>
      </c>
      <c r="I48" s="236">
        <v>40</v>
      </c>
      <c r="J48" s="271">
        <v>80</v>
      </c>
      <c r="K48" s="224" t="s">
        <v>147</v>
      </c>
      <c r="L48" s="224" t="s">
        <v>41</v>
      </c>
      <c r="N48" s="62">
        <f t="shared" si="0"/>
        <v>8</v>
      </c>
    </row>
    <row r="49" spans="1:18" s="62" customFormat="1" x14ac:dyDescent="0.25">
      <c r="A49" s="228">
        <v>8</v>
      </c>
      <c r="B49" s="351" t="s">
        <v>2045</v>
      </c>
      <c r="C49" s="230" t="s">
        <v>2046</v>
      </c>
      <c r="D49" s="230" t="s">
        <v>160</v>
      </c>
      <c r="E49" s="230" t="s">
        <v>467</v>
      </c>
      <c r="F49" s="230" t="s">
        <v>57</v>
      </c>
      <c r="G49" s="231" t="s">
        <v>2047</v>
      </c>
      <c r="H49" s="233" t="s">
        <v>40</v>
      </c>
      <c r="I49" s="236">
        <v>2000</v>
      </c>
      <c r="J49" s="271">
        <v>400</v>
      </c>
      <c r="K49" s="224" t="s">
        <v>147</v>
      </c>
      <c r="L49" s="224" t="s">
        <v>41</v>
      </c>
      <c r="N49" s="62">
        <f t="shared" si="0"/>
        <v>400</v>
      </c>
    </row>
    <row r="50" spans="1:18" s="62" customFormat="1" x14ac:dyDescent="0.25">
      <c r="A50" s="228">
        <v>8</v>
      </c>
      <c r="B50" s="351" t="s">
        <v>1973</v>
      </c>
      <c r="C50" s="230" t="s">
        <v>2048</v>
      </c>
      <c r="D50" s="283" t="s">
        <v>163</v>
      </c>
      <c r="E50" s="230" t="s">
        <v>1766</v>
      </c>
      <c r="F50" s="230" t="s">
        <v>49</v>
      </c>
      <c r="G50" s="231" t="s">
        <v>2049</v>
      </c>
      <c r="H50" s="233" t="s">
        <v>40</v>
      </c>
      <c r="I50" s="236">
        <v>1000</v>
      </c>
      <c r="J50" s="271">
        <v>200</v>
      </c>
      <c r="K50" s="224" t="s">
        <v>147</v>
      </c>
      <c r="L50" s="224" t="s">
        <v>41</v>
      </c>
      <c r="N50" s="62">
        <f t="shared" si="0"/>
        <v>200</v>
      </c>
      <c r="R50" s="98"/>
    </row>
    <row r="51" spans="1:18" s="62" customFormat="1" x14ac:dyDescent="0.25">
      <c r="A51" s="228">
        <v>9</v>
      </c>
      <c r="B51" s="351" t="s">
        <v>2050</v>
      </c>
      <c r="C51" s="230" t="s">
        <v>2051</v>
      </c>
      <c r="D51" s="230" t="s">
        <v>160</v>
      </c>
      <c r="E51" s="230" t="s">
        <v>2000</v>
      </c>
      <c r="F51" s="230" t="s">
        <v>58</v>
      </c>
      <c r="G51" s="231" t="s">
        <v>2052</v>
      </c>
      <c r="H51" s="230" t="s">
        <v>40</v>
      </c>
      <c r="I51" s="236">
        <v>500</v>
      </c>
      <c r="J51" s="271">
        <v>100</v>
      </c>
      <c r="K51" s="224" t="s">
        <v>147</v>
      </c>
      <c r="L51" s="224" t="s">
        <v>41</v>
      </c>
      <c r="N51" s="62">
        <f t="shared" si="0"/>
        <v>100</v>
      </c>
    </row>
    <row r="52" spans="1:18" s="62" customFormat="1" x14ac:dyDescent="0.25">
      <c r="A52" s="228">
        <v>9</v>
      </c>
      <c r="B52" s="351" t="s">
        <v>2053</v>
      </c>
      <c r="C52" s="230" t="s">
        <v>2054</v>
      </c>
      <c r="D52" s="230" t="s">
        <v>160</v>
      </c>
      <c r="E52" s="230"/>
      <c r="F52" s="230" t="s">
        <v>64</v>
      </c>
      <c r="G52" s="231" t="s">
        <v>2055</v>
      </c>
      <c r="H52" s="233" t="s">
        <v>40</v>
      </c>
      <c r="I52" s="236">
        <v>300</v>
      </c>
      <c r="J52" s="271">
        <v>60</v>
      </c>
      <c r="K52" s="224" t="s">
        <v>147</v>
      </c>
      <c r="L52" s="224" t="s">
        <v>41</v>
      </c>
      <c r="N52" s="62">
        <f t="shared" si="0"/>
        <v>60</v>
      </c>
    </row>
    <row r="53" spans="1:18" s="62" customFormat="1" x14ac:dyDescent="0.25">
      <c r="A53" s="228">
        <v>9</v>
      </c>
      <c r="B53" s="351" t="s">
        <v>2059</v>
      </c>
      <c r="C53" s="230" t="s">
        <v>2060</v>
      </c>
      <c r="D53" s="230" t="s">
        <v>160</v>
      </c>
      <c r="E53" s="230" t="s">
        <v>203</v>
      </c>
      <c r="F53" s="230" t="s">
        <v>61</v>
      </c>
      <c r="G53" s="231"/>
      <c r="H53" s="233" t="s">
        <v>40</v>
      </c>
      <c r="I53" s="236">
        <v>500</v>
      </c>
      <c r="J53" s="271" t="s">
        <v>152</v>
      </c>
      <c r="K53" s="224" t="s">
        <v>147</v>
      </c>
      <c r="L53" s="224" t="s">
        <v>41</v>
      </c>
      <c r="N53" s="62">
        <f t="shared" si="0"/>
        <v>100</v>
      </c>
    </row>
    <row r="54" spans="1:18" s="62" customFormat="1" x14ac:dyDescent="0.25">
      <c r="A54" s="323">
        <v>9</v>
      </c>
      <c r="B54" s="351" t="s">
        <v>2061</v>
      </c>
      <c r="C54" s="230" t="s">
        <v>1525</v>
      </c>
      <c r="D54" s="230" t="s">
        <v>160</v>
      </c>
      <c r="E54" s="230" t="s">
        <v>203</v>
      </c>
      <c r="F54" s="230" t="s">
        <v>61</v>
      </c>
      <c r="G54" s="231"/>
      <c r="H54" s="233" t="s">
        <v>40</v>
      </c>
      <c r="I54" s="236">
        <v>500</v>
      </c>
      <c r="J54" s="271" t="s">
        <v>152</v>
      </c>
      <c r="K54" s="224" t="s">
        <v>147</v>
      </c>
      <c r="L54" s="224" t="s">
        <v>41</v>
      </c>
      <c r="N54" s="62">
        <f t="shared" si="0"/>
        <v>100</v>
      </c>
    </row>
    <row r="55" spans="1:18" s="62" customFormat="1" x14ac:dyDescent="0.25">
      <c r="A55" s="228">
        <v>11</v>
      </c>
      <c r="B55" s="351" t="s">
        <v>2070</v>
      </c>
      <c r="C55" s="230" t="s">
        <v>2071</v>
      </c>
      <c r="D55" s="283" t="s">
        <v>163</v>
      </c>
      <c r="E55" s="230" t="s">
        <v>1271</v>
      </c>
      <c r="F55" s="230" t="s">
        <v>48</v>
      </c>
      <c r="G55" s="231" t="s">
        <v>2072</v>
      </c>
      <c r="H55" s="233" t="s">
        <v>40</v>
      </c>
      <c r="I55" s="236">
        <v>1000</v>
      </c>
      <c r="J55" s="271">
        <v>200</v>
      </c>
      <c r="K55" s="224" t="s">
        <v>147</v>
      </c>
      <c r="L55" s="224" t="s">
        <v>41</v>
      </c>
      <c r="N55" s="62">
        <f t="shared" si="0"/>
        <v>200</v>
      </c>
    </row>
    <row r="56" spans="1:18" s="62" customFormat="1" x14ac:dyDescent="0.25">
      <c r="A56" s="228">
        <v>11</v>
      </c>
      <c r="B56" s="351" t="s">
        <v>2073</v>
      </c>
      <c r="C56" s="230" t="s">
        <v>2074</v>
      </c>
      <c r="D56" s="283" t="s">
        <v>163</v>
      </c>
      <c r="E56" s="230" t="s">
        <v>262</v>
      </c>
      <c r="F56" s="230" t="s">
        <v>69</v>
      </c>
      <c r="G56" s="231" t="s">
        <v>2075</v>
      </c>
      <c r="H56" s="233" t="s">
        <v>40</v>
      </c>
      <c r="I56" s="236">
        <v>2000</v>
      </c>
      <c r="J56" s="271">
        <v>400</v>
      </c>
      <c r="K56" s="224" t="s">
        <v>147</v>
      </c>
      <c r="L56" s="224" t="s">
        <v>41</v>
      </c>
      <c r="N56" s="62">
        <f t="shared" si="0"/>
        <v>400</v>
      </c>
    </row>
    <row r="57" spans="1:18" s="62" customFormat="1" x14ac:dyDescent="0.25">
      <c r="A57" s="228">
        <v>11</v>
      </c>
      <c r="B57" s="351" t="s">
        <v>2076</v>
      </c>
      <c r="C57" s="230" t="s">
        <v>2077</v>
      </c>
      <c r="D57" s="230" t="s">
        <v>160</v>
      </c>
      <c r="E57" s="230" t="s">
        <v>1869</v>
      </c>
      <c r="F57" s="230" t="s">
        <v>42</v>
      </c>
      <c r="G57" s="231" t="s">
        <v>2078</v>
      </c>
      <c r="H57" s="233" t="s">
        <v>40</v>
      </c>
      <c r="I57" s="236">
        <v>300</v>
      </c>
      <c r="J57" s="271">
        <v>60</v>
      </c>
      <c r="K57" s="224" t="s">
        <v>147</v>
      </c>
      <c r="L57" s="224" t="s">
        <v>41</v>
      </c>
      <c r="N57" s="62">
        <f t="shared" si="0"/>
        <v>60</v>
      </c>
    </row>
    <row r="58" spans="1:18" s="62" customFormat="1" x14ac:dyDescent="0.25">
      <c r="A58" s="228">
        <v>11</v>
      </c>
      <c r="B58" s="351" t="s">
        <v>2079</v>
      </c>
      <c r="C58" s="230" t="s">
        <v>2080</v>
      </c>
      <c r="D58" s="230" t="s">
        <v>160</v>
      </c>
      <c r="E58" s="230" t="s">
        <v>60</v>
      </c>
      <c r="F58" s="230" t="s">
        <v>54</v>
      </c>
      <c r="G58" s="231" t="s">
        <v>2081</v>
      </c>
      <c r="H58" s="233" t="s">
        <v>40</v>
      </c>
      <c r="I58" s="236">
        <v>1500</v>
      </c>
      <c r="J58" s="271">
        <v>300</v>
      </c>
      <c r="K58" s="224" t="s">
        <v>147</v>
      </c>
      <c r="L58" s="224" t="s">
        <v>41</v>
      </c>
      <c r="N58" s="62">
        <f t="shared" si="0"/>
        <v>300</v>
      </c>
    </row>
    <row r="59" spans="1:18" s="62" customFormat="1" x14ac:dyDescent="0.25">
      <c r="A59" s="228">
        <v>11</v>
      </c>
      <c r="B59" s="351" t="s">
        <v>2082</v>
      </c>
      <c r="C59" s="230" t="s">
        <v>2083</v>
      </c>
      <c r="D59" s="230" t="s">
        <v>160</v>
      </c>
      <c r="E59" s="230" t="s">
        <v>2084</v>
      </c>
      <c r="F59" s="230" t="s">
        <v>49</v>
      </c>
      <c r="G59" s="231" t="s">
        <v>2085</v>
      </c>
      <c r="H59" s="233" t="s">
        <v>40</v>
      </c>
      <c r="I59" s="236">
        <v>3000</v>
      </c>
      <c r="J59" s="271">
        <v>600</v>
      </c>
      <c r="K59" s="224" t="s">
        <v>147</v>
      </c>
      <c r="L59" s="224" t="s">
        <v>41</v>
      </c>
      <c r="N59" s="62">
        <f t="shared" si="0"/>
        <v>600</v>
      </c>
    </row>
    <row r="60" spans="1:18" s="62" customFormat="1" x14ac:dyDescent="0.25">
      <c r="A60" s="228">
        <v>11</v>
      </c>
      <c r="B60" s="351" t="s">
        <v>2086</v>
      </c>
      <c r="C60" s="230" t="s">
        <v>2087</v>
      </c>
      <c r="D60" s="283" t="s">
        <v>163</v>
      </c>
      <c r="E60" s="230" t="s">
        <v>538</v>
      </c>
      <c r="F60" s="230" t="s">
        <v>49</v>
      </c>
      <c r="G60" s="231" t="s">
        <v>2088</v>
      </c>
      <c r="H60" s="233" t="s">
        <v>40</v>
      </c>
      <c r="I60" s="236">
        <v>600</v>
      </c>
      <c r="J60" s="271">
        <v>120</v>
      </c>
      <c r="K60" s="224" t="s">
        <v>147</v>
      </c>
      <c r="L60" s="224" t="s">
        <v>41</v>
      </c>
      <c r="N60" s="62">
        <f t="shared" si="0"/>
        <v>120</v>
      </c>
    </row>
    <row r="61" spans="1:18" s="62" customFormat="1" x14ac:dyDescent="0.25">
      <c r="A61" s="228">
        <v>11</v>
      </c>
      <c r="B61" s="351" t="s">
        <v>2089</v>
      </c>
      <c r="C61" s="230" t="s">
        <v>2090</v>
      </c>
      <c r="D61" s="283" t="s">
        <v>163</v>
      </c>
      <c r="E61" s="230" t="s">
        <v>167</v>
      </c>
      <c r="F61" s="230" t="s">
        <v>43</v>
      </c>
      <c r="G61" s="231"/>
      <c r="H61" s="233" t="s">
        <v>40</v>
      </c>
      <c r="I61" s="236">
        <v>10000</v>
      </c>
      <c r="J61" s="271">
        <v>3000</v>
      </c>
      <c r="K61" s="224" t="s">
        <v>147</v>
      </c>
      <c r="L61" s="224" t="s">
        <v>41</v>
      </c>
      <c r="N61" s="62">
        <f t="shared" si="0"/>
        <v>2000</v>
      </c>
    </row>
    <row r="62" spans="1:18" x14ac:dyDescent="0.25">
      <c r="A62" s="228">
        <v>11</v>
      </c>
      <c r="B62" s="351" t="s">
        <v>2091</v>
      </c>
      <c r="C62" s="230" t="s">
        <v>2092</v>
      </c>
      <c r="D62" s="283" t="s">
        <v>163</v>
      </c>
      <c r="E62" s="230" t="s">
        <v>712</v>
      </c>
      <c r="F62" s="230" t="s">
        <v>61</v>
      </c>
      <c r="G62" s="231"/>
      <c r="H62" s="233" t="s">
        <v>40</v>
      </c>
      <c r="I62" s="236">
        <v>500</v>
      </c>
      <c r="J62" s="271" t="s">
        <v>152</v>
      </c>
      <c r="K62" s="224" t="s">
        <v>147</v>
      </c>
      <c r="L62" s="224" t="s">
        <v>41</v>
      </c>
      <c r="N62">
        <f t="shared" si="0"/>
        <v>100</v>
      </c>
    </row>
    <row r="63" spans="1:18" x14ac:dyDescent="0.25">
      <c r="A63" s="228">
        <v>11</v>
      </c>
      <c r="B63" s="351" t="s">
        <v>2093</v>
      </c>
      <c r="C63" s="233" t="s">
        <v>2094</v>
      </c>
      <c r="D63" s="283" t="s">
        <v>163</v>
      </c>
      <c r="E63" s="230" t="s">
        <v>712</v>
      </c>
      <c r="F63" s="230" t="s">
        <v>61</v>
      </c>
      <c r="G63" s="231"/>
      <c r="H63" s="230" t="s">
        <v>40</v>
      </c>
      <c r="I63" s="236">
        <v>500</v>
      </c>
      <c r="J63" s="271" t="s">
        <v>152</v>
      </c>
      <c r="K63" s="224" t="s">
        <v>147</v>
      </c>
      <c r="L63" s="224" t="s">
        <v>41</v>
      </c>
      <c r="N63">
        <f t="shared" si="0"/>
        <v>100</v>
      </c>
    </row>
    <row r="64" spans="1:18" x14ac:dyDescent="0.25">
      <c r="A64" s="246">
        <v>11</v>
      </c>
      <c r="B64" s="352" t="s">
        <v>2093</v>
      </c>
      <c r="C64" s="233" t="s">
        <v>1723</v>
      </c>
      <c r="D64" s="230" t="s">
        <v>160</v>
      </c>
      <c r="E64" s="230" t="s">
        <v>712</v>
      </c>
      <c r="F64" s="230" t="s">
        <v>61</v>
      </c>
      <c r="G64" s="231"/>
      <c r="H64" s="233" t="s">
        <v>40</v>
      </c>
      <c r="I64" s="236">
        <v>500</v>
      </c>
      <c r="J64" s="271" t="s">
        <v>152</v>
      </c>
      <c r="K64" s="224" t="s">
        <v>147</v>
      </c>
      <c r="L64" s="224" t="s">
        <v>41</v>
      </c>
      <c r="N64">
        <f t="shared" si="0"/>
        <v>100</v>
      </c>
    </row>
    <row r="65" spans="1:14" x14ac:dyDescent="0.25">
      <c r="A65" s="246">
        <v>11</v>
      </c>
      <c r="B65" s="352" t="s">
        <v>2095</v>
      </c>
      <c r="C65" s="233" t="s">
        <v>2096</v>
      </c>
      <c r="D65" s="283" t="s">
        <v>163</v>
      </c>
      <c r="E65" s="230" t="s">
        <v>712</v>
      </c>
      <c r="F65" s="230" t="s">
        <v>61</v>
      </c>
      <c r="G65" s="231"/>
      <c r="H65" s="233" t="s">
        <v>40</v>
      </c>
      <c r="I65" s="236">
        <v>500</v>
      </c>
      <c r="J65" s="271" t="s">
        <v>152</v>
      </c>
      <c r="K65" s="230" t="s">
        <v>147</v>
      </c>
      <c r="L65" s="230" t="s">
        <v>41</v>
      </c>
      <c r="N65">
        <f t="shared" si="0"/>
        <v>100</v>
      </c>
    </row>
    <row r="66" spans="1:14" x14ac:dyDescent="0.25">
      <c r="A66" s="246">
        <v>11</v>
      </c>
      <c r="B66" s="352" t="s">
        <v>1762</v>
      </c>
      <c r="C66" s="233" t="s">
        <v>1300</v>
      </c>
      <c r="D66" s="230" t="s">
        <v>160</v>
      </c>
      <c r="E66" s="230" t="s">
        <v>2097</v>
      </c>
      <c r="F66" s="230" t="s">
        <v>47</v>
      </c>
      <c r="G66" s="231"/>
      <c r="H66" s="233" t="s">
        <v>40</v>
      </c>
      <c r="I66" s="236">
        <v>100</v>
      </c>
      <c r="J66" s="271">
        <v>30</v>
      </c>
      <c r="K66" s="224" t="s">
        <v>147</v>
      </c>
      <c r="L66" s="224" t="s">
        <v>41</v>
      </c>
      <c r="N66">
        <f t="shared" si="0"/>
        <v>20</v>
      </c>
    </row>
    <row r="67" spans="1:14" x14ac:dyDescent="0.25">
      <c r="A67" s="273">
        <v>11</v>
      </c>
      <c r="B67" s="352" t="s">
        <v>1990</v>
      </c>
      <c r="C67" s="233" t="s">
        <v>2098</v>
      </c>
      <c r="D67" s="230" t="s">
        <v>160</v>
      </c>
      <c r="E67" s="230" t="s">
        <v>375</v>
      </c>
      <c r="F67" s="230" t="s">
        <v>43</v>
      </c>
      <c r="G67" s="231" t="s">
        <v>2099</v>
      </c>
      <c r="H67" s="233" t="s">
        <v>40</v>
      </c>
      <c r="I67" s="236">
        <v>1000</v>
      </c>
      <c r="J67" s="271">
        <v>200</v>
      </c>
      <c r="K67" s="224" t="s">
        <v>147</v>
      </c>
      <c r="L67" s="224" t="s">
        <v>41</v>
      </c>
      <c r="N67">
        <f t="shared" si="0"/>
        <v>200</v>
      </c>
    </row>
    <row r="68" spans="1:14" x14ac:dyDescent="0.25">
      <c r="A68" s="246">
        <v>16</v>
      </c>
      <c r="B68" s="352" t="s">
        <v>2104</v>
      </c>
      <c r="C68" s="233" t="s">
        <v>2105</v>
      </c>
      <c r="D68" s="230" t="s">
        <v>160</v>
      </c>
      <c r="E68" s="230" t="s">
        <v>588</v>
      </c>
      <c r="F68" s="230" t="s">
        <v>43</v>
      </c>
      <c r="G68" s="231"/>
      <c r="H68" s="233" t="s">
        <v>40</v>
      </c>
      <c r="I68" s="236">
        <v>500</v>
      </c>
      <c r="J68" s="271">
        <v>100</v>
      </c>
      <c r="K68" s="224" t="s">
        <v>147</v>
      </c>
      <c r="L68" s="224" t="s">
        <v>41</v>
      </c>
      <c r="N68">
        <f t="shared" si="0"/>
        <v>100</v>
      </c>
    </row>
    <row r="69" spans="1:14" x14ac:dyDescent="0.25">
      <c r="A69" s="246">
        <v>16</v>
      </c>
      <c r="B69" s="352" t="s">
        <v>2106</v>
      </c>
      <c r="C69" s="233" t="s">
        <v>2107</v>
      </c>
      <c r="D69" s="230" t="s">
        <v>160</v>
      </c>
      <c r="E69" s="230" t="s">
        <v>2108</v>
      </c>
      <c r="F69" s="230" t="s">
        <v>65</v>
      </c>
      <c r="G69" s="231"/>
      <c r="H69" s="233" t="s">
        <v>40</v>
      </c>
      <c r="I69" s="236">
        <v>500</v>
      </c>
      <c r="J69" s="271">
        <v>100</v>
      </c>
      <c r="K69" s="224" t="s">
        <v>147</v>
      </c>
      <c r="L69" s="224" t="s">
        <v>41</v>
      </c>
      <c r="N69">
        <f t="shared" si="0"/>
        <v>100</v>
      </c>
    </row>
    <row r="70" spans="1:14" x14ac:dyDescent="0.25">
      <c r="A70" s="246">
        <v>16</v>
      </c>
      <c r="B70" s="352" t="s">
        <v>1760</v>
      </c>
      <c r="C70" s="233" t="s">
        <v>1409</v>
      </c>
      <c r="D70" s="230" t="s">
        <v>160</v>
      </c>
      <c r="E70" s="230" t="s">
        <v>583</v>
      </c>
      <c r="F70" s="230" t="s">
        <v>42</v>
      </c>
      <c r="G70" s="231" t="s">
        <v>2109</v>
      </c>
      <c r="H70" s="233" t="s">
        <v>40</v>
      </c>
      <c r="I70" s="236">
        <v>3000</v>
      </c>
      <c r="J70" s="271">
        <v>600</v>
      </c>
      <c r="K70" s="224" t="s">
        <v>147</v>
      </c>
      <c r="L70" s="224" t="s">
        <v>41</v>
      </c>
      <c r="N70">
        <f t="shared" si="0"/>
        <v>600</v>
      </c>
    </row>
    <row r="71" spans="1:14" x14ac:dyDescent="0.25">
      <c r="A71" s="246">
        <v>16</v>
      </c>
      <c r="B71" s="352" t="s">
        <v>2110</v>
      </c>
      <c r="C71" s="233" t="s">
        <v>1756</v>
      </c>
      <c r="D71" s="230" t="s">
        <v>160</v>
      </c>
      <c r="E71" s="230" t="s">
        <v>401</v>
      </c>
      <c r="F71" s="230" t="s">
        <v>45</v>
      </c>
      <c r="G71" s="231" t="s">
        <v>2111</v>
      </c>
      <c r="H71" s="230" t="s">
        <v>40</v>
      </c>
      <c r="I71" s="236">
        <v>1000</v>
      </c>
      <c r="J71" s="271">
        <v>200</v>
      </c>
      <c r="K71" s="224" t="s">
        <v>147</v>
      </c>
      <c r="L71" s="224" t="s">
        <v>41</v>
      </c>
      <c r="N71">
        <f t="shared" si="0"/>
        <v>200</v>
      </c>
    </row>
    <row r="72" spans="1:14" x14ac:dyDescent="0.25">
      <c r="A72" s="246">
        <v>16</v>
      </c>
      <c r="B72" s="352" t="s">
        <v>2042</v>
      </c>
      <c r="C72" s="233" t="s">
        <v>2112</v>
      </c>
      <c r="D72" s="230" t="s">
        <v>160</v>
      </c>
      <c r="E72" s="230" t="s">
        <v>167</v>
      </c>
      <c r="F72" s="230" t="s">
        <v>43</v>
      </c>
      <c r="G72" s="231"/>
      <c r="H72" s="409" t="s">
        <v>40</v>
      </c>
      <c r="I72" s="236">
        <v>2500</v>
      </c>
      <c r="J72" s="271">
        <v>500</v>
      </c>
      <c r="K72" s="224" t="s">
        <v>147</v>
      </c>
      <c r="L72" s="224" t="s">
        <v>41</v>
      </c>
      <c r="N72">
        <f t="shared" si="0"/>
        <v>500</v>
      </c>
    </row>
    <row r="73" spans="1:14" x14ac:dyDescent="0.25">
      <c r="A73" s="246">
        <v>16</v>
      </c>
      <c r="B73" s="352" t="s">
        <v>2113</v>
      </c>
      <c r="C73" s="233" t="s">
        <v>2114</v>
      </c>
      <c r="D73" s="283" t="s">
        <v>163</v>
      </c>
      <c r="E73" s="230" t="s">
        <v>2115</v>
      </c>
      <c r="F73" s="230" t="s">
        <v>55</v>
      </c>
      <c r="G73" s="231" t="s">
        <v>2116</v>
      </c>
      <c r="H73" s="233" t="s">
        <v>40</v>
      </c>
      <c r="I73" s="236">
        <v>300</v>
      </c>
      <c r="J73" s="271">
        <v>60</v>
      </c>
      <c r="K73" s="224" t="s">
        <v>147</v>
      </c>
      <c r="L73" s="224" t="s">
        <v>41</v>
      </c>
      <c r="N73">
        <f t="shared" si="0"/>
        <v>60</v>
      </c>
    </row>
    <row r="74" spans="1:14" x14ac:dyDescent="0.25">
      <c r="A74" s="246">
        <v>16</v>
      </c>
      <c r="B74" s="352" t="s">
        <v>1414</v>
      </c>
      <c r="C74" s="233" t="s">
        <v>2117</v>
      </c>
      <c r="D74" s="230" t="s">
        <v>160</v>
      </c>
      <c r="E74" s="230" t="s">
        <v>1151</v>
      </c>
      <c r="F74" s="230" t="s">
        <v>49</v>
      </c>
      <c r="G74" s="231" t="s">
        <v>2118</v>
      </c>
      <c r="H74" s="233" t="s">
        <v>40</v>
      </c>
      <c r="I74" s="236">
        <v>1700</v>
      </c>
      <c r="J74" s="271">
        <v>340</v>
      </c>
      <c r="K74" s="224" t="s">
        <v>147</v>
      </c>
      <c r="L74" s="224" t="s">
        <v>41</v>
      </c>
      <c r="N74">
        <f t="shared" si="0"/>
        <v>340</v>
      </c>
    </row>
    <row r="75" spans="1:14" x14ac:dyDescent="0.25">
      <c r="A75" s="246">
        <v>16</v>
      </c>
      <c r="B75" s="352" t="s">
        <v>2119</v>
      </c>
      <c r="C75" s="233" t="s">
        <v>2120</v>
      </c>
      <c r="D75" s="230" t="s">
        <v>160</v>
      </c>
      <c r="E75" s="230"/>
      <c r="F75" s="230" t="s">
        <v>43</v>
      </c>
      <c r="G75" s="231"/>
      <c r="H75" s="233" t="s">
        <v>40</v>
      </c>
      <c r="I75" s="236">
        <v>300</v>
      </c>
      <c r="J75" s="271" t="s">
        <v>152</v>
      </c>
      <c r="K75" s="224" t="s">
        <v>147</v>
      </c>
      <c r="L75" s="224" t="s">
        <v>41</v>
      </c>
      <c r="N75">
        <f t="shared" si="0"/>
        <v>60</v>
      </c>
    </row>
    <row r="76" spans="1:14" x14ac:dyDescent="0.25">
      <c r="A76" s="246">
        <v>16</v>
      </c>
      <c r="B76" s="352" t="s">
        <v>2121</v>
      </c>
      <c r="C76" s="233" t="s">
        <v>2122</v>
      </c>
      <c r="D76" s="230" t="s">
        <v>160</v>
      </c>
      <c r="E76" s="230" t="s">
        <v>191</v>
      </c>
      <c r="F76" s="230" t="s">
        <v>43</v>
      </c>
      <c r="G76" s="231" t="s">
        <v>2123</v>
      </c>
      <c r="H76" s="230" t="s">
        <v>40</v>
      </c>
      <c r="I76" s="236">
        <v>300</v>
      </c>
      <c r="J76" s="271">
        <v>60</v>
      </c>
      <c r="K76" s="224" t="s">
        <v>147</v>
      </c>
      <c r="L76" s="224" t="s">
        <v>41</v>
      </c>
      <c r="N76">
        <f t="shared" si="0"/>
        <v>60</v>
      </c>
    </row>
    <row r="77" spans="1:14" x14ac:dyDescent="0.25">
      <c r="A77" s="246">
        <v>16</v>
      </c>
      <c r="B77" s="352" t="s">
        <v>2124</v>
      </c>
      <c r="C77" s="233" t="s">
        <v>2112</v>
      </c>
      <c r="D77" s="230" t="s">
        <v>160</v>
      </c>
      <c r="E77" s="230" t="s">
        <v>1909</v>
      </c>
      <c r="F77" s="230" t="s">
        <v>49</v>
      </c>
      <c r="G77" s="231"/>
      <c r="H77" s="233" t="s">
        <v>40</v>
      </c>
      <c r="I77" s="236">
        <v>1000</v>
      </c>
      <c r="J77" s="271">
        <v>200</v>
      </c>
      <c r="K77" s="224" t="s">
        <v>147</v>
      </c>
      <c r="L77" s="224" t="s">
        <v>41</v>
      </c>
      <c r="N77">
        <f t="shared" si="0"/>
        <v>200</v>
      </c>
    </row>
    <row r="78" spans="1:14" x14ac:dyDescent="0.25">
      <c r="A78" s="246">
        <v>16</v>
      </c>
      <c r="B78" s="352" t="s">
        <v>2125</v>
      </c>
      <c r="C78" s="233" t="s">
        <v>2126</v>
      </c>
      <c r="D78" s="283" t="s">
        <v>163</v>
      </c>
      <c r="E78" s="230" t="s">
        <v>470</v>
      </c>
      <c r="F78" s="230" t="s">
        <v>45</v>
      </c>
      <c r="G78" s="231" t="s">
        <v>2127</v>
      </c>
      <c r="H78" s="233" t="s">
        <v>40</v>
      </c>
      <c r="I78" s="236">
        <v>700</v>
      </c>
      <c r="J78" s="271">
        <v>140</v>
      </c>
      <c r="K78" s="224" t="s">
        <v>147</v>
      </c>
      <c r="L78" s="224" t="s">
        <v>41</v>
      </c>
      <c r="N78">
        <f t="shared" si="0"/>
        <v>140</v>
      </c>
    </row>
    <row r="79" spans="1:14" x14ac:dyDescent="0.25">
      <c r="A79" s="246">
        <v>16</v>
      </c>
      <c r="B79" s="352" t="s">
        <v>2128</v>
      </c>
      <c r="C79" s="233" t="s">
        <v>1406</v>
      </c>
      <c r="D79" s="230" t="s">
        <v>160</v>
      </c>
      <c r="E79" s="230"/>
      <c r="F79" s="230" t="s">
        <v>60</v>
      </c>
      <c r="G79" s="231"/>
      <c r="H79" s="230" t="s">
        <v>40</v>
      </c>
      <c r="I79" s="236">
        <v>200</v>
      </c>
      <c r="J79" s="271">
        <v>40</v>
      </c>
      <c r="K79" s="224" t="s">
        <v>147</v>
      </c>
      <c r="L79" s="224" t="s">
        <v>41</v>
      </c>
      <c r="N79">
        <f t="shared" si="0"/>
        <v>40</v>
      </c>
    </row>
    <row r="80" spans="1:14" x14ac:dyDescent="0.25">
      <c r="A80" s="246">
        <v>16</v>
      </c>
      <c r="B80" s="352" t="s">
        <v>2129</v>
      </c>
      <c r="C80" s="233" t="s">
        <v>2130</v>
      </c>
      <c r="D80" s="230" t="s">
        <v>160</v>
      </c>
      <c r="E80" s="230" t="s">
        <v>1180</v>
      </c>
      <c r="F80" s="230" t="s">
        <v>42</v>
      </c>
      <c r="G80" s="231" t="s">
        <v>2131</v>
      </c>
      <c r="H80" s="233" t="s">
        <v>40</v>
      </c>
      <c r="I80" s="236">
        <v>4000</v>
      </c>
      <c r="J80" s="271">
        <v>800</v>
      </c>
      <c r="K80" s="224" t="s">
        <v>147</v>
      </c>
      <c r="L80" s="224" t="s">
        <v>41</v>
      </c>
      <c r="N80">
        <f t="shared" si="0"/>
        <v>800</v>
      </c>
    </row>
    <row r="81" spans="1:14" x14ac:dyDescent="0.25">
      <c r="A81" s="246">
        <v>16</v>
      </c>
      <c r="B81" s="352" t="s">
        <v>1898</v>
      </c>
      <c r="C81" s="233" t="s">
        <v>1874</v>
      </c>
      <c r="D81" s="230" t="s">
        <v>160</v>
      </c>
      <c r="E81" s="230" t="s">
        <v>693</v>
      </c>
      <c r="F81" s="230" t="s">
        <v>57</v>
      </c>
      <c r="G81" s="231"/>
      <c r="H81" s="233" t="s">
        <v>40</v>
      </c>
      <c r="I81" s="236">
        <v>5000</v>
      </c>
      <c r="J81" s="271">
        <v>1000</v>
      </c>
      <c r="K81" s="224" t="s">
        <v>147</v>
      </c>
      <c r="L81" s="224" t="s">
        <v>41</v>
      </c>
      <c r="N81">
        <f t="shared" si="0"/>
        <v>1000</v>
      </c>
    </row>
    <row r="82" spans="1:14" x14ac:dyDescent="0.25">
      <c r="A82" s="246">
        <v>16</v>
      </c>
      <c r="B82" s="352" t="s">
        <v>2132</v>
      </c>
      <c r="C82" s="233" t="s">
        <v>2133</v>
      </c>
      <c r="D82" s="283" t="s">
        <v>163</v>
      </c>
      <c r="E82" s="230" t="s">
        <v>2134</v>
      </c>
      <c r="F82" s="230" t="s">
        <v>62</v>
      </c>
      <c r="G82" s="231" t="s">
        <v>2135</v>
      </c>
      <c r="H82" s="230" t="s">
        <v>40</v>
      </c>
      <c r="I82" s="236">
        <v>500</v>
      </c>
      <c r="J82" s="271">
        <v>100</v>
      </c>
      <c r="K82" s="224" t="s">
        <v>147</v>
      </c>
      <c r="L82" s="224" t="s">
        <v>41</v>
      </c>
      <c r="N82">
        <f t="shared" si="0"/>
        <v>100</v>
      </c>
    </row>
    <row r="83" spans="1:14" x14ac:dyDescent="0.25">
      <c r="A83" s="246">
        <v>16</v>
      </c>
      <c r="B83" s="352" t="s">
        <v>1432</v>
      </c>
      <c r="C83" s="233" t="s">
        <v>2136</v>
      </c>
      <c r="D83" s="230" t="s">
        <v>160</v>
      </c>
      <c r="E83" s="230" t="s">
        <v>180</v>
      </c>
      <c r="F83" s="230" t="s">
        <v>58</v>
      </c>
      <c r="G83" s="231"/>
      <c r="H83" s="233" t="s">
        <v>40</v>
      </c>
      <c r="I83" s="236">
        <v>500</v>
      </c>
      <c r="J83" s="271">
        <v>100</v>
      </c>
      <c r="K83" s="224" t="s">
        <v>147</v>
      </c>
      <c r="L83" s="224" t="s">
        <v>41</v>
      </c>
      <c r="N83">
        <f t="shared" si="0"/>
        <v>100</v>
      </c>
    </row>
    <row r="84" spans="1:14" x14ac:dyDescent="0.25">
      <c r="A84" s="246">
        <v>16</v>
      </c>
      <c r="B84" s="352" t="s">
        <v>2137</v>
      </c>
      <c r="C84" s="233" t="s">
        <v>2126</v>
      </c>
      <c r="D84" s="283" t="s">
        <v>163</v>
      </c>
      <c r="E84" s="230" t="s">
        <v>196</v>
      </c>
      <c r="F84" s="230" t="s">
        <v>56</v>
      </c>
      <c r="G84" s="231"/>
      <c r="H84" s="230" t="s">
        <v>40</v>
      </c>
      <c r="I84" s="236">
        <v>3000</v>
      </c>
      <c r="J84" s="271">
        <v>900</v>
      </c>
      <c r="K84" s="224" t="s">
        <v>147</v>
      </c>
      <c r="L84" s="224" t="s">
        <v>41</v>
      </c>
      <c r="N84">
        <f t="shared" si="0"/>
        <v>600</v>
      </c>
    </row>
    <row r="85" spans="1:14" x14ac:dyDescent="0.25">
      <c r="A85" s="246">
        <v>16</v>
      </c>
      <c r="B85" s="352" t="s">
        <v>2138</v>
      </c>
      <c r="C85" s="233" t="s">
        <v>2139</v>
      </c>
      <c r="D85" s="230" t="s">
        <v>160</v>
      </c>
      <c r="E85" s="230" t="s">
        <v>234</v>
      </c>
      <c r="F85" s="230" t="s">
        <v>49</v>
      </c>
      <c r="G85" s="231" t="s">
        <v>2140</v>
      </c>
      <c r="H85" s="233" t="s">
        <v>40</v>
      </c>
      <c r="I85" s="236">
        <v>2000</v>
      </c>
      <c r="J85" s="271">
        <v>400</v>
      </c>
      <c r="K85" s="224" t="s">
        <v>147</v>
      </c>
      <c r="L85" s="224" t="s">
        <v>41</v>
      </c>
      <c r="N85">
        <f t="shared" si="0"/>
        <v>400</v>
      </c>
    </row>
    <row r="86" spans="1:14" x14ac:dyDescent="0.25">
      <c r="A86" s="246">
        <v>16</v>
      </c>
      <c r="B86" s="352" t="s">
        <v>1564</v>
      </c>
      <c r="C86" s="233" t="s">
        <v>2141</v>
      </c>
      <c r="D86" s="230" t="s">
        <v>160</v>
      </c>
      <c r="E86" s="230" t="s">
        <v>167</v>
      </c>
      <c r="F86" s="230" t="s">
        <v>43</v>
      </c>
      <c r="G86" s="231"/>
      <c r="H86" s="230" t="s">
        <v>40</v>
      </c>
      <c r="I86" s="236">
        <v>2500</v>
      </c>
      <c r="J86" s="271">
        <v>500</v>
      </c>
      <c r="K86" s="224" t="s">
        <v>147</v>
      </c>
      <c r="L86" s="224" t="s">
        <v>41</v>
      </c>
      <c r="N86">
        <f t="shared" si="0"/>
        <v>500</v>
      </c>
    </row>
    <row r="87" spans="1:14" x14ac:dyDescent="0.25">
      <c r="A87" s="246">
        <v>16</v>
      </c>
      <c r="B87" s="352" t="s">
        <v>2142</v>
      </c>
      <c r="C87" s="233" t="s">
        <v>2143</v>
      </c>
      <c r="D87" s="230" t="s">
        <v>160</v>
      </c>
      <c r="E87" s="230" t="s">
        <v>194</v>
      </c>
      <c r="F87" s="230" t="s">
        <v>43</v>
      </c>
      <c r="G87" s="231" t="s">
        <v>2144</v>
      </c>
      <c r="H87" s="230" t="s">
        <v>40</v>
      </c>
      <c r="I87" s="236">
        <v>500</v>
      </c>
      <c r="J87" s="271">
        <v>100</v>
      </c>
      <c r="K87" s="224" t="s">
        <v>147</v>
      </c>
      <c r="L87" s="224" t="s">
        <v>41</v>
      </c>
      <c r="N87">
        <f t="shared" si="0"/>
        <v>100</v>
      </c>
    </row>
    <row r="88" spans="1:14" x14ac:dyDescent="0.25">
      <c r="A88" s="246">
        <v>16</v>
      </c>
      <c r="B88" s="352" t="s">
        <v>2145</v>
      </c>
      <c r="C88" s="233" t="s">
        <v>2146</v>
      </c>
      <c r="D88" s="230" t="s">
        <v>160</v>
      </c>
      <c r="E88" s="230" t="s">
        <v>2147</v>
      </c>
      <c r="F88" s="230" t="s">
        <v>42</v>
      </c>
      <c r="G88" s="231" t="s">
        <v>2148</v>
      </c>
      <c r="H88" s="233" t="s">
        <v>40</v>
      </c>
      <c r="I88" s="236">
        <v>15000</v>
      </c>
      <c r="J88" s="271">
        <v>3000</v>
      </c>
      <c r="K88" s="224" t="s">
        <v>147</v>
      </c>
      <c r="L88" s="224" t="s">
        <v>41</v>
      </c>
      <c r="N88">
        <f t="shared" si="0"/>
        <v>3000</v>
      </c>
    </row>
    <row r="89" spans="1:14" x14ac:dyDescent="0.25">
      <c r="A89" s="246">
        <v>16</v>
      </c>
      <c r="B89" s="352" t="s">
        <v>2149</v>
      </c>
      <c r="C89" s="233" t="s">
        <v>2150</v>
      </c>
      <c r="D89" s="230" t="s">
        <v>160</v>
      </c>
      <c r="E89" s="230" t="s">
        <v>538</v>
      </c>
      <c r="F89" s="230" t="s">
        <v>49</v>
      </c>
      <c r="G89" s="231"/>
      <c r="H89" s="233" t="s">
        <v>40</v>
      </c>
      <c r="I89" s="236">
        <v>1000</v>
      </c>
      <c r="J89" s="271">
        <v>200</v>
      </c>
      <c r="K89" s="224" t="s">
        <v>147</v>
      </c>
      <c r="L89" s="224" t="s">
        <v>41</v>
      </c>
      <c r="N89">
        <f t="shared" si="0"/>
        <v>200</v>
      </c>
    </row>
    <row r="90" spans="1:14" x14ac:dyDescent="0.25">
      <c r="A90" s="246">
        <v>16</v>
      </c>
      <c r="B90" s="352" t="s">
        <v>2151</v>
      </c>
      <c r="C90" s="233" t="s">
        <v>2152</v>
      </c>
      <c r="D90" s="230" t="s">
        <v>160</v>
      </c>
      <c r="E90" s="230" t="s">
        <v>2147</v>
      </c>
      <c r="F90" s="230" t="s">
        <v>42</v>
      </c>
      <c r="G90" s="231"/>
      <c r="H90" s="233" t="s">
        <v>40</v>
      </c>
      <c r="I90" s="236">
        <v>1000</v>
      </c>
      <c r="J90" s="271">
        <v>200</v>
      </c>
      <c r="K90" s="224" t="s">
        <v>147</v>
      </c>
      <c r="L90" s="224" t="s">
        <v>41</v>
      </c>
      <c r="N90">
        <f t="shared" si="0"/>
        <v>200</v>
      </c>
    </row>
    <row r="91" spans="1:14" x14ac:dyDescent="0.25">
      <c r="A91" s="246">
        <v>16</v>
      </c>
      <c r="B91" s="352" t="s">
        <v>2153</v>
      </c>
      <c r="C91" s="233" t="s">
        <v>2154</v>
      </c>
      <c r="D91" s="283" t="s">
        <v>163</v>
      </c>
      <c r="E91" s="230" t="s">
        <v>60</v>
      </c>
      <c r="F91" s="230" t="s">
        <v>54</v>
      </c>
      <c r="G91" s="231" t="s">
        <v>2155</v>
      </c>
      <c r="H91" s="230" t="s">
        <v>40</v>
      </c>
      <c r="I91" s="236">
        <v>10000</v>
      </c>
      <c r="J91" s="271">
        <v>2000</v>
      </c>
      <c r="K91" s="224" t="s">
        <v>147</v>
      </c>
      <c r="L91" s="224" t="s">
        <v>41</v>
      </c>
      <c r="N91">
        <f t="shared" si="0"/>
        <v>2000</v>
      </c>
    </row>
    <row r="92" spans="1:14" x14ac:dyDescent="0.25">
      <c r="A92" s="246">
        <v>16</v>
      </c>
      <c r="B92" s="352" t="s">
        <v>1432</v>
      </c>
      <c r="C92" s="233" t="s">
        <v>2156</v>
      </c>
      <c r="D92" s="230" t="s">
        <v>160</v>
      </c>
      <c r="E92" s="230" t="s">
        <v>2157</v>
      </c>
      <c r="F92" s="230" t="s">
        <v>58</v>
      </c>
      <c r="G92" s="231"/>
      <c r="H92" s="233" t="s">
        <v>40</v>
      </c>
      <c r="I92" s="236">
        <v>1600</v>
      </c>
      <c r="J92" s="271" t="s">
        <v>152</v>
      </c>
      <c r="K92" s="224" t="s">
        <v>147</v>
      </c>
      <c r="L92" s="224" t="s">
        <v>41</v>
      </c>
      <c r="N92">
        <f t="shared" si="0"/>
        <v>320</v>
      </c>
    </row>
    <row r="93" spans="1:14" x14ac:dyDescent="0.25">
      <c r="A93" s="246">
        <v>17</v>
      </c>
      <c r="B93" s="352" t="s">
        <v>2014</v>
      </c>
      <c r="C93" s="233" t="s">
        <v>2015</v>
      </c>
      <c r="D93" s="283" t="s">
        <v>163</v>
      </c>
      <c r="E93" s="230" t="s">
        <v>947</v>
      </c>
      <c r="F93" s="230" t="s">
        <v>60</v>
      </c>
      <c r="G93" s="231" t="s">
        <v>2017</v>
      </c>
      <c r="H93" s="233" t="s">
        <v>40</v>
      </c>
      <c r="I93" s="236">
        <v>2000</v>
      </c>
      <c r="J93" s="271">
        <v>400</v>
      </c>
      <c r="K93" s="224" t="s">
        <v>147</v>
      </c>
      <c r="L93" s="224" t="s">
        <v>41</v>
      </c>
      <c r="N93">
        <f t="shared" si="0"/>
        <v>400</v>
      </c>
    </row>
    <row r="94" spans="1:14" x14ac:dyDescent="0.25">
      <c r="A94" s="246">
        <v>17</v>
      </c>
      <c r="B94" s="352" t="s">
        <v>2158</v>
      </c>
      <c r="C94" s="233" t="s">
        <v>2159</v>
      </c>
      <c r="D94" s="230" t="s">
        <v>160</v>
      </c>
      <c r="E94" s="230" t="s">
        <v>2160</v>
      </c>
      <c r="F94" s="230" t="s">
        <v>54</v>
      </c>
      <c r="G94" s="231"/>
      <c r="H94" s="233" t="s">
        <v>40</v>
      </c>
      <c r="I94" s="236">
        <v>3500</v>
      </c>
      <c r="J94" s="271">
        <v>700</v>
      </c>
      <c r="K94" s="224" t="s">
        <v>147</v>
      </c>
      <c r="L94" s="224" t="s">
        <v>41</v>
      </c>
      <c r="N94">
        <f t="shared" si="0"/>
        <v>700</v>
      </c>
    </row>
    <row r="95" spans="1:14" x14ac:dyDescent="0.25">
      <c r="A95" s="246">
        <v>17</v>
      </c>
      <c r="B95" s="352" t="s">
        <v>1463</v>
      </c>
      <c r="C95" s="233" t="s">
        <v>2161</v>
      </c>
      <c r="D95" s="283" t="s">
        <v>163</v>
      </c>
      <c r="E95" s="230" t="s">
        <v>523</v>
      </c>
      <c r="F95" s="230" t="s">
        <v>42</v>
      </c>
      <c r="G95" s="231" t="s">
        <v>2162</v>
      </c>
      <c r="H95" s="233" t="s">
        <v>40</v>
      </c>
      <c r="I95" s="236">
        <v>2000</v>
      </c>
      <c r="J95" s="271">
        <v>400</v>
      </c>
      <c r="K95" s="224" t="s">
        <v>147</v>
      </c>
      <c r="L95" s="224" t="s">
        <v>41</v>
      </c>
      <c r="N95">
        <f t="shared" si="0"/>
        <v>400</v>
      </c>
    </row>
    <row r="96" spans="1:14" x14ac:dyDescent="0.25">
      <c r="A96" s="246">
        <v>17</v>
      </c>
      <c r="B96" s="352" t="s">
        <v>2163</v>
      </c>
      <c r="C96" s="233" t="s">
        <v>2164</v>
      </c>
      <c r="D96" s="230" t="s">
        <v>160</v>
      </c>
      <c r="E96" s="230" t="s">
        <v>1792</v>
      </c>
      <c r="F96" s="230" t="s">
        <v>42</v>
      </c>
      <c r="G96" s="231" t="s">
        <v>2165</v>
      </c>
      <c r="H96" s="233" t="s">
        <v>40</v>
      </c>
      <c r="I96" s="236">
        <v>3600</v>
      </c>
      <c r="J96" s="271">
        <v>720</v>
      </c>
      <c r="K96" s="224" t="s">
        <v>147</v>
      </c>
      <c r="L96" s="224" t="s">
        <v>41</v>
      </c>
      <c r="N96">
        <f t="shared" si="0"/>
        <v>720</v>
      </c>
    </row>
    <row r="97" spans="1:14" x14ac:dyDescent="0.25">
      <c r="A97" s="246">
        <v>17</v>
      </c>
      <c r="B97" s="352" t="s">
        <v>2166</v>
      </c>
      <c r="C97" s="233" t="s">
        <v>2167</v>
      </c>
      <c r="D97" s="230" t="s">
        <v>160</v>
      </c>
      <c r="E97" s="230" t="s">
        <v>344</v>
      </c>
      <c r="F97" s="230" t="s">
        <v>54</v>
      </c>
      <c r="G97" s="231"/>
      <c r="H97" s="233" t="s">
        <v>40</v>
      </c>
      <c r="I97" s="236">
        <v>2000</v>
      </c>
      <c r="J97" s="271">
        <v>400</v>
      </c>
      <c r="K97" s="224" t="s">
        <v>147</v>
      </c>
      <c r="L97" s="224" t="s">
        <v>41</v>
      </c>
      <c r="N97">
        <f t="shared" si="0"/>
        <v>400</v>
      </c>
    </row>
    <row r="98" spans="1:14" x14ac:dyDescent="0.25">
      <c r="A98" s="246">
        <v>17</v>
      </c>
      <c r="B98" s="352" t="s">
        <v>1460</v>
      </c>
      <c r="C98" s="233" t="s">
        <v>2168</v>
      </c>
      <c r="D98" s="230" t="s">
        <v>160</v>
      </c>
      <c r="E98" s="230" t="s">
        <v>2169</v>
      </c>
      <c r="F98" s="230" t="s">
        <v>43</v>
      </c>
      <c r="G98" s="231" t="s">
        <v>2170</v>
      </c>
      <c r="H98" s="233" t="s">
        <v>40</v>
      </c>
      <c r="I98" s="236">
        <v>200</v>
      </c>
      <c r="J98" s="271">
        <v>40</v>
      </c>
      <c r="K98" s="224" t="s">
        <v>147</v>
      </c>
      <c r="L98" s="224" t="s">
        <v>41</v>
      </c>
      <c r="N98">
        <f t="shared" si="0"/>
        <v>40</v>
      </c>
    </row>
    <row r="99" spans="1:14" x14ac:dyDescent="0.25">
      <c r="A99" s="246">
        <v>17</v>
      </c>
      <c r="B99" s="352" t="s">
        <v>2171</v>
      </c>
      <c r="C99" s="233" t="s">
        <v>2143</v>
      </c>
      <c r="D99" s="230" t="s">
        <v>160</v>
      </c>
      <c r="E99" s="230" t="s">
        <v>2160</v>
      </c>
      <c r="F99" s="230" t="s">
        <v>54</v>
      </c>
      <c r="G99" s="231" t="s">
        <v>2172</v>
      </c>
      <c r="H99" s="230" t="s">
        <v>40</v>
      </c>
      <c r="I99" s="236">
        <v>2000</v>
      </c>
      <c r="J99" s="271">
        <v>400</v>
      </c>
      <c r="K99" s="224" t="s">
        <v>147</v>
      </c>
      <c r="L99" s="224" t="s">
        <v>41</v>
      </c>
      <c r="N99">
        <f t="shared" si="0"/>
        <v>400</v>
      </c>
    </row>
    <row r="100" spans="1:14" x14ac:dyDescent="0.25">
      <c r="A100" s="246">
        <v>17</v>
      </c>
      <c r="B100" s="352" t="s">
        <v>2173</v>
      </c>
      <c r="C100" s="233" t="s">
        <v>1776</v>
      </c>
      <c r="D100" s="230" t="s">
        <v>160</v>
      </c>
      <c r="E100" s="230"/>
      <c r="F100" s="230" t="s">
        <v>49</v>
      </c>
      <c r="G100" s="231" t="s">
        <v>2174</v>
      </c>
      <c r="H100" s="233" t="s">
        <v>40</v>
      </c>
      <c r="I100" s="236">
        <v>2000</v>
      </c>
      <c r="J100" s="271">
        <v>400</v>
      </c>
      <c r="K100" s="224" t="s">
        <v>147</v>
      </c>
      <c r="L100" s="224" t="s">
        <v>41</v>
      </c>
      <c r="N100">
        <f t="shared" si="0"/>
        <v>400</v>
      </c>
    </row>
    <row r="101" spans="1:14" x14ac:dyDescent="0.25">
      <c r="A101" s="246">
        <v>17</v>
      </c>
      <c r="B101" s="352" t="s">
        <v>2039</v>
      </c>
      <c r="C101" s="233" t="s">
        <v>2040</v>
      </c>
      <c r="D101" s="230" t="s">
        <v>160</v>
      </c>
      <c r="E101" s="230" t="s">
        <v>814</v>
      </c>
      <c r="F101" s="230" t="s">
        <v>53</v>
      </c>
      <c r="G101" s="231" t="s">
        <v>2041</v>
      </c>
      <c r="H101" s="230" t="s">
        <v>40</v>
      </c>
      <c r="I101" s="236">
        <v>8100</v>
      </c>
      <c r="J101" s="271">
        <v>1620</v>
      </c>
      <c r="K101" s="224" t="s">
        <v>147</v>
      </c>
      <c r="L101" s="224" t="s">
        <v>41</v>
      </c>
      <c r="N101">
        <f t="shared" si="0"/>
        <v>1620</v>
      </c>
    </row>
    <row r="102" spans="1:14" x14ac:dyDescent="0.25">
      <c r="A102" s="246">
        <v>17</v>
      </c>
      <c r="B102" s="352" t="s">
        <v>2175</v>
      </c>
      <c r="C102" s="233" t="s">
        <v>2176</v>
      </c>
      <c r="D102" s="230" t="s">
        <v>160</v>
      </c>
      <c r="E102" s="230" t="s">
        <v>2147</v>
      </c>
      <c r="F102" s="230" t="s">
        <v>42</v>
      </c>
      <c r="G102" s="231"/>
      <c r="H102" s="233" t="s">
        <v>40</v>
      </c>
      <c r="I102" s="236">
        <v>2000</v>
      </c>
      <c r="J102" s="271">
        <v>400</v>
      </c>
      <c r="K102" s="224" t="s">
        <v>147</v>
      </c>
      <c r="L102" s="224" t="s">
        <v>41</v>
      </c>
      <c r="N102">
        <f t="shared" si="0"/>
        <v>400</v>
      </c>
    </row>
    <row r="103" spans="1:14" x14ac:dyDescent="0.25">
      <c r="A103" s="246">
        <v>17</v>
      </c>
      <c r="B103" s="352" t="s">
        <v>2177</v>
      </c>
      <c r="C103" s="233" t="s">
        <v>2178</v>
      </c>
      <c r="D103" s="230" t="s">
        <v>160</v>
      </c>
      <c r="E103" s="230" t="s">
        <v>60</v>
      </c>
      <c r="F103" s="230" t="s">
        <v>61</v>
      </c>
      <c r="G103" s="231"/>
      <c r="H103" s="233" t="s">
        <v>40</v>
      </c>
      <c r="I103" s="236">
        <v>1000</v>
      </c>
      <c r="J103" s="271" t="s">
        <v>152</v>
      </c>
      <c r="K103" s="224" t="s">
        <v>147</v>
      </c>
      <c r="L103" s="224" t="s">
        <v>41</v>
      </c>
      <c r="N103">
        <f t="shared" si="0"/>
        <v>200</v>
      </c>
    </row>
    <row r="104" spans="1:14" x14ac:dyDescent="0.25">
      <c r="A104" s="246">
        <v>17</v>
      </c>
      <c r="B104" s="352" t="s">
        <v>2179</v>
      </c>
      <c r="C104" s="233" t="s">
        <v>2180</v>
      </c>
      <c r="D104" s="230" t="s">
        <v>160</v>
      </c>
      <c r="E104" s="230" t="s">
        <v>180</v>
      </c>
      <c r="F104" s="230" t="s">
        <v>47</v>
      </c>
      <c r="G104" s="231" t="s">
        <v>2181</v>
      </c>
      <c r="H104" s="233" t="s">
        <v>40</v>
      </c>
      <c r="I104" s="236">
        <v>4500</v>
      </c>
      <c r="J104" s="271">
        <v>1350</v>
      </c>
      <c r="K104" s="224" t="s">
        <v>147</v>
      </c>
      <c r="L104" s="224" t="s">
        <v>41</v>
      </c>
      <c r="N104">
        <f t="shared" si="0"/>
        <v>900</v>
      </c>
    </row>
    <row r="105" spans="1:14" x14ac:dyDescent="0.25">
      <c r="A105" s="246">
        <v>17</v>
      </c>
      <c r="B105" s="352" t="s">
        <v>2182</v>
      </c>
      <c r="C105" s="233" t="s">
        <v>1452</v>
      </c>
      <c r="D105" s="230" t="s">
        <v>160</v>
      </c>
      <c r="E105" s="230" t="s">
        <v>1909</v>
      </c>
      <c r="F105" s="230" t="s">
        <v>49</v>
      </c>
      <c r="G105" s="231" t="s">
        <v>2183</v>
      </c>
      <c r="H105" s="233" t="s">
        <v>40</v>
      </c>
      <c r="I105" s="236">
        <v>1800</v>
      </c>
      <c r="J105" s="271">
        <v>360</v>
      </c>
      <c r="K105" s="224" t="s">
        <v>147</v>
      </c>
      <c r="L105" s="224" t="s">
        <v>41</v>
      </c>
      <c r="N105">
        <f t="shared" si="0"/>
        <v>360</v>
      </c>
    </row>
    <row r="106" spans="1:14" x14ac:dyDescent="0.25">
      <c r="A106" s="246">
        <v>19</v>
      </c>
      <c r="B106" s="352" t="s">
        <v>1328</v>
      </c>
      <c r="C106" s="233" t="s">
        <v>2184</v>
      </c>
      <c r="D106" s="230" t="s">
        <v>160</v>
      </c>
      <c r="E106" s="230" t="s">
        <v>177</v>
      </c>
      <c r="F106" s="230" t="s">
        <v>53</v>
      </c>
      <c r="G106" s="231" t="s">
        <v>2185</v>
      </c>
      <c r="H106" s="230" t="s">
        <v>40</v>
      </c>
      <c r="I106" s="236">
        <v>300</v>
      </c>
      <c r="J106" s="271">
        <v>60</v>
      </c>
      <c r="K106" s="224" t="s">
        <v>147</v>
      </c>
      <c r="L106" s="224" t="s">
        <v>41</v>
      </c>
      <c r="N106">
        <f t="shared" si="0"/>
        <v>60</v>
      </c>
    </row>
    <row r="107" spans="1:14" x14ac:dyDescent="0.25">
      <c r="A107" s="246">
        <v>19</v>
      </c>
      <c r="B107" s="352" t="s">
        <v>2186</v>
      </c>
      <c r="C107" s="233" t="s">
        <v>2187</v>
      </c>
      <c r="D107" s="230" t="s">
        <v>160</v>
      </c>
      <c r="E107" s="230"/>
      <c r="F107" s="230" t="s">
        <v>69</v>
      </c>
      <c r="G107" s="231" t="s">
        <v>2188</v>
      </c>
      <c r="H107" s="230" t="s">
        <v>40</v>
      </c>
      <c r="I107" s="236">
        <v>1500</v>
      </c>
      <c r="J107" s="271">
        <v>300</v>
      </c>
      <c r="K107" s="224" t="s">
        <v>147</v>
      </c>
      <c r="L107" s="224" t="s">
        <v>41</v>
      </c>
      <c r="N107">
        <f t="shared" si="0"/>
        <v>300</v>
      </c>
    </row>
    <row r="108" spans="1:14" x14ac:dyDescent="0.25">
      <c r="A108" s="246">
        <v>19</v>
      </c>
      <c r="B108" s="352" t="s">
        <v>2189</v>
      </c>
      <c r="C108" s="233" t="s">
        <v>2190</v>
      </c>
      <c r="D108" s="230" t="s">
        <v>160</v>
      </c>
      <c r="E108" s="230" t="s">
        <v>2191</v>
      </c>
      <c r="F108" s="230" t="s">
        <v>55</v>
      </c>
      <c r="G108" s="231" t="s">
        <v>2192</v>
      </c>
      <c r="H108" s="233" t="s">
        <v>40</v>
      </c>
      <c r="I108" s="236">
        <v>1000</v>
      </c>
      <c r="J108" s="271">
        <v>200</v>
      </c>
      <c r="K108" s="224" t="s">
        <v>147</v>
      </c>
      <c r="L108" s="224" t="s">
        <v>41</v>
      </c>
      <c r="N108">
        <f t="shared" si="0"/>
        <v>200</v>
      </c>
    </row>
    <row r="109" spans="1:14" x14ac:dyDescent="0.25">
      <c r="A109" s="246">
        <v>19</v>
      </c>
      <c r="B109" s="352" t="s">
        <v>2193</v>
      </c>
      <c r="C109" s="233" t="s">
        <v>1686</v>
      </c>
      <c r="D109" s="230" t="s">
        <v>160</v>
      </c>
      <c r="E109" s="230" t="s">
        <v>2194</v>
      </c>
      <c r="F109" s="230" t="s">
        <v>88</v>
      </c>
      <c r="G109" s="231" t="s">
        <v>2195</v>
      </c>
      <c r="H109" s="233" t="s">
        <v>40</v>
      </c>
      <c r="I109" s="236">
        <v>1400</v>
      </c>
      <c r="J109" s="271">
        <v>280</v>
      </c>
      <c r="K109" s="224" t="s">
        <v>147</v>
      </c>
      <c r="L109" s="224" t="s">
        <v>41</v>
      </c>
      <c r="N109">
        <f t="shared" si="0"/>
        <v>280</v>
      </c>
    </row>
    <row r="110" spans="1:14" x14ac:dyDescent="0.25">
      <c r="A110" s="246">
        <v>19</v>
      </c>
      <c r="B110" s="352" t="s">
        <v>2196</v>
      </c>
      <c r="C110" s="233" t="s">
        <v>1422</v>
      </c>
      <c r="D110" s="230" t="s">
        <v>160</v>
      </c>
      <c r="E110" s="230" t="s">
        <v>1770</v>
      </c>
      <c r="F110" s="230" t="s">
        <v>42</v>
      </c>
      <c r="G110" s="231"/>
      <c r="H110" s="233" t="s">
        <v>40</v>
      </c>
      <c r="I110" s="236">
        <v>2000</v>
      </c>
      <c r="J110" s="271">
        <v>400</v>
      </c>
      <c r="K110" s="224" t="s">
        <v>147</v>
      </c>
      <c r="L110" s="224" t="s">
        <v>41</v>
      </c>
      <c r="N110">
        <f t="shared" si="0"/>
        <v>400</v>
      </c>
    </row>
    <row r="111" spans="1:14" x14ac:dyDescent="0.25">
      <c r="A111" s="246">
        <v>19</v>
      </c>
      <c r="B111" s="352" t="s">
        <v>2197</v>
      </c>
      <c r="C111" s="233" t="s">
        <v>2098</v>
      </c>
      <c r="D111" s="230" t="s">
        <v>160</v>
      </c>
      <c r="E111" s="230" t="s">
        <v>498</v>
      </c>
      <c r="F111" s="230" t="s">
        <v>48</v>
      </c>
      <c r="G111" s="231" t="s">
        <v>706</v>
      </c>
      <c r="H111" s="233" t="s">
        <v>40</v>
      </c>
      <c r="I111" s="236">
        <v>1000</v>
      </c>
      <c r="J111" s="271">
        <v>200</v>
      </c>
      <c r="K111" s="224" t="s">
        <v>147</v>
      </c>
      <c r="L111" s="224" t="s">
        <v>41</v>
      </c>
      <c r="N111">
        <f t="shared" si="0"/>
        <v>200</v>
      </c>
    </row>
    <row r="112" spans="1:14" x14ac:dyDescent="0.25">
      <c r="A112" s="246">
        <v>19</v>
      </c>
      <c r="B112" s="352" t="s">
        <v>2198</v>
      </c>
      <c r="C112" s="233" t="s">
        <v>2199</v>
      </c>
      <c r="D112" s="230" t="s">
        <v>160</v>
      </c>
      <c r="E112" s="230" t="s">
        <v>441</v>
      </c>
      <c r="F112" s="230" t="s">
        <v>57</v>
      </c>
      <c r="G112" s="231"/>
      <c r="H112" s="233" t="s">
        <v>40</v>
      </c>
      <c r="I112" s="236">
        <v>1000</v>
      </c>
      <c r="J112" s="271">
        <v>200</v>
      </c>
      <c r="K112" s="224" t="s">
        <v>147</v>
      </c>
      <c r="L112" s="224" t="s">
        <v>41</v>
      </c>
      <c r="N112">
        <f t="shared" si="0"/>
        <v>200</v>
      </c>
    </row>
    <row r="113" spans="1:14" x14ac:dyDescent="0.25">
      <c r="A113" s="246">
        <v>19</v>
      </c>
      <c r="B113" s="352" t="s">
        <v>2200</v>
      </c>
      <c r="C113" s="233" t="s">
        <v>2201</v>
      </c>
      <c r="D113" s="230" t="s">
        <v>160</v>
      </c>
      <c r="E113" s="230" t="s">
        <v>2202</v>
      </c>
      <c r="F113" s="230" t="s">
        <v>79</v>
      </c>
      <c r="G113" s="231" t="s">
        <v>2203</v>
      </c>
      <c r="H113" s="233" t="s">
        <v>40</v>
      </c>
      <c r="I113" s="236">
        <v>500</v>
      </c>
      <c r="J113" s="271">
        <v>100</v>
      </c>
      <c r="K113" s="224" t="s">
        <v>147</v>
      </c>
      <c r="L113" s="224" t="s">
        <v>41</v>
      </c>
      <c r="N113">
        <f t="shared" si="0"/>
        <v>100</v>
      </c>
    </row>
    <row r="114" spans="1:14" x14ac:dyDescent="0.25">
      <c r="A114" s="246">
        <v>19</v>
      </c>
      <c r="B114" s="352" t="s">
        <v>1288</v>
      </c>
      <c r="C114" s="233" t="s">
        <v>1887</v>
      </c>
      <c r="D114" s="283" t="s">
        <v>163</v>
      </c>
      <c r="E114" s="230" t="s">
        <v>164</v>
      </c>
      <c r="F114" s="230" t="s">
        <v>44</v>
      </c>
      <c r="G114" s="231" t="s">
        <v>295</v>
      </c>
      <c r="H114" s="233" t="s">
        <v>40</v>
      </c>
      <c r="I114" s="236">
        <v>10000</v>
      </c>
      <c r="J114" s="271">
        <v>2000</v>
      </c>
      <c r="K114" s="224" t="s">
        <v>147</v>
      </c>
      <c r="L114" s="224" t="s">
        <v>41</v>
      </c>
      <c r="N114">
        <f t="shared" si="0"/>
        <v>2000</v>
      </c>
    </row>
    <row r="115" spans="1:14" x14ac:dyDescent="0.25">
      <c r="A115" s="273">
        <v>19</v>
      </c>
      <c r="B115" s="352" t="s">
        <v>2204</v>
      </c>
      <c r="C115" s="233" t="s">
        <v>2143</v>
      </c>
      <c r="D115" s="230" t="s">
        <v>160</v>
      </c>
      <c r="E115" s="230" t="s">
        <v>523</v>
      </c>
      <c r="F115" s="230" t="s">
        <v>42</v>
      </c>
      <c r="G115" s="231"/>
      <c r="H115" s="233" t="s">
        <v>40</v>
      </c>
      <c r="I115" s="236">
        <v>500</v>
      </c>
      <c r="J115" s="271">
        <v>100</v>
      </c>
      <c r="K115" s="224" t="s">
        <v>147</v>
      </c>
      <c r="L115" s="224" t="s">
        <v>41</v>
      </c>
      <c r="N115">
        <f t="shared" si="0"/>
        <v>100</v>
      </c>
    </row>
    <row r="116" spans="1:14" x14ac:dyDescent="0.25">
      <c r="A116" s="246">
        <v>23</v>
      </c>
      <c r="B116" s="352" t="s">
        <v>2206</v>
      </c>
      <c r="C116" s="233" t="s">
        <v>2207</v>
      </c>
      <c r="D116" s="230" t="s">
        <v>160</v>
      </c>
      <c r="E116" s="230" t="s">
        <v>661</v>
      </c>
      <c r="F116" s="230" t="s">
        <v>55</v>
      </c>
      <c r="G116" s="231" t="s">
        <v>2208</v>
      </c>
      <c r="H116" s="233" t="s">
        <v>40</v>
      </c>
      <c r="I116" s="236">
        <v>3000</v>
      </c>
      <c r="J116" s="271">
        <v>600</v>
      </c>
      <c r="K116" s="224" t="s">
        <v>147</v>
      </c>
      <c r="L116" s="224" t="s">
        <v>41</v>
      </c>
      <c r="N116">
        <f t="shared" si="0"/>
        <v>600</v>
      </c>
    </row>
    <row r="117" spans="1:14" x14ac:dyDescent="0.25">
      <c r="A117" s="246">
        <v>23</v>
      </c>
      <c r="B117" s="352" t="s">
        <v>2209</v>
      </c>
      <c r="C117" s="233" t="s">
        <v>2136</v>
      </c>
      <c r="D117" s="230" t="s">
        <v>160</v>
      </c>
      <c r="E117" s="230" t="s">
        <v>2210</v>
      </c>
      <c r="F117" s="230" t="s">
        <v>55</v>
      </c>
      <c r="G117" s="231" t="s">
        <v>2211</v>
      </c>
      <c r="H117" s="233" t="s">
        <v>40</v>
      </c>
      <c r="I117" s="236">
        <v>3500</v>
      </c>
      <c r="J117" s="271">
        <v>700</v>
      </c>
      <c r="K117" s="224" t="s">
        <v>147</v>
      </c>
      <c r="L117" s="224" t="s">
        <v>41</v>
      </c>
      <c r="N117">
        <f t="shared" si="0"/>
        <v>700</v>
      </c>
    </row>
    <row r="118" spans="1:14" x14ac:dyDescent="0.25">
      <c r="A118" s="246">
        <v>23</v>
      </c>
      <c r="B118" s="352" t="s">
        <v>2212</v>
      </c>
      <c r="C118" s="233" t="s">
        <v>1359</v>
      </c>
      <c r="D118" s="230" t="s">
        <v>160</v>
      </c>
      <c r="E118" s="230" t="s">
        <v>2213</v>
      </c>
      <c r="F118" s="230" t="s">
        <v>46</v>
      </c>
      <c r="G118" s="231" t="s">
        <v>2214</v>
      </c>
      <c r="H118" s="230" t="s">
        <v>40</v>
      </c>
      <c r="I118" s="236">
        <v>1500</v>
      </c>
      <c r="J118" s="271">
        <v>300</v>
      </c>
      <c r="K118" s="224" t="s">
        <v>147</v>
      </c>
      <c r="L118" s="224" t="s">
        <v>41</v>
      </c>
      <c r="N118">
        <f t="shared" si="0"/>
        <v>300</v>
      </c>
    </row>
    <row r="119" spans="1:14" x14ac:dyDescent="0.25">
      <c r="A119" s="246">
        <v>23</v>
      </c>
      <c r="B119" s="352" t="s">
        <v>2215</v>
      </c>
      <c r="C119" s="233" t="s">
        <v>2216</v>
      </c>
      <c r="D119" s="230" t="s">
        <v>160</v>
      </c>
      <c r="E119" s="230" t="s">
        <v>754</v>
      </c>
      <c r="F119" s="230" t="s">
        <v>43</v>
      </c>
      <c r="G119" s="231" t="s">
        <v>2217</v>
      </c>
      <c r="H119" s="230" t="s">
        <v>40</v>
      </c>
      <c r="I119" s="236">
        <v>300</v>
      </c>
      <c r="J119" s="271">
        <v>60</v>
      </c>
      <c r="K119" s="224" t="s">
        <v>147</v>
      </c>
      <c r="L119" s="224" t="s">
        <v>41</v>
      </c>
      <c r="N119">
        <f t="shared" si="0"/>
        <v>60</v>
      </c>
    </row>
    <row r="120" spans="1:14" x14ac:dyDescent="0.25">
      <c r="A120" s="246">
        <v>23</v>
      </c>
      <c r="B120" s="352" t="s">
        <v>2218</v>
      </c>
      <c r="C120" s="233" t="s">
        <v>2219</v>
      </c>
      <c r="D120" s="230" t="s">
        <v>160</v>
      </c>
      <c r="E120" s="230" t="s">
        <v>538</v>
      </c>
      <c r="F120" s="230" t="s">
        <v>49</v>
      </c>
      <c r="G120" s="231"/>
      <c r="H120" s="230" t="s">
        <v>40</v>
      </c>
      <c r="I120" s="236">
        <v>3000</v>
      </c>
      <c r="J120" s="271">
        <v>600</v>
      </c>
      <c r="K120" s="224" t="s">
        <v>147</v>
      </c>
      <c r="L120" s="224" t="s">
        <v>41</v>
      </c>
      <c r="N120">
        <f t="shared" si="0"/>
        <v>600</v>
      </c>
    </row>
    <row r="121" spans="1:14" x14ac:dyDescent="0.25">
      <c r="A121" s="246">
        <v>23</v>
      </c>
      <c r="B121" s="352" t="s">
        <v>2220</v>
      </c>
      <c r="C121" s="233" t="s">
        <v>2221</v>
      </c>
      <c r="D121" s="283" t="s">
        <v>163</v>
      </c>
      <c r="E121" s="230" t="s">
        <v>1792</v>
      </c>
      <c r="F121" s="230" t="s">
        <v>42</v>
      </c>
      <c r="G121" s="231" t="s">
        <v>2222</v>
      </c>
      <c r="H121" s="230" t="s">
        <v>40</v>
      </c>
      <c r="I121" s="236">
        <v>5000</v>
      </c>
      <c r="J121" s="271">
        <v>1000</v>
      </c>
      <c r="K121" s="224" t="s">
        <v>147</v>
      </c>
      <c r="L121" s="224" t="s">
        <v>41</v>
      </c>
      <c r="N121">
        <f t="shared" si="0"/>
        <v>1000</v>
      </c>
    </row>
    <row r="122" spans="1:14" x14ac:dyDescent="0.25">
      <c r="A122" s="246">
        <v>23</v>
      </c>
      <c r="B122" s="352" t="s">
        <v>2223</v>
      </c>
      <c r="C122" s="233" t="s">
        <v>2224</v>
      </c>
      <c r="D122" s="230" t="s">
        <v>160</v>
      </c>
      <c r="E122" s="230" t="s">
        <v>1905</v>
      </c>
      <c r="F122" s="230" t="s">
        <v>58</v>
      </c>
      <c r="G122" s="231" t="s">
        <v>2225</v>
      </c>
      <c r="H122" s="230" t="s">
        <v>40</v>
      </c>
      <c r="I122" s="236">
        <v>2000</v>
      </c>
      <c r="J122" s="271">
        <v>400</v>
      </c>
      <c r="K122" s="224" t="s">
        <v>147</v>
      </c>
      <c r="L122" s="224" t="s">
        <v>41</v>
      </c>
      <c r="N122">
        <f t="shared" si="0"/>
        <v>400</v>
      </c>
    </row>
    <row r="123" spans="1:14" x14ac:dyDescent="0.25">
      <c r="A123" s="246">
        <v>23</v>
      </c>
      <c r="B123" s="352" t="s">
        <v>2226</v>
      </c>
      <c r="C123" s="233" t="s">
        <v>1603</v>
      </c>
      <c r="D123" s="283" t="s">
        <v>163</v>
      </c>
      <c r="E123" s="230" t="s">
        <v>911</v>
      </c>
      <c r="F123" s="230" t="s">
        <v>49</v>
      </c>
      <c r="G123" s="231"/>
      <c r="H123" s="230" t="s">
        <v>40</v>
      </c>
      <c r="I123" s="236">
        <v>1000</v>
      </c>
      <c r="J123" s="271">
        <v>200</v>
      </c>
      <c r="K123" s="224" t="s">
        <v>147</v>
      </c>
      <c r="L123" s="224" t="s">
        <v>41</v>
      </c>
      <c r="N123">
        <f t="shared" si="0"/>
        <v>200</v>
      </c>
    </row>
    <row r="124" spans="1:14" x14ac:dyDescent="0.25">
      <c r="A124" s="246">
        <v>23</v>
      </c>
      <c r="B124" s="352" t="s">
        <v>2227</v>
      </c>
      <c r="C124" s="233" t="s">
        <v>2228</v>
      </c>
      <c r="D124" s="230" t="s">
        <v>160</v>
      </c>
      <c r="E124" s="230" t="s">
        <v>167</v>
      </c>
      <c r="F124" s="230" t="s">
        <v>43</v>
      </c>
      <c r="G124" s="231" t="s">
        <v>2229</v>
      </c>
      <c r="H124" s="230" t="s">
        <v>40</v>
      </c>
      <c r="I124" s="236">
        <v>1250</v>
      </c>
      <c r="J124" s="271">
        <v>250</v>
      </c>
      <c r="K124" s="224" t="s">
        <v>147</v>
      </c>
      <c r="L124" s="224" t="s">
        <v>41</v>
      </c>
      <c r="N124">
        <f t="shared" si="0"/>
        <v>250</v>
      </c>
    </row>
    <row r="125" spans="1:14" x14ac:dyDescent="0.25">
      <c r="A125" s="246">
        <v>23</v>
      </c>
      <c r="B125" s="352" t="s">
        <v>2230</v>
      </c>
      <c r="C125" s="233" t="s">
        <v>2112</v>
      </c>
      <c r="D125" s="230" t="s">
        <v>160</v>
      </c>
      <c r="E125" s="230" t="s">
        <v>441</v>
      </c>
      <c r="F125" s="230" t="s">
        <v>64</v>
      </c>
      <c r="G125" s="231" t="s">
        <v>2231</v>
      </c>
      <c r="H125" s="230" t="s">
        <v>40</v>
      </c>
      <c r="I125" s="236">
        <v>7500</v>
      </c>
      <c r="J125" s="271">
        <v>1500</v>
      </c>
      <c r="K125" s="224" t="s">
        <v>147</v>
      </c>
      <c r="L125" s="224" t="s">
        <v>41</v>
      </c>
      <c r="N125">
        <f t="shared" si="0"/>
        <v>1500</v>
      </c>
    </row>
    <row r="126" spans="1:14" x14ac:dyDescent="0.25">
      <c r="A126" s="246">
        <v>23</v>
      </c>
      <c r="B126" s="352" t="s">
        <v>2232</v>
      </c>
      <c r="C126" s="233" t="s">
        <v>2233</v>
      </c>
      <c r="D126" s="230" t="s">
        <v>160</v>
      </c>
      <c r="E126" s="230" t="s">
        <v>180</v>
      </c>
      <c r="F126" s="230" t="s">
        <v>64</v>
      </c>
      <c r="G126" s="231" t="s">
        <v>315</v>
      </c>
      <c r="H126" s="230" t="s">
        <v>40</v>
      </c>
      <c r="I126" s="236">
        <v>500</v>
      </c>
      <c r="J126" s="271">
        <v>100</v>
      </c>
      <c r="K126" s="224" t="s">
        <v>147</v>
      </c>
      <c r="L126" s="224" t="s">
        <v>41</v>
      </c>
      <c r="N126">
        <f t="shared" si="0"/>
        <v>100</v>
      </c>
    </row>
    <row r="127" spans="1:14" x14ac:dyDescent="0.25">
      <c r="A127" s="246">
        <v>23</v>
      </c>
      <c r="B127" s="352" t="s">
        <v>1926</v>
      </c>
      <c r="C127" s="233" t="s">
        <v>1927</v>
      </c>
      <c r="D127" s="230" t="s">
        <v>160</v>
      </c>
      <c r="E127" s="230" t="s">
        <v>523</v>
      </c>
      <c r="F127" s="230" t="s">
        <v>42</v>
      </c>
      <c r="G127" s="231" t="s">
        <v>1928</v>
      </c>
      <c r="H127" s="230" t="s">
        <v>40</v>
      </c>
      <c r="I127" s="236">
        <v>4500</v>
      </c>
      <c r="J127" s="271">
        <v>900</v>
      </c>
      <c r="K127" s="224" t="s">
        <v>147</v>
      </c>
      <c r="L127" s="224" t="s">
        <v>41</v>
      </c>
      <c r="N127">
        <f t="shared" si="0"/>
        <v>900</v>
      </c>
    </row>
    <row r="128" spans="1:14" x14ac:dyDescent="0.25">
      <c r="A128" s="246">
        <v>24</v>
      </c>
      <c r="B128" s="352" t="s">
        <v>1926</v>
      </c>
      <c r="C128" s="233" t="s">
        <v>1927</v>
      </c>
      <c r="D128" s="230" t="s">
        <v>160</v>
      </c>
      <c r="E128" s="230" t="s">
        <v>523</v>
      </c>
      <c r="F128" s="230" t="s">
        <v>42</v>
      </c>
      <c r="G128" s="231" t="s">
        <v>1928</v>
      </c>
      <c r="H128" s="230" t="s">
        <v>40</v>
      </c>
      <c r="I128" s="236">
        <v>500</v>
      </c>
      <c r="J128" s="271" t="s">
        <v>152</v>
      </c>
      <c r="K128" s="224" t="s">
        <v>147</v>
      </c>
      <c r="L128" s="224" t="s">
        <v>41</v>
      </c>
      <c r="N128">
        <f t="shared" si="0"/>
        <v>100</v>
      </c>
    </row>
    <row r="129" spans="1:14" x14ac:dyDescent="0.25">
      <c r="A129" s="246">
        <v>25</v>
      </c>
      <c r="B129" s="352" t="s">
        <v>2234</v>
      </c>
      <c r="C129" s="233" t="s">
        <v>2235</v>
      </c>
      <c r="D129" s="283" t="s">
        <v>163</v>
      </c>
      <c r="E129" s="230" t="s">
        <v>538</v>
      </c>
      <c r="F129" s="230" t="s">
        <v>49</v>
      </c>
      <c r="G129" s="231" t="s">
        <v>2236</v>
      </c>
      <c r="H129" s="230" t="s">
        <v>40</v>
      </c>
      <c r="I129" s="236">
        <v>1000</v>
      </c>
      <c r="J129" s="271">
        <v>200</v>
      </c>
      <c r="K129" s="224" t="s">
        <v>147</v>
      </c>
      <c r="L129" s="224" t="s">
        <v>41</v>
      </c>
      <c r="N129">
        <f t="shared" si="0"/>
        <v>200</v>
      </c>
    </row>
    <row r="130" spans="1:14" x14ac:dyDescent="0.25">
      <c r="A130" s="246">
        <v>25</v>
      </c>
      <c r="B130" s="352" t="s">
        <v>2237</v>
      </c>
      <c r="C130" s="233" t="s">
        <v>2238</v>
      </c>
      <c r="D130" s="230" t="s">
        <v>160</v>
      </c>
      <c r="E130" s="230" t="s">
        <v>1766</v>
      </c>
      <c r="F130" s="230" t="s">
        <v>49</v>
      </c>
      <c r="G130" s="231" t="s">
        <v>2239</v>
      </c>
      <c r="H130" s="230" t="s">
        <v>40</v>
      </c>
      <c r="I130" s="236">
        <v>1200</v>
      </c>
      <c r="J130" s="271">
        <v>240</v>
      </c>
      <c r="K130" s="224" t="s">
        <v>147</v>
      </c>
      <c r="L130" s="224" t="s">
        <v>41</v>
      </c>
      <c r="N130">
        <f t="shared" si="0"/>
        <v>240</v>
      </c>
    </row>
    <row r="131" spans="1:14" x14ac:dyDescent="0.25">
      <c r="A131" s="246">
        <v>25</v>
      </c>
      <c r="B131" s="352" t="s">
        <v>1402</v>
      </c>
      <c r="C131" s="233" t="s">
        <v>1403</v>
      </c>
      <c r="D131" s="283" t="s">
        <v>163</v>
      </c>
      <c r="E131" s="230" t="s">
        <v>189</v>
      </c>
      <c r="F131" s="230" t="s">
        <v>54</v>
      </c>
      <c r="G131" s="231" t="s">
        <v>1404</v>
      </c>
      <c r="H131" s="230" t="s">
        <v>40</v>
      </c>
      <c r="I131" s="236">
        <v>3000</v>
      </c>
      <c r="J131" s="271">
        <v>600</v>
      </c>
      <c r="K131" s="224" t="s">
        <v>147</v>
      </c>
      <c r="L131" s="224" t="s">
        <v>41</v>
      </c>
      <c r="N131">
        <f t="shared" si="0"/>
        <v>600</v>
      </c>
    </row>
    <row r="132" spans="1:14" x14ac:dyDescent="0.25">
      <c r="A132" s="246">
        <v>25</v>
      </c>
      <c r="B132" s="352" t="s">
        <v>2240</v>
      </c>
      <c r="C132" s="233" t="s">
        <v>2241</v>
      </c>
      <c r="D132" s="283" t="s">
        <v>163</v>
      </c>
      <c r="E132" s="230" t="s">
        <v>1770</v>
      </c>
      <c r="F132" s="230" t="s">
        <v>42</v>
      </c>
      <c r="G132" s="231" t="s">
        <v>2242</v>
      </c>
      <c r="H132" s="230" t="s">
        <v>40</v>
      </c>
      <c r="I132" s="236">
        <v>6000</v>
      </c>
      <c r="J132" s="271">
        <v>1200</v>
      </c>
      <c r="K132" s="224" t="s">
        <v>147</v>
      </c>
      <c r="L132" s="224" t="s">
        <v>41</v>
      </c>
      <c r="N132">
        <f t="shared" si="0"/>
        <v>1200</v>
      </c>
    </row>
    <row r="133" spans="1:14" x14ac:dyDescent="0.25">
      <c r="A133" s="246">
        <v>25</v>
      </c>
      <c r="B133" s="352" t="s">
        <v>2243</v>
      </c>
      <c r="C133" s="233" t="s">
        <v>2244</v>
      </c>
      <c r="D133" s="230" t="s">
        <v>160</v>
      </c>
      <c r="E133" s="230" t="s">
        <v>2245</v>
      </c>
      <c r="F133" s="230" t="s">
        <v>49</v>
      </c>
      <c r="G133" s="231" t="s">
        <v>2246</v>
      </c>
      <c r="H133" s="230" t="s">
        <v>40</v>
      </c>
      <c r="I133" s="236">
        <v>3000</v>
      </c>
      <c r="J133" s="271">
        <v>600</v>
      </c>
      <c r="K133" s="224" t="s">
        <v>147</v>
      </c>
      <c r="L133" s="224" t="s">
        <v>41</v>
      </c>
      <c r="N133">
        <f t="shared" si="0"/>
        <v>600</v>
      </c>
    </row>
    <row r="134" spans="1:14" x14ac:dyDescent="0.25">
      <c r="A134" s="246">
        <v>25</v>
      </c>
      <c r="B134" s="352" t="s">
        <v>2247</v>
      </c>
      <c r="C134" s="233" t="s">
        <v>2248</v>
      </c>
      <c r="D134" s="283" t="s">
        <v>163</v>
      </c>
      <c r="E134" s="230" t="s">
        <v>523</v>
      </c>
      <c r="F134" s="230" t="s">
        <v>42</v>
      </c>
      <c r="G134" s="231" t="s">
        <v>2249</v>
      </c>
      <c r="H134" s="230" t="s">
        <v>40</v>
      </c>
      <c r="I134" s="236">
        <v>3000</v>
      </c>
      <c r="J134" s="271">
        <v>600</v>
      </c>
      <c r="K134" s="224" t="s">
        <v>147</v>
      </c>
      <c r="L134" s="224" t="s">
        <v>41</v>
      </c>
      <c r="N134">
        <f t="shared" si="0"/>
        <v>600</v>
      </c>
    </row>
    <row r="135" spans="1:14" x14ac:dyDescent="0.25">
      <c r="A135" s="246">
        <v>25</v>
      </c>
      <c r="B135" s="352" t="s">
        <v>2250</v>
      </c>
      <c r="C135" s="233" t="s">
        <v>2251</v>
      </c>
      <c r="D135" s="230" t="s">
        <v>160</v>
      </c>
      <c r="E135" s="230" t="s">
        <v>201</v>
      </c>
      <c r="F135" s="230" t="s">
        <v>45</v>
      </c>
      <c r="G135" s="231"/>
      <c r="H135" s="230" t="s">
        <v>40</v>
      </c>
      <c r="I135" s="236">
        <v>1000</v>
      </c>
      <c r="J135" s="271">
        <v>200</v>
      </c>
      <c r="K135" s="224" t="s">
        <v>147</v>
      </c>
      <c r="L135" s="224" t="s">
        <v>41</v>
      </c>
      <c r="N135">
        <f t="shared" si="0"/>
        <v>200</v>
      </c>
    </row>
    <row r="136" spans="1:14" x14ac:dyDescent="0.25">
      <c r="A136" s="246">
        <v>26</v>
      </c>
      <c r="B136" s="352" t="s">
        <v>2252</v>
      </c>
      <c r="C136" s="233" t="s">
        <v>2253</v>
      </c>
      <c r="D136" s="230" t="s">
        <v>160</v>
      </c>
      <c r="E136" s="230" t="s">
        <v>2254</v>
      </c>
      <c r="F136" s="230" t="s">
        <v>49</v>
      </c>
      <c r="G136" s="231" t="s">
        <v>2255</v>
      </c>
      <c r="H136" s="230" t="s">
        <v>40</v>
      </c>
      <c r="I136" s="236">
        <v>1500</v>
      </c>
      <c r="J136" s="271">
        <v>300</v>
      </c>
      <c r="K136" s="224" t="s">
        <v>147</v>
      </c>
      <c r="L136" s="224" t="s">
        <v>41</v>
      </c>
      <c r="N136">
        <f t="shared" si="0"/>
        <v>300</v>
      </c>
    </row>
    <row r="137" spans="1:14" x14ac:dyDescent="0.25">
      <c r="A137" s="273">
        <v>26</v>
      </c>
      <c r="B137" s="352" t="s">
        <v>2256</v>
      </c>
      <c r="C137" s="233" t="s">
        <v>2257</v>
      </c>
      <c r="D137" s="283" t="s">
        <v>163</v>
      </c>
      <c r="E137" s="230" t="s">
        <v>203</v>
      </c>
      <c r="F137" s="230" t="s">
        <v>54</v>
      </c>
      <c r="G137" s="231" t="s">
        <v>204</v>
      </c>
      <c r="H137" s="230" t="s">
        <v>40</v>
      </c>
      <c r="I137" s="236">
        <v>500</v>
      </c>
      <c r="J137" s="271">
        <v>100</v>
      </c>
      <c r="K137" s="224" t="s">
        <v>147</v>
      </c>
      <c r="L137" s="224" t="s">
        <v>41</v>
      </c>
      <c r="N137">
        <f t="shared" si="0"/>
        <v>100</v>
      </c>
    </row>
    <row r="138" spans="1:14" x14ac:dyDescent="0.25">
      <c r="A138" s="246">
        <v>26</v>
      </c>
      <c r="B138" s="352" t="s">
        <v>2259</v>
      </c>
      <c r="C138" s="233" t="s">
        <v>2260</v>
      </c>
      <c r="D138" s="283" t="s">
        <v>163</v>
      </c>
      <c r="E138" s="230"/>
      <c r="F138" s="230" t="s">
        <v>64</v>
      </c>
      <c r="G138" s="231"/>
      <c r="H138" s="230" t="s">
        <v>40</v>
      </c>
      <c r="I138" s="236">
        <v>3100</v>
      </c>
      <c r="J138" s="271" t="s">
        <v>152</v>
      </c>
      <c r="K138" s="224" t="s">
        <v>147</v>
      </c>
      <c r="L138" s="224" t="s">
        <v>41</v>
      </c>
      <c r="N138">
        <f t="shared" si="0"/>
        <v>620</v>
      </c>
    </row>
    <row r="139" spans="1:14" x14ac:dyDescent="0.25">
      <c r="A139" s="246">
        <v>26</v>
      </c>
      <c r="B139" s="352" t="s">
        <v>2259</v>
      </c>
      <c r="C139" s="233" t="s">
        <v>2260</v>
      </c>
      <c r="D139" s="283" t="s">
        <v>163</v>
      </c>
      <c r="E139" s="230"/>
      <c r="F139" s="230" t="s">
        <v>64</v>
      </c>
      <c r="G139" s="231"/>
      <c r="H139" s="399" t="s">
        <v>465</v>
      </c>
      <c r="I139" s="236">
        <v>1000</v>
      </c>
      <c r="J139" s="271" t="s">
        <v>152</v>
      </c>
      <c r="K139" s="224" t="s">
        <v>147</v>
      </c>
      <c r="L139" s="224" t="s">
        <v>41</v>
      </c>
      <c r="N139">
        <f t="shared" si="0"/>
        <v>200</v>
      </c>
    </row>
    <row r="140" spans="1:14" x14ac:dyDescent="0.25">
      <c r="A140" s="246">
        <v>29</v>
      </c>
      <c r="B140" s="352" t="s">
        <v>2261</v>
      </c>
      <c r="C140" s="233" t="s">
        <v>1326</v>
      </c>
      <c r="D140" s="230" t="s">
        <v>160</v>
      </c>
      <c r="E140" s="230" t="s">
        <v>2262</v>
      </c>
      <c r="F140" s="230" t="s">
        <v>62</v>
      </c>
      <c r="G140" s="231"/>
      <c r="H140" s="230" t="s">
        <v>40</v>
      </c>
      <c r="I140" s="236">
        <v>200</v>
      </c>
      <c r="J140" s="271">
        <v>40</v>
      </c>
      <c r="K140" s="224" t="s">
        <v>147</v>
      </c>
      <c r="L140" s="224" t="s">
        <v>41</v>
      </c>
      <c r="N140">
        <f t="shared" si="0"/>
        <v>40</v>
      </c>
    </row>
    <row r="141" spans="1:14" x14ac:dyDescent="0.25">
      <c r="A141" s="246">
        <v>29</v>
      </c>
      <c r="B141" s="352" t="s">
        <v>1463</v>
      </c>
      <c r="C141" s="233" t="s">
        <v>1409</v>
      </c>
      <c r="D141" s="230" t="s">
        <v>160</v>
      </c>
      <c r="E141" s="230" t="s">
        <v>167</v>
      </c>
      <c r="F141" s="230" t="s">
        <v>43</v>
      </c>
      <c r="G141" s="231" t="s">
        <v>2263</v>
      </c>
      <c r="H141" s="230" t="s">
        <v>40</v>
      </c>
      <c r="I141" s="236">
        <v>2000</v>
      </c>
      <c r="J141" s="271">
        <v>400</v>
      </c>
      <c r="K141" s="224" t="s">
        <v>147</v>
      </c>
      <c r="L141" s="224" t="s">
        <v>41</v>
      </c>
      <c r="N141">
        <f t="shared" si="0"/>
        <v>400</v>
      </c>
    </row>
    <row r="142" spans="1:14" x14ac:dyDescent="0.25">
      <c r="A142" s="246">
        <v>29</v>
      </c>
      <c r="B142" s="352" t="s">
        <v>2264</v>
      </c>
      <c r="C142" s="233" t="s">
        <v>2265</v>
      </c>
      <c r="D142" s="230" t="s">
        <v>160</v>
      </c>
      <c r="E142" s="230" t="s">
        <v>234</v>
      </c>
      <c r="F142" s="230" t="s">
        <v>49</v>
      </c>
      <c r="G142" s="231" t="s">
        <v>2266</v>
      </c>
      <c r="H142" s="230" t="s">
        <v>40</v>
      </c>
      <c r="I142" s="236">
        <v>200</v>
      </c>
      <c r="J142" s="271">
        <v>40</v>
      </c>
      <c r="K142" s="224" t="s">
        <v>147</v>
      </c>
      <c r="L142" s="224" t="s">
        <v>41</v>
      </c>
      <c r="N142">
        <f t="shared" si="0"/>
        <v>40</v>
      </c>
    </row>
    <row r="143" spans="1:14" x14ac:dyDescent="0.25">
      <c r="A143" s="246">
        <v>29</v>
      </c>
      <c r="B143" s="352" t="s">
        <v>2267</v>
      </c>
      <c r="C143" s="233" t="s">
        <v>2268</v>
      </c>
      <c r="D143" s="230" t="s">
        <v>160</v>
      </c>
      <c r="E143" s="230" t="s">
        <v>1157</v>
      </c>
      <c r="F143" s="230" t="s">
        <v>43</v>
      </c>
      <c r="G143" s="231"/>
      <c r="H143" s="230" t="s">
        <v>40</v>
      </c>
      <c r="I143" s="236">
        <v>1500</v>
      </c>
      <c r="J143" s="271">
        <v>300</v>
      </c>
      <c r="K143" s="224" t="s">
        <v>147</v>
      </c>
      <c r="L143" s="224" t="s">
        <v>41</v>
      </c>
      <c r="N143">
        <f t="shared" si="0"/>
        <v>300</v>
      </c>
    </row>
    <row r="144" spans="1:14" x14ac:dyDescent="0.25">
      <c r="A144" s="246">
        <v>29</v>
      </c>
      <c r="B144" s="352" t="s">
        <v>2269</v>
      </c>
      <c r="C144" s="233" t="s">
        <v>2270</v>
      </c>
      <c r="D144" s="283" t="s">
        <v>163</v>
      </c>
      <c r="E144" s="230" t="s">
        <v>2271</v>
      </c>
      <c r="F144" s="230" t="s">
        <v>59</v>
      </c>
      <c r="G144" s="231" t="s">
        <v>2272</v>
      </c>
      <c r="H144" s="230" t="s">
        <v>40</v>
      </c>
      <c r="I144" s="236">
        <v>500</v>
      </c>
      <c r="J144" s="271">
        <v>100</v>
      </c>
      <c r="K144" s="224" t="s">
        <v>147</v>
      </c>
      <c r="L144" s="224" t="s">
        <v>41</v>
      </c>
      <c r="N144">
        <f t="shared" si="0"/>
        <v>100</v>
      </c>
    </row>
    <row r="145" spans="1:14" x14ac:dyDescent="0.25">
      <c r="A145" s="246">
        <v>29</v>
      </c>
      <c r="B145" s="352" t="s">
        <v>2273</v>
      </c>
      <c r="C145" s="233" t="s">
        <v>2274</v>
      </c>
      <c r="D145" s="283" t="s">
        <v>163</v>
      </c>
      <c r="E145" s="230" t="s">
        <v>947</v>
      </c>
      <c r="F145" s="230" t="s">
        <v>60</v>
      </c>
      <c r="G145" s="231" t="s">
        <v>2275</v>
      </c>
      <c r="H145" s="230" t="s">
        <v>40</v>
      </c>
      <c r="I145" s="236">
        <v>1000</v>
      </c>
      <c r="J145" s="271">
        <v>200</v>
      </c>
      <c r="K145" s="224" t="s">
        <v>147</v>
      </c>
      <c r="L145" s="224" t="s">
        <v>41</v>
      </c>
      <c r="N145">
        <f t="shared" si="0"/>
        <v>200</v>
      </c>
    </row>
    <row r="146" spans="1:14" x14ac:dyDescent="0.25">
      <c r="A146" s="246">
        <v>29</v>
      </c>
      <c r="B146" s="352" t="s">
        <v>2276</v>
      </c>
      <c r="C146" s="233" t="s">
        <v>1603</v>
      </c>
      <c r="D146" s="283" t="s">
        <v>163</v>
      </c>
      <c r="E146" s="230" t="s">
        <v>191</v>
      </c>
      <c r="F146" s="230" t="s">
        <v>43</v>
      </c>
      <c r="G146" s="231"/>
      <c r="H146" s="399" t="s">
        <v>465</v>
      </c>
      <c r="I146" s="236">
        <v>500</v>
      </c>
      <c r="J146" s="271">
        <v>500</v>
      </c>
      <c r="K146" s="224" t="s">
        <v>147</v>
      </c>
      <c r="L146" s="224" t="s">
        <v>41</v>
      </c>
      <c r="N146">
        <f t="shared" si="0"/>
        <v>100</v>
      </c>
    </row>
    <row r="147" spans="1:14" x14ac:dyDescent="0.25">
      <c r="A147" s="246">
        <v>29</v>
      </c>
      <c r="B147" s="352" t="s">
        <v>2277</v>
      </c>
      <c r="C147" s="233" t="s">
        <v>2278</v>
      </c>
      <c r="D147" s="230" t="s">
        <v>160</v>
      </c>
      <c r="E147" s="230" t="s">
        <v>1792</v>
      </c>
      <c r="F147" s="230" t="s">
        <v>42</v>
      </c>
      <c r="G147" s="231"/>
      <c r="H147" s="399" t="s">
        <v>465</v>
      </c>
      <c r="I147" s="236">
        <v>5000</v>
      </c>
      <c r="J147" s="271">
        <v>5000</v>
      </c>
      <c r="K147" s="224" t="s">
        <v>147</v>
      </c>
      <c r="L147" s="224" t="s">
        <v>41</v>
      </c>
      <c r="N147">
        <f t="shared" si="0"/>
        <v>1000</v>
      </c>
    </row>
    <row r="148" spans="1:14" x14ac:dyDescent="0.25">
      <c r="A148" s="246">
        <v>29</v>
      </c>
      <c r="B148" s="352" t="s">
        <v>2279</v>
      </c>
      <c r="C148" s="233" t="s">
        <v>1373</v>
      </c>
      <c r="D148" s="230" t="s">
        <v>160</v>
      </c>
      <c r="E148" s="230" t="s">
        <v>2280</v>
      </c>
      <c r="F148" s="230" t="s">
        <v>49</v>
      </c>
      <c r="G148" s="231" t="s">
        <v>2281</v>
      </c>
      <c r="H148" s="399" t="s">
        <v>465</v>
      </c>
      <c r="I148" s="236">
        <v>1000</v>
      </c>
      <c r="J148" s="271">
        <v>1000</v>
      </c>
      <c r="K148" s="224" t="s">
        <v>147</v>
      </c>
      <c r="L148" s="224" t="s">
        <v>41</v>
      </c>
      <c r="N148">
        <f t="shared" si="0"/>
        <v>200</v>
      </c>
    </row>
    <row r="149" spans="1:14" x14ac:dyDescent="0.25">
      <c r="A149" s="246">
        <v>29</v>
      </c>
      <c r="B149" s="352" t="s">
        <v>2282</v>
      </c>
      <c r="C149" s="233" t="s">
        <v>2283</v>
      </c>
      <c r="D149" s="283" t="s">
        <v>163</v>
      </c>
      <c r="E149" s="230" t="s">
        <v>164</v>
      </c>
      <c r="F149" s="230" t="s">
        <v>44</v>
      </c>
      <c r="G149" s="231" t="s">
        <v>2284</v>
      </c>
      <c r="H149" s="230" t="s">
        <v>40</v>
      </c>
      <c r="I149" s="236">
        <v>2000</v>
      </c>
      <c r="J149" s="271">
        <v>400</v>
      </c>
      <c r="K149" s="224" t="s">
        <v>147</v>
      </c>
      <c r="L149" s="224" t="s">
        <v>41</v>
      </c>
      <c r="N149">
        <f t="shared" si="0"/>
        <v>400</v>
      </c>
    </row>
    <row r="150" spans="1:14" x14ac:dyDescent="0.25">
      <c r="A150" s="246">
        <v>29</v>
      </c>
      <c r="B150" s="352" t="s">
        <v>1393</v>
      </c>
      <c r="C150" s="233" t="s">
        <v>1394</v>
      </c>
      <c r="D150" s="230" t="s">
        <v>160</v>
      </c>
      <c r="E150" s="230" t="s">
        <v>365</v>
      </c>
      <c r="F150" s="230" t="s">
        <v>44</v>
      </c>
      <c r="G150" s="231" t="s">
        <v>2287</v>
      </c>
      <c r="H150" s="230" t="s">
        <v>40</v>
      </c>
      <c r="I150" s="236">
        <v>6500</v>
      </c>
      <c r="J150" s="271">
        <v>1300</v>
      </c>
      <c r="K150" s="224" t="s">
        <v>147</v>
      </c>
      <c r="L150" s="224" t="s">
        <v>41</v>
      </c>
      <c r="N150">
        <f t="shared" si="0"/>
        <v>1300</v>
      </c>
    </row>
    <row r="151" spans="1:14" x14ac:dyDescent="0.25">
      <c r="A151" s="246">
        <v>29</v>
      </c>
      <c r="B151" s="352" t="s">
        <v>1581</v>
      </c>
      <c r="C151" s="233" t="s">
        <v>2288</v>
      </c>
      <c r="D151" s="230" t="s">
        <v>160</v>
      </c>
      <c r="E151" s="230" t="s">
        <v>388</v>
      </c>
      <c r="F151" s="230" t="s">
        <v>48</v>
      </c>
      <c r="G151" s="231" t="s">
        <v>2289</v>
      </c>
      <c r="H151" s="399" t="s">
        <v>465</v>
      </c>
      <c r="I151" s="236">
        <v>200</v>
      </c>
      <c r="J151" s="271">
        <v>200</v>
      </c>
      <c r="K151" s="224" t="s">
        <v>147</v>
      </c>
      <c r="L151" s="224" t="s">
        <v>41</v>
      </c>
      <c r="N151">
        <f t="shared" si="0"/>
        <v>40</v>
      </c>
    </row>
    <row r="152" spans="1:14" x14ac:dyDescent="0.25">
      <c r="A152" s="246">
        <v>29</v>
      </c>
      <c r="B152" s="352" t="s">
        <v>2290</v>
      </c>
      <c r="C152" s="233" t="s">
        <v>2291</v>
      </c>
      <c r="D152" s="230" t="s">
        <v>160</v>
      </c>
      <c r="E152" s="230" t="s">
        <v>203</v>
      </c>
      <c r="F152" s="230" t="s">
        <v>54</v>
      </c>
      <c r="G152" s="231" t="s">
        <v>2292</v>
      </c>
      <c r="H152" s="230" t="s">
        <v>40</v>
      </c>
      <c r="I152" s="236">
        <v>2000</v>
      </c>
      <c r="J152" s="271">
        <v>400</v>
      </c>
      <c r="K152" s="224" t="s">
        <v>147</v>
      </c>
      <c r="L152" s="224" t="s">
        <v>41</v>
      </c>
      <c r="N152">
        <f t="shared" si="0"/>
        <v>400</v>
      </c>
    </row>
    <row r="153" spans="1:14" x14ac:dyDescent="0.25">
      <c r="A153" s="246">
        <v>29</v>
      </c>
      <c r="B153" s="352" t="s">
        <v>2293</v>
      </c>
      <c r="C153" s="233" t="s">
        <v>2294</v>
      </c>
      <c r="D153" s="283" t="s">
        <v>163</v>
      </c>
      <c r="E153" s="230" t="s">
        <v>167</v>
      </c>
      <c r="F153" s="230" t="s">
        <v>43</v>
      </c>
      <c r="G153" s="231" t="s">
        <v>1011</v>
      </c>
      <c r="H153" s="230" t="s">
        <v>40</v>
      </c>
      <c r="I153" s="236">
        <v>6000</v>
      </c>
      <c r="J153" s="271">
        <v>1200</v>
      </c>
      <c r="K153" s="224" t="s">
        <v>147</v>
      </c>
      <c r="L153" s="224" t="s">
        <v>41</v>
      </c>
      <c r="N153">
        <f t="shared" si="0"/>
        <v>1200</v>
      </c>
    </row>
    <row r="154" spans="1:14" x14ac:dyDescent="0.25">
      <c r="A154" s="246">
        <v>29</v>
      </c>
      <c r="B154" s="352" t="s">
        <v>2295</v>
      </c>
      <c r="C154" s="233" t="s">
        <v>1947</v>
      </c>
      <c r="D154" s="230" t="s">
        <v>160</v>
      </c>
      <c r="E154" s="230" t="s">
        <v>1792</v>
      </c>
      <c r="F154" s="230" t="s">
        <v>42</v>
      </c>
      <c r="G154" s="231"/>
      <c r="H154" s="230" t="s">
        <v>40</v>
      </c>
      <c r="I154" s="236">
        <v>2000</v>
      </c>
      <c r="J154" s="271">
        <v>400</v>
      </c>
      <c r="K154" s="224" t="s">
        <v>147</v>
      </c>
      <c r="L154" s="224" t="s">
        <v>41</v>
      </c>
      <c r="N154">
        <f t="shared" si="0"/>
        <v>400</v>
      </c>
    </row>
    <row r="155" spans="1:14" x14ac:dyDescent="0.25">
      <c r="A155" s="246">
        <v>29</v>
      </c>
      <c r="B155" s="352" t="s">
        <v>2296</v>
      </c>
      <c r="C155" s="233" t="s">
        <v>1552</v>
      </c>
      <c r="D155" s="230" t="s">
        <v>160</v>
      </c>
      <c r="E155" s="230" t="s">
        <v>2297</v>
      </c>
      <c r="F155" s="230" t="s">
        <v>56</v>
      </c>
      <c r="G155" s="231"/>
      <c r="H155" s="399" t="s">
        <v>465</v>
      </c>
      <c r="I155" s="236">
        <v>2000</v>
      </c>
      <c r="J155" s="271">
        <v>2000</v>
      </c>
      <c r="K155" s="224" t="s">
        <v>147</v>
      </c>
      <c r="L155" s="224" t="s">
        <v>41</v>
      </c>
      <c r="N155">
        <f t="shared" si="0"/>
        <v>400</v>
      </c>
    </row>
    <row r="156" spans="1:14" x14ac:dyDescent="0.25">
      <c r="A156" s="246">
        <v>29</v>
      </c>
      <c r="B156" s="352" t="s">
        <v>2044</v>
      </c>
      <c r="C156" s="233" t="s">
        <v>1312</v>
      </c>
      <c r="D156" s="230" t="s">
        <v>160</v>
      </c>
      <c r="E156" s="230" t="s">
        <v>954</v>
      </c>
      <c r="F156" s="230" t="s">
        <v>43</v>
      </c>
      <c r="G156" s="231" t="s">
        <v>2298</v>
      </c>
      <c r="H156" s="230" t="s">
        <v>40</v>
      </c>
      <c r="I156" s="236">
        <v>500</v>
      </c>
      <c r="J156" s="271">
        <v>100</v>
      </c>
      <c r="K156" s="224" t="s">
        <v>147</v>
      </c>
      <c r="L156" s="224" t="s">
        <v>41</v>
      </c>
      <c r="N156">
        <f t="shared" si="0"/>
        <v>100</v>
      </c>
    </row>
    <row r="157" spans="1:14" x14ac:dyDescent="0.25">
      <c r="A157" s="246">
        <v>29</v>
      </c>
      <c r="B157" s="352" t="s">
        <v>48</v>
      </c>
      <c r="C157" s="233" t="s">
        <v>2299</v>
      </c>
      <c r="D157" s="230" t="s">
        <v>160</v>
      </c>
      <c r="E157" s="230" t="s">
        <v>180</v>
      </c>
      <c r="F157" s="230" t="s">
        <v>47</v>
      </c>
      <c r="G157" s="231" t="s">
        <v>2300</v>
      </c>
      <c r="H157" s="230" t="s">
        <v>40</v>
      </c>
      <c r="I157" s="236">
        <v>200</v>
      </c>
      <c r="J157" s="271">
        <v>40</v>
      </c>
      <c r="K157" s="224" t="s">
        <v>147</v>
      </c>
      <c r="L157" s="224" t="s">
        <v>41</v>
      </c>
      <c r="N157">
        <f t="shared" si="0"/>
        <v>40</v>
      </c>
    </row>
    <row r="158" spans="1:14" x14ac:dyDescent="0.25">
      <c r="A158" s="273">
        <v>29</v>
      </c>
      <c r="B158" s="352" t="s">
        <v>2301</v>
      </c>
      <c r="C158" s="233" t="s">
        <v>2302</v>
      </c>
      <c r="D158" s="230" t="s">
        <v>160</v>
      </c>
      <c r="E158" s="230" t="s">
        <v>167</v>
      </c>
      <c r="F158" s="230" t="s">
        <v>43</v>
      </c>
      <c r="G158" s="231"/>
      <c r="H158" s="230" t="s">
        <v>40</v>
      </c>
      <c r="I158" s="236">
        <v>17000</v>
      </c>
      <c r="J158" s="271">
        <v>3400</v>
      </c>
      <c r="K158" s="224" t="s">
        <v>147</v>
      </c>
      <c r="L158" s="224" t="s">
        <v>41</v>
      </c>
      <c r="N158">
        <f t="shared" si="0"/>
        <v>3400</v>
      </c>
    </row>
    <row r="159" spans="1:14" x14ac:dyDescent="0.25">
      <c r="A159" s="222"/>
      <c r="B159" s="353"/>
      <c r="C159" s="100"/>
      <c r="D159" s="224"/>
      <c r="E159" s="224"/>
      <c r="F159" s="224"/>
      <c r="G159" s="225"/>
      <c r="H159" s="224"/>
      <c r="I159" s="234"/>
      <c r="J159" s="235"/>
      <c r="K159" s="224"/>
      <c r="L159" s="224"/>
      <c r="N159">
        <f>SUM(N12:N158)</f>
        <v>58678</v>
      </c>
    </row>
    <row r="160" spans="1:14" x14ac:dyDescent="0.25">
      <c r="A160" s="285"/>
      <c r="B160" s="350"/>
      <c r="C160" s="60"/>
      <c r="D160" s="60"/>
      <c r="E160" s="60"/>
      <c r="F160" s="60"/>
      <c r="G160" s="60"/>
      <c r="H160" s="60"/>
      <c r="I160" s="61"/>
      <c r="J160" s="121"/>
      <c r="K160" s="60"/>
    </row>
    <row r="162" spans="1:17" x14ac:dyDescent="0.25">
      <c r="J162" s="123"/>
      <c r="K162" s="70"/>
    </row>
    <row r="163" spans="1:17" ht="16.5" customHeight="1" x14ac:dyDescent="0.25">
      <c r="C163" s="62" t="s">
        <v>20</v>
      </c>
      <c r="F163" s="62" t="s">
        <v>21</v>
      </c>
      <c r="J163" s="103" t="s">
        <v>109</v>
      </c>
      <c r="K163" s="127"/>
      <c r="Q163" s="30"/>
    </row>
    <row r="164" spans="1:17" x14ac:dyDescent="0.25">
      <c r="J164" s="103" t="s">
        <v>110</v>
      </c>
      <c r="K164" s="127"/>
      <c r="L164" s="98"/>
    </row>
    <row r="165" spans="1:17" x14ac:dyDescent="0.25">
      <c r="J165" s="103" t="s">
        <v>138</v>
      </c>
      <c r="K165" s="128"/>
    </row>
    <row r="166" spans="1:17" x14ac:dyDescent="0.25">
      <c r="C166" s="124" t="s">
        <v>1577</v>
      </c>
      <c r="F166" s="617" t="s">
        <v>157</v>
      </c>
      <c r="G166" s="617"/>
      <c r="H166" s="617"/>
      <c r="I166" s="617"/>
      <c r="J166" s="103" t="s">
        <v>1265</v>
      </c>
      <c r="K166" s="128"/>
    </row>
    <row r="167" spans="1:17" x14ac:dyDescent="0.25">
      <c r="C167" s="62" t="s">
        <v>967</v>
      </c>
      <c r="F167" s="618" t="s">
        <v>158</v>
      </c>
      <c r="G167" s="618"/>
      <c r="H167" s="618"/>
      <c r="I167" s="618"/>
      <c r="J167" s="103" t="s">
        <v>111</v>
      </c>
      <c r="K167" s="127"/>
    </row>
    <row r="168" spans="1:17" x14ac:dyDescent="0.25">
      <c r="J168" s="103" t="s">
        <v>112</v>
      </c>
      <c r="K168" s="128"/>
    </row>
    <row r="169" spans="1:17" s="62" customFormat="1" x14ac:dyDescent="0.25">
      <c r="A169" s="412"/>
      <c r="B169" s="412"/>
      <c r="J169" s="103" t="s">
        <v>114</v>
      </c>
      <c r="K169" s="288"/>
      <c r="M169"/>
      <c r="N169"/>
      <c r="O169"/>
    </row>
    <row r="170" spans="1:17" s="62" customFormat="1" x14ac:dyDescent="0.25">
      <c r="A170" s="412"/>
      <c r="B170" s="412"/>
      <c r="J170" s="103" t="s">
        <v>22</v>
      </c>
      <c r="K170" s="128"/>
      <c r="M170"/>
      <c r="N170"/>
      <c r="O170"/>
    </row>
    <row r="171" spans="1:17" s="62" customFormat="1" x14ac:dyDescent="0.25">
      <c r="A171" s="412"/>
      <c r="B171" s="412"/>
      <c r="C171" s="99"/>
      <c r="F171" s="99"/>
      <c r="G171" s="99"/>
      <c r="H171" s="99"/>
      <c r="J171" s="125" t="s">
        <v>107</v>
      </c>
      <c r="K171" s="71"/>
      <c r="M171"/>
      <c r="N171"/>
      <c r="O171"/>
    </row>
    <row r="172" spans="1:17" s="62" customFormat="1" x14ac:dyDescent="0.25">
      <c r="A172" s="412"/>
      <c r="B172" s="412"/>
      <c r="J172" s="125" t="s">
        <v>108</v>
      </c>
      <c r="K172" s="70"/>
      <c r="M172"/>
      <c r="N172"/>
      <c r="O172"/>
    </row>
    <row r="173" spans="1:17" s="62" customFormat="1" x14ac:dyDescent="0.25">
      <c r="A173" s="412"/>
      <c r="B173" s="412"/>
      <c r="J173" s="103"/>
      <c r="K173" s="70"/>
      <c r="M173"/>
      <c r="N173"/>
      <c r="O173"/>
    </row>
    <row r="174" spans="1:17" s="62" customFormat="1" x14ac:dyDescent="0.25">
      <c r="A174" s="412"/>
      <c r="B174" s="412"/>
      <c r="J174" s="103"/>
      <c r="K174" s="71"/>
      <c r="M174"/>
      <c r="N174"/>
      <c r="O174"/>
    </row>
    <row r="175" spans="1:17" s="62" customFormat="1" x14ac:dyDescent="0.25">
      <c r="A175" s="412"/>
      <c r="B175" s="412"/>
      <c r="J175" s="103"/>
      <c r="K175" s="71"/>
      <c r="M175"/>
      <c r="N175"/>
      <c r="O175"/>
    </row>
    <row r="195" spans="13:13" x14ac:dyDescent="0.25">
      <c r="M195" s="30"/>
    </row>
    <row r="218" spans="13:13" x14ac:dyDescent="0.25">
      <c r="M218" s="30"/>
    </row>
    <row r="345" spans="13:13" x14ac:dyDescent="0.25">
      <c r="M345" s="30"/>
    </row>
  </sheetData>
  <mergeCells count="8">
    <mergeCell ref="F166:I166"/>
    <mergeCell ref="F167:I167"/>
    <mergeCell ref="A1:L1"/>
    <mergeCell ref="A2:L2"/>
    <mergeCell ref="A6:C6"/>
    <mergeCell ref="G7:I7"/>
    <mergeCell ref="K7:L7"/>
    <mergeCell ref="A8:C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2C569-7A42-431A-8120-0339AA1AB186}">
  <sheetPr>
    <tabColor theme="5"/>
  </sheetPr>
  <dimension ref="A1:O39"/>
  <sheetViews>
    <sheetView view="pageBreakPreview" topLeftCell="A4" zoomScale="96" zoomScaleNormal="100" zoomScaleSheetLayoutView="96" workbookViewId="0">
      <selection activeCell="I13" sqref="I13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1.71093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1719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/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/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395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395" t="s">
        <v>13</v>
      </c>
      <c r="L9" s="395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20.25" customHeight="1" x14ac:dyDescent="0.25">
      <c r="A12" s="294">
        <v>4</v>
      </c>
      <c r="B12" s="333" t="s">
        <v>1740</v>
      </c>
      <c r="C12" s="334"/>
      <c r="D12" s="335"/>
      <c r="E12" s="355" t="s">
        <v>62</v>
      </c>
      <c r="F12" s="336" t="s">
        <v>1741</v>
      </c>
      <c r="G12" s="333" t="s">
        <v>1742</v>
      </c>
      <c r="H12" s="333" t="s">
        <v>465</v>
      </c>
      <c r="I12" s="337">
        <v>100</v>
      </c>
      <c r="J12" s="220" t="s">
        <v>152</v>
      </c>
      <c r="K12" s="100"/>
      <c r="L12" s="181" t="s">
        <v>41</v>
      </c>
    </row>
    <row r="13" spans="1:15" ht="37.5" customHeight="1" x14ac:dyDescent="0.25">
      <c r="A13" s="309">
        <v>14</v>
      </c>
      <c r="B13" s="355" t="s">
        <v>1853</v>
      </c>
      <c r="C13" s="334"/>
      <c r="D13" s="333"/>
      <c r="E13" s="333" t="s">
        <v>70</v>
      </c>
      <c r="F13" s="336" t="s">
        <v>1854</v>
      </c>
      <c r="G13" s="333" t="s">
        <v>1855</v>
      </c>
      <c r="H13" s="333" t="s">
        <v>40</v>
      </c>
      <c r="I13" s="337">
        <v>3500</v>
      </c>
      <c r="J13" s="220" t="s">
        <v>152</v>
      </c>
      <c r="K13" s="100"/>
      <c r="L13" s="181" t="s">
        <v>41</v>
      </c>
    </row>
    <row r="14" spans="1:15" s="62" customFormat="1" ht="20.25" customHeight="1" x14ac:dyDescent="0.25">
      <c r="A14" s="294">
        <v>16</v>
      </c>
      <c r="B14" s="333" t="s">
        <v>1858</v>
      </c>
      <c r="C14" s="334"/>
      <c r="D14" s="335" t="s">
        <v>426</v>
      </c>
      <c r="E14" s="333" t="s">
        <v>59</v>
      </c>
      <c r="F14" s="336"/>
      <c r="G14" s="333" t="s">
        <v>1859</v>
      </c>
      <c r="H14" s="409" t="s">
        <v>1478</v>
      </c>
      <c r="I14" s="343">
        <v>4000</v>
      </c>
      <c r="J14" s="220" t="s">
        <v>152</v>
      </c>
      <c r="K14" s="100"/>
      <c r="L14" s="181" t="s">
        <v>41</v>
      </c>
      <c r="M14" s="166"/>
    </row>
    <row r="15" spans="1:15" s="62" customFormat="1" ht="16.5" customHeight="1" x14ac:dyDescent="0.25">
      <c r="A15" s="295"/>
      <c r="B15" s="338"/>
      <c r="C15" s="339"/>
      <c r="D15" s="340"/>
      <c r="E15" s="340"/>
      <c r="F15" s="341"/>
      <c r="G15" s="340"/>
      <c r="H15" s="342"/>
      <c r="I15" s="344"/>
      <c r="J15" s="220" t="s">
        <v>152</v>
      </c>
      <c r="K15" s="100"/>
      <c r="L15" s="181" t="s">
        <v>41</v>
      </c>
      <c r="M15" s="166"/>
      <c r="O15" s="98"/>
    </row>
    <row r="16" spans="1:15" s="62" customFormat="1" ht="17.25" customHeight="1" x14ac:dyDescent="0.25">
      <c r="A16" s="295"/>
      <c r="B16" s="333"/>
      <c r="C16" s="339"/>
      <c r="D16" s="340"/>
      <c r="E16" s="340"/>
      <c r="F16" s="341"/>
      <c r="G16" s="340"/>
      <c r="H16" s="345"/>
      <c r="I16" s="344"/>
      <c r="J16" s="220" t="s">
        <v>152</v>
      </c>
      <c r="K16" s="100" t="s">
        <v>901</v>
      </c>
      <c r="L16" s="181" t="s">
        <v>41</v>
      </c>
      <c r="O16" s="98"/>
    </row>
    <row r="17" spans="1:15" s="62" customFormat="1" ht="18" customHeight="1" x14ac:dyDescent="0.25">
      <c r="A17" s="295"/>
      <c r="B17" s="338"/>
      <c r="C17" s="339"/>
      <c r="D17" s="340"/>
      <c r="E17" s="340"/>
      <c r="F17" s="341"/>
      <c r="G17" s="340"/>
      <c r="H17" s="345"/>
      <c r="I17" s="344"/>
      <c r="J17" s="220" t="s">
        <v>152</v>
      </c>
      <c r="K17" s="100"/>
      <c r="L17" s="181" t="s">
        <v>41</v>
      </c>
      <c r="O17" s="98"/>
    </row>
    <row r="18" spans="1:15" s="62" customFormat="1" ht="18" customHeight="1" x14ac:dyDescent="0.25">
      <c r="A18" s="295"/>
      <c r="B18" s="338"/>
      <c r="C18" s="339"/>
      <c r="D18" s="340"/>
      <c r="E18" s="340"/>
      <c r="F18" s="341"/>
      <c r="G18" s="340"/>
      <c r="H18" s="345"/>
      <c r="I18" s="344"/>
      <c r="J18" s="220" t="s">
        <v>152</v>
      </c>
      <c r="K18" s="100"/>
      <c r="L18" s="181" t="s">
        <v>41</v>
      </c>
      <c r="O18" s="98"/>
    </row>
    <row r="19" spans="1:15" s="62" customFormat="1" ht="18" customHeight="1" x14ac:dyDescent="0.25">
      <c r="A19" s="295"/>
      <c r="B19" s="338"/>
      <c r="C19" s="339"/>
      <c r="D19" s="340"/>
      <c r="E19" s="340"/>
      <c r="F19" s="341"/>
      <c r="G19" s="340"/>
      <c r="H19" s="345"/>
      <c r="I19" s="344"/>
      <c r="J19" s="220" t="s">
        <v>152</v>
      </c>
      <c r="K19" s="100"/>
      <c r="L19" s="181" t="s">
        <v>41</v>
      </c>
      <c r="O19" s="98"/>
    </row>
    <row r="20" spans="1:15" s="62" customFormat="1" ht="18" customHeight="1" x14ac:dyDescent="0.25">
      <c r="A20" s="295"/>
      <c r="B20" s="338"/>
      <c r="C20" s="339"/>
      <c r="D20" s="340"/>
      <c r="E20" s="340"/>
      <c r="F20" s="341"/>
      <c r="G20" s="340"/>
      <c r="H20" s="345"/>
      <c r="I20" s="344"/>
      <c r="J20" s="220" t="s">
        <v>152</v>
      </c>
      <c r="K20" s="100"/>
      <c r="L20" s="181" t="s">
        <v>41</v>
      </c>
      <c r="O20" s="98"/>
    </row>
    <row r="21" spans="1:15" s="62" customFormat="1" ht="18" customHeight="1" x14ac:dyDescent="0.25">
      <c r="A21" s="295"/>
      <c r="B21" s="338"/>
      <c r="C21" s="339"/>
      <c r="D21" s="340"/>
      <c r="E21" s="340"/>
      <c r="F21" s="341"/>
      <c r="G21" s="340"/>
      <c r="H21" s="345"/>
      <c r="I21" s="344"/>
      <c r="J21" s="220" t="s">
        <v>152</v>
      </c>
      <c r="K21" s="100"/>
      <c r="L21" s="181" t="s">
        <v>41</v>
      </c>
      <c r="O21" s="98"/>
    </row>
    <row r="22" spans="1:15" s="62" customFormat="1" ht="18" customHeight="1" x14ac:dyDescent="0.25">
      <c r="A22" s="295"/>
      <c r="B22" s="277"/>
      <c r="C22" s="216"/>
      <c r="D22" s="181"/>
      <c r="E22" s="181"/>
      <c r="F22" s="217"/>
      <c r="G22" s="181"/>
      <c r="H22" s="242"/>
      <c r="I22" s="221"/>
      <c r="J22" s="220" t="s">
        <v>152</v>
      </c>
      <c r="K22" s="100"/>
      <c r="L22" s="181" t="s">
        <v>41</v>
      </c>
      <c r="O22" s="98"/>
    </row>
    <row r="23" spans="1:15" s="62" customFormat="1" ht="18" customHeight="1" x14ac:dyDescent="0.25">
      <c r="A23" s="215"/>
      <c r="B23" s="277"/>
      <c r="C23" s="216"/>
      <c r="D23" s="181"/>
      <c r="E23" s="181"/>
      <c r="F23" s="217"/>
      <c r="G23" s="181"/>
      <c r="H23" s="242"/>
      <c r="I23" s="221"/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15"/>
      <c r="B24" s="277"/>
      <c r="C24" s="216"/>
      <c r="D24" s="181"/>
      <c r="E24" s="181"/>
      <c r="F24" s="217"/>
      <c r="G24" s="181"/>
      <c r="H24" s="242"/>
      <c r="I24" s="221"/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240"/>
      <c r="B25" s="207"/>
      <c r="C25" s="100"/>
      <c r="D25" s="100"/>
      <c r="E25" s="100"/>
      <c r="F25" s="241"/>
      <c r="G25" s="218"/>
      <c r="H25" s="242"/>
      <c r="I25" s="221"/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240"/>
      <c r="B26" s="207"/>
      <c r="C26" s="100"/>
      <c r="D26" s="100"/>
      <c r="E26" s="100"/>
      <c r="F26" s="241"/>
      <c r="G26" s="100"/>
      <c r="H26" s="242"/>
      <c r="I26" s="221"/>
      <c r="J26" s="220" t="s">
        <v>152</v>
      </c>
      <c r="K26" s="100"/>
      <c r="L26" s="181" t="s">
        <v>41</v>
      </c>
      <c r="O26" s="98"/>
    </row>
    <row r="27" spans="1:15" s="62" customFormat="1" x14ac:dyDescent="0.25">
      <c r="A27" s="240"/>
      <c r="B27" s="100"/>
      <c r="C27" s="216"/>
      <c r="D27" s="100"/>
      <c r="E27" s="100"/>
      <c r="F27" s="241"/>
      <c r="G27" s="100"/>
      <c r="H27" s="140"/>
      <c r="I27" s="221"/>
      <c r="J27" s="216"/>
      <c r="K27" s="100"/>
      <c r="L27" s="100"/>
      <c r="O27" s="98"/>
    </row>
    <row r="28" spans="1:15" x14ac:dyDescent="0.25">
      <c r="I28" s="28"/>
      <c r="J28" s="28"/>
    </row>
    <row r="29" spans="1:15" x14ac:dyDescent="0.25">
      <c r="I29" s="63" t="s">
        <v>19</v>
      </c>
      <c r="J29" s="28"/>
      <c r="K29" s="326"/>
      <c r="L29" s="30"/>
    </row>
    <row r="30" spans="1:15" x14ac:dyDescent="0.25">
      <c r="I30" s="28" t="s">
        <v>109</v>
      </c>
      <c r="J30" s="28"/>
      <c r="K30" s="357"/>
      <c r="L30" s="276"/>
    </row>
    <row r="31" spans="1:15" x14ac:dyDescent="0.25">
      <c r="B31" t="s">
        <v>20</v>
      </c>
      <c r="E31" t="s">
        <v>21</v>
      </c>
      <c r="I31" s="28" t="s">
        <v>110</v>
      </c>
      <c r="J31" s="132"/>
      <c r="K31" s="328"/>
      <c r="L31" s="69"/>
    </row>
    <row r="32" spans="1:15" x14ac:dyDescent="0.25">
      <c r="I32" s="28" t="s">
        <v>149</v>
      </c>
      <c r="J32" s="132"/>
      <c r="L32" s="287"/>
    </row>
    <row r="33" spans="2:12" x14ac:dyDescent="0.25">
      <c r="I33" s="28" t="s">
        <v>601</v>
      </c>
      <c r="J33" s="132"/>
      <c r="K33" s="274"/>
      <c r="L33" s="69"/>
    </row>
    <row r="34" spans="2:12" x14ac:dyDescent="0.25">
      <c r="I34" s="28" t="s">
        <v>111</v>
      </c>
      <c r="J34" s="132"/>
      <c r="K34" s="274"/>
      <c r="L34" s="287"/>
    </row>
    <row r="35" spans="2:12" x14ac:dyDescent="0.25">
      <c r="B35" s="29"/>
      <c r="E35" s="251"/>
      <c r="F35" s="251"/>
      <c r="G35" s="251"/>
      <c r="H35" s="251"/>
      <c r="I35" s="28" t="s">
        <v>113</v>
      </c>
      <c r="J35" s="132"/>
      <c r="L35" s="69"/>
    </row>
    <row r="36" spans="2:12" x14ac:dyDescent="0.25">
      <c r="B36" s="267" t="s">
        <v>1577</v>
      </c>
      <c r="C36" s="267"/>
      <c r="D36" s="267"/>
      <c r="E36" s="268" t="s">
        <v>157</v>
      </c>
      <c r="F36" s="252"/>
      <c r="G36" s="252"/>
      <c r="H36" s="252"/>
      <c r="I36" s="28" t="s">
        <v>114</v>
      </c>
      <c r="J36" s="130"/>
      <c r="L36" s="69"/>
    </row>
    <row r="37" spans="2:12" x14ac:dyDescent="0.25">
      <c r="B37" t="s">
        <v>1576</v>
      </c>
      <c r="E37" t="s">
        <v>158</v>
      </c>
      <c r="I37" s="28" t="s">
        <v>22</v>
      </c>
      <c r="J37" s="131"/>
    </row>
    <row r="38" spans="2:12" x14ac:dyDescent="0.25">
      <c r="I38" s="3" t="s">
        <v>115</v>
      </c>
      <c r="J38" s="132"/>
      <c r="L38" s="30"/>
    </row>
    <row r="39" spans="2:12" x14ac:dyDescent="0.25">
      <c r="I39" s="3" t="s">
        <v>87</v>
      </c>
      <c r="J39" s="132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D4E39-EAC3-4E59-9F5F-96185163B98A}">
  <sheetPr>
    <tabColor theme="5"/>
  </sheetPr>
  <dimension ref="A1:U306"/>
  <sheetViews>
    <sheetView view="pageBreakPreview" topLeftCell="A21" zoomScale="106" zoomScaleNormal="100" zoomScaleSheetLayoutView="106" workbookViewId="0">
      <selection activeCell="B37" sqref="B37"/>
    </sheetView>
  </sheetViews>
  <sheetFormatPr defaultRowHeight="15" x14ac:dyDescent="0.25"/>
  <cols>
    <col min="1" max="1" width="4.7109375" style="396" customWidth="1"/>
    <col min="2" max="2" width="15" style="396" customWidth="1"/>
    <col min="3" max="3" width="18" style="62" customWidth="1"/>
    <col min="4" max="4" width="7.28515625" style="62" customWidth="1"/>
    <col min="5" max="5" width="17.7109375" style="62" customWidth="1"/>
    <col min="6" max="6" width="14.5703125" style="62" customWidth="1"/>
    <col min="7" max="7" width="14.28515625" style="62" customWidth="1"/>
    <col min="8" max="8" width="14" style="62" customWidth="1"/>
    <col min="9" max="9" width="16.42578125" style="62" customWidth="1"/>
    <col min="10" max="10" width="16.85546875" style="122" customWidth="1"/>
    <col min="11" max="11" width="9.5703125" style="62" customWidth="1"/>
    <col min="12" max="12" width="17.85546875" style="62" customWidth="1"/>
    <col min="16" max="16" width="4.5703125" customWidth="1"/>
    <col min="17" max="17" width="14.28515625" customWidth="1"/>
    <col min="18" max="18" width="12.42578125" customWidth="1"/>
  </cols>
  <sheetData>
    <row r="1" spans="1:21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</row>
    <row r="2" spans="1:21" ht="18" x14ac:dyDescent="0.25">
      <c r="A2" s="620" t="s">
        <v>1719</v>
      </c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21" x14ac:dyDescent="0.25">
      <c r="C3" s="102"/>
      <c r="D3" s="78"/>
      <c r="E3" s="102"/>
      <c r="F3" s="102"/>
      <c r="H3" s="78"/>
      <c r="I3" s="83"/>
      <c r="J3" s="103"/>
      <c r="K3" s="104" t="s">
        <v>1957</v>
      </c>
      <c r="L3" s="105"/>
      <c r="Q3" s="30">
        <f>SUM(I12:I71,I73:I119)</f>
        <v>197730</v>
      </c>
      <c r="R3" s="30">
        <f>Q3+3600</f>
        <v>201330</v>
      </c>
    </row>
    <row r="4" spans="1:21" x14ac:dyDescent="0.25">
      <c r="C4" s="102"/>
      <c r="D4" s="78"/>
      <c r="E4" s="102"/>
      <c r="F4" s="102"/>
      <c r="H4" s="78"/>
      <c r="I4" s="83"/>
      <c r="J4" s="106"/>
      <c r="K4" s="95" t="s">
        <v>89</v>
      </c>
      <c r="L4" s="126">
        <v>82</v>
      </c>
    </row>
    <row r="5" spans="1:21" x14ac:dyDescent="0.25">
      <c r="C5" s="102"/>
      <c r="D5" s="78"/>
      <c r="E5" s="102"/>
      <c r="F5" s="107"/>
      <c r="H5" s="78"/>
      <c r="I5" s="83"/>
      <c r="J5" s="106"/>
      <c r="K5" s="95" t="s">
        <v>91</v>
      </c>
      <c r="L5" s="126">
        <v>17</v>
      </c>
      <c r="Q5" s="30"/>
      <c r="R5" s="30"/>
    </row>
    <row r="6" spans="1:21" x14ac:dyDescent="0.25">
      <c r="A6" s="622" t="s">
        <v>117</v>
      </c>
      <c r="B6" s="622"/>
      <c r="C6" s="622"/>
      <c r="D6" s="79"/>
      <c r="E6" s="107"/>
      <c r="F6" s="108"/>
      <c r="G6" s="60"/>
      <c r="H6" s="79"/>
      <c r="I6" s="84"/>
      <c r="J6" s="103"/>
      <c r="K6" s="101" t="s">
        <v>1560</v>
      </c>
      <c r="L6" s="109"/>
      <c r="R6" s="30"/>
    </row>
    <row r="7" spans="1:21" x14ac:dyDescent="0.25">
      <c r="A7" s="110"/>
      <c r="B7" s="347"/>
      <c r="C7" s="111"/>
      <c r="D7" s="80"/>
      <c r="E7" s="169"/>
      <c r="F7" s="169"/>
      <c r="G7" s="613" t="s">
        <v>1</v>
      </c>
      <c r="H7" s="623"/>
      <c r="I7" s="614"/>
      <c r="J7" s="112"/>
      <c r="K7" s="624" t="s">
        <v>2</v>
      </c>
      <c r="L7" s="625"/>
      <c r="Q7" s="30"/>
      <c r="R7" s="30"/>
    </row>
    <row r="8" spans="1:21" x14ac:dyDescent="0.25">
      <c r="A8" s="629" t="s">
        <v>3</v>
      </c>
      <c r="B8" s="629"/>
      <c r="C8" s="630"/>
      <c r="D8" s="18" t="s">
        <v>4</v>
      </c>
      <c r="E8" s="397" t="s">
        <v>5</v>
      </c>
      <c r="F8" s="73" t="s">
        <v>6</v>
      </c>
      <c r="G8" s="11" t="s">
        <v>7</v>
      </c>
      <c r="H8" s="81"/>
      <c r="I8" s="12" t="s">
        <v>8</v>
      </c>
      <c r="J8" s="74" t="s">
        <v>9</v>
      </c>
      <c r="K8" s="96"/>
      <c r="L8" s="113"/>
      <c r="Q8" s="214"/>
      <c r="R8" s="30"/>
    </row>
    <row r="9" spans="1:21" x14ac:dyDescent="0.25">
      <c r="A9" s="114"/>
      <c r="B9" s="348"/>
      <c r="C9" s="115"/>
      <c r="D9" s="81"/>
      <c r="E9" s="116"/>
      <c r="F9" s="115"/>
      <c r="G9" s="17" t="s">
        <v>10</v>
      </c>
      <c r="H9" s="18" t="s">
        <v>11</v>
      </c>
      <c r="I9" s="12" t="s">
        <v>12</v>
      </c>
      <c r="J9" s="117"/>
      <c r="K9" s="397" t="s">
        <v>13</v>
      </c>
      <c r="L9" s="397" t="s">
        <v>14</v>
      </c>
      <c r="Q9" s="214"/>
    </row>
    <row r="10" spans="1:21" x14ac:dyDescent="0.25">
      <c r="A10" s="118"/>
      <c r="B10" s="349"/>
      <c r="C10" s="119"/>
      <c r="D10" s="82"/>
      <c r="E10" s="170"/>
      <c r="F10" s="170"/>
      <c r="G10" s="22"/>
      <c r="H10" s="85"/>
      <c r="I10" s="86" t="s">
        <v>15</v>
      </c>
      <c r="J10" s="120"/>
      <c r="K10" s="22"/>
      <c r="L10" s="51" t="s">
        <v>16</v>
      </c>
      <c r="Q10" s="214"/>
    </row>
    <row r="11" spans="1:21" x14ac:dyDescent="0.25">
      <c r="A11" s="142" t="s">
        <v>17</v>
      </c>
      <c r="B11" s="142"/>
      <c r="C11" s="59"/>
      <c r="D11" s="59"/>
      <c r="E11" s="59"/>
      <c r="F11" s="59"/>
      <c r="G11" s="59"/>
      <c r="H11" s="59"/>
      <c r="I11" s="59"/>
      <c r="J11" s="75"/>
      <c r="K11" s="59"/>
      <c r="L11" s="59"/>
      <c r="Q11" s="272" t="s">
        <v>1958</v>
      </c>
      <c r="S11" t="s">
        <v>160</v>
      </c>
      <c r="T11" t="s">
        <v>1857</v>
      </c>
      <c r="U11" t="s">
        <v>309</v>
      </c>
    </row>
    <row r="12" spans="1:21" x14ac:dyDescent="0.25">
      <c r="A12" s="228">
        <v>3</v>
      </c>
      <c r="B12" s="351" t="s">
        <v>1362</v>
      </c>
      <c r="C12" s="230" t="s">
        <v>1720</v>
      </c>
      <c r="D12" s="283" t="s">
        <v>163</v>
      </c>
      <c r="E12" s="230"/>
      <c r="F12" s="230" t="s">
        <v>62</v>
      </c>
      <c r="G12" s="231" t="s">
        <v>1721</v>
      </c>
      <c r="H12" s="233" t="s">
        <v>40</v>
      </c>
      <c r="I12" s="232">
        <v>300</v>
      </c>
      <c r="J12" s="229">
        <v>60</v>
      </c>
      <c r="K12" s="224" t="s">
        <v>147</v>
      </c>
      <c r="L12" s="224" t="s">
        <v>41</v>
      </c>
      <c r="N12">
        <f>I12/5</f>
        <v>60</v>
      </c>
      <c r="P12" s="30"/>
      <c r="Q12" s="320" t="s">
        <v>138</v>
      </c>
      <c r="R12" s="27">
        <f>SUM(I12:I14,I16,I19:I20,I23:I25,I27:I34,I36:I64,I65:I71)</f>
        <v>140900</v>
      </c>
      <c r="S12" s="320">
        <v>42</v>
      </c>
      <c r="T12">
        <v>9</v>
      </c>
      <c r="U12" t="s">
        <v>789</v>
      </c>
    </row>
    <row r="13" spans="1:21" x14ac:dyDescent="0.25">
      <c r="A13" s="228">
        <v>3</v>
      </c>
      <c r="B13" s="351" t="s">
        <v>1362</v>
      </c>
      <c r="C13" s="230" t="s">
        <v>1720</v>
      </c>
      <c r="D13" s="283" t="s">
        <v>163</v>
      </c>
      <c r="E13" s="230"/>
      <c r="F13" s="230" t="s">
        <v>62</v>
      </c>
      <c r="G13" s="231" t="s">
        <v>1721</v>
      </c>
      <c r="H13" s="398" t="s">
        <v>377</v>
      </c>
      <c r="I13" s="232">
        <v>100</v>
      </c>
      <c r="J13" s="229">
        <v>20</v>
      </c>
      <c r="K13" s="224" t="s">
        <v>147</v>
      </c>
      <c r="L13" s="224" t="s">
        <v>41</v>
      </c>
      <c r="N13">
        <f t="shared" ref="N13:N116" si="0">I13/5</f>
        <v>20</v>
      </c>
      <c r="P13" s="30"/>
      <c r="Q13" s="321" t="s">
        <v>465</v>
      </c>
      <c r="R13" s="27">
        <v>5800</v>
      </c>
      <c r="S13" s="320">
        <v>6</v>
      </c>
      <c r="T13">
        <v>1</v>
      </c>
      <c r="U13" t="s">
        <v>603</v>
      </c>
    </row>
    <row r="14" spans="1:21" x14ac:dyDescent="0.25">
      <c r="A14" s="228">
        <v>3</v>
      </c>
      <c r="B14" s="351" t="s">
        <v>1722</v>
      </c>
      <c r="C14" s="230" t="s">
        <v>1723</v>
      </c>
      <c r="D14" s="230" t="s">
        <v>160</v>
      </c>
      <c r="E14" s="230" t="s">
        <v>180</v>
      </c>
      <c r="F14" s="230" t="s">
        <v>49</v>
      </c>
      <c r="G14" s="231"/>
      <c r="H14" s="233" t="s">
        <v>40</v>
      </c>
      <c r="I14" s="232">
        <v>700</v>
      </c>
      <c r="J14" s="229">
        <v>140</v>
      </c>
      <c r="K14" s="224" t="s">
        <v>147</v>
      </c>
      <c r="L14" s="224" t="s">
        <v>41</v>
      </c>
      <c r="N14">
        <f t="shared" si="0"/>
        <v>140</v>
      </c>
      <c r="P14" s="30"/>
      <c r="Q14" s="272" t="s">
        <v>1910</v>
      </c>
      <c r="R14" s="322"/>
      <c r="S14" s="320"/>
    </row>
    <row r="15" spans="1:21" x14ac:dyDescent="0.25">
      <c r="A15" s="228">
        <v>3</v>
      </c>
      <c r="B15" s="351" t="s">
        <v>1722</v>
      </c>
      <c r="C15" s="230" t="s">
        <v>1723</v>
      </c>
      <c r="D15" s="230" t="s">
        <v>160</v>
      </c>
      <c r="E15" s="230" t="s">
        <v>180</v>
      </c>
      <c r="F15" s="230" t="s">
        <v>49</v>
      </c>
      <c r="G15" s="231"/>
      <c r="H15" s="399" t="s">
        <v>465</v>
      </c>
      <c r="I15" s="232">
        <v>300</v>
      </c>
      <c r="J15" s="229">
        <v>300</v>
      </c>
      <c r="K15" s="224" t="s">
        <v>147</v>
      </c>
      <c r="L15" s="224" t="s">
        <v>41</v>
      </c>
      <c r="N15">
        <f t="shared" si="0"/>
        <v>60</v>
      </c>
      <c r="Q15" s="293" t="s">
        <v>138</v>
      </c>
      <c r="R15" s="322">
        <f>SUM(I76,I78:I82,I84,I86:I87,I91,I74:I75,I77,I99,I101)</f>
        <v>27200</v>
      </c>
      <c r="S15" s="320">
        <v>12</v>
      </c>
      <c r="T15">
        <v>3</v>
      </c>
    </row>
    <row r="16" spans="1:21" x14ac:dyDescent="0.25">
      <c r="A16" s="228">
        <v>3</v>
      </c>
      <c r="B16" s="351" t="s">
        <v>1724</v>
      </c>
      <c r="C16" s="230" t="s">
        <v>1422</v>
      </c>
      <c r="D16" s="230" t="s">
        <v>160</v>
      </c>
      <c r="E16" s="230" t="s">
        <v>180</v>
      </c>
      <c r="F16" s="230" t="s">
        <v>49</v>
      </c>
      <c r="G16" s="231" t="s">
        <v>1725</v>
      </c>
      <c r="H16" s="233" t="s">
        <v>40</v>
      </c>
      <c r="I16" s="232">
        <v>600</v>
      </c>
      <c r="J16" s="229">
        <v>120</v>
      </c>
      <c r="K16" s="224" t="s">
        <v>147</v>
      </c>
      <c r="L16" s="224" t="s">
        <v>41</v>
      </c>
      <c r="N16">
        <f t="shared" si="0"/>
        <v>120</v>
      </c>
      <c r="Q16" s="293" t="s">
        <v>465</v>
      </c>
      <c r="R16" s="322">
        <f>SUM(I89:I90,I92:I98,I100)</f>
        <v>7000</v>
      </c>
      <c r="S16" s="60">
        <v>10</v>
      </c>
    </row>
    <row r="17" spans="1:21" x14ac:dyDescent="0.25">
      <c r="A17" s="228">
        <v>3</v>
      </c>
      <c r="B17" s="351" t="s">
        <v>1724</v>
      </c>
      <c r="C17" s="230" t="s">
        <v>1422</v>
      </c>
      <c r="D17" s="230" t="s">
        <v>160</v>
      </c>
      <c r="E17" s="230" t="s">
        <v>180</v>
      </c>
      <c r="F17" s="230" t="s">
        <v>49</v>
      </c>
      <c r="G17" s="231" t="s">
        <v>1725</v>
      </c>
      <c r="H17" s="399" t="s">
        <v>465</v>
      </c>
      <c r="I17" s="232">
        <v>200</v>
      </c>
      <c r="J17" s="229">
        <v>200</v>
      </c>
      <c r="K17" s="224" t="s">
        <v>147</v>
      </c>
      <c r="L17" s="224" t="s">
        <v>41</v>
      </c>
      <c r="N17">
        <f t="shared" si="0"/>
        <v>40</v>
      </c>
      <c r="P17" s="69"/>
      <c r="Q17" s="320" t="s">
        <v>1911</v>
      </c>
      <c r="R17" s="322">
        <f>SUM(I73,I83,I85,I88)</f>
        <v>230</v>
      </c>
      <c r="S17" s="60">
        <v>2</v>
      </c>
      <c r="T17">
        <v>2</v>
      </c>
    </row>
    <row r="18" spans="1:21" x14ac:dyDescent="0.25">
      <c r="A18" s="228">
        <v>3</v>
      </c>
      <c r="B18" s="351" t="s">
        <v>1726</v>
      </c>
      <c r="C18" s="230" t="s">
        <v>1376</v>
      </c>
      <c r="D18" s="230" t="s">
        <v>160</v>
      </c>
      <c r="E18" s="230" t="s">
        <v>180</v>
      </c>
      <c r="F18" s="230" t="s">
        <v>54</v>
      </c>
      <c r="G18" s="231"/>
      <c r="H18" s="399" t="s">
        <v>465</v>
      </c>
      <c r="I18" s="232">
        <v>2000</v>
      </c>
      <c r="J18" s="229">
        <v>2000</v>
      </c>
      <c r="K18" s="224" t="s">
        <v>147</v>
      </c>
      <c r="L18" s="224" t="s">
        <v>41</v>
      </c>
      <c r="N18">
        <f t="shared" si="0"/>
        <v>400</v>
      </c>
      <c r="Q18" s="293" t="s">
        <v>1912</v>
      </c>
      <c r="R18" s="27">
        <v>540</v>
      </c>
      <c r="S18" s="60"/>
      <c r="T18">
        <v>1</v>
      </c>
    </row>
    <row r="19" spans="1:21" x14ac:dyDescent="0.25">
      <c r="A19" s="228">
        <v>3</v>
      </c>
      <c r="B19" s="351" t="s">
        <v>1727</v>
      </c>
      <c r="C19" s="230" t="s">
        <v>1728</v>
      </c>
      <c r="D19" s="230" t="s">
        <v>160</v>
      </c>
      <c r="E19" s="230" t="s">
        <v>954</v>
      </c>
      <c r="F19" s="230" t="s">
        <v>43</v>
      </c>
      <c r="G19" s="231" t="s">
        <v>1729</v>
      </c>
      <c r="H19" s="233" t="s">
        <v>40</v>
      </c>
      <c r="I19" s="232">
        <v>200</v>
      </c>
      <c r="J19" s="229">
        <v>40</v>
      </c>
      <c r="K19" s="224" t="s">
        <v>147</v>
      </c>
      <c r="L19" s="224" t="s">
        <v>41</v>
      </c>
      <c r="N19">
        <f t="shared" si="0"/>
        <v>40</v>
      </c>
      <c r="P19" s="30"/>
      <c r="Q19" s="293"/>
      <c r="R19" s="322">
        <v>4000</v>
      </c>
      <c r="S19" s="60"/>
      <c r="U19" t="s">
        <v>603</v>
      </c>
    </row>
    <row r="20" spans="1:21" s="62" customFormat="1" x14ac:dyDescent="0.25">
      <c r="A20" s="228">
        <v>3</v>
      </c>
      <c r="B20" s="351" t="s">
        <v>1730</v>
      </c>
      <c r="C20" s="230" t="s">
        <v>1731</v>
      </c>
      <c r="D20" s="230" t="s">
        <v>160</v>
      </c>
      <c r="E20" s="230" t="s">
        <v>180</v>
      </c>
      <c r="F20" s="230" t="s">
        <v>54</v>
      </c>
      <c r="G20" s="231"/>
      <c r="H20" s="233" t="s">
        <v>40</v>
      </c>
      <c r="I20" s="232">
        <v>500</v>
      </c>
      <c r="J20" s="229">
        <v>100</v>
      </c>
      <c r="K20" s="224" t="s">
        <v>147</v>
      </c>
      <c r="L20" s="224" t="s">
        <v>41</v>
      </c>
      <c r="N20" s="62">
        <f t="shared" si="0"/>
        <v>100</v>
      </c>
      <c r="Q20" s="272" t="s">
        <v>1956</v>
      </c>
      <c r="R20" s="98"/>
      <c r="S20" s="60"/>
    </row>
    <row r="21" spans="1:21" x14ac:dyDescent="0.25">
      <c r="A21" s="228">
        <v>3</v>
      </c>
      <c r="B21" s="351" t="s">
        <v>1730</v>
      </c>
      <c r="C21" s="230" t="s">
        <v>1731</v>
      </c>
      <c r="D21" s="230" t="s">
        <v>160</v>
      </c>
      <c r="E21" s="230" t="s">
        <v>180</v>
      </c>
      <c r="F21" s="230" t="s">
        <v>54</v>
      </c>
      <c r="G21" s="231"/>
      <c r="H21" s="399" t="s">
        <v>465</v>
      </c>
      <c r="I21" s="232">
        <v>200</v>
      </c>
      <c r="J21" s="229">
        <v>200</v>
      </c>
      <c r="K21" s="224" t="s">
        <v>147</v>
      </c>
      <c r="L21" s="224" t="s">
        <v>41</v>
      </c>
      <c r="N21">
        <f t="shared" si="0"/>
        <v>40</v>
      </c>
      <c r="Q21" s="293" t="s">
        <v>138</v>
      </c>
      <c r="R21" s="30">
        <f>SUM(I104,I106:I107,I118)</f>
        <v>6450</v>
      </c>
      <c r="S21" s="60">
        <v>1</v>
      </c>
      <c r="T21">
        <v>3</v>
      </c>
    </row>
    <row r="22" spans="1:21" x14ac:dyDescent="0.25">
      <c r="A22" s="228">
        <v>3</v>
      </c>
      <c r="B22" s="351" t="s">
        <v>1732</v>
      </c>
      <c r="C22" s="230" t="s">
        <v>1733</v>
      </c>
      <c r="D22" s="230" t="s">
        <v>160</v>
      </c>
      <c r="E22" s="230" t="s">
        <v>180</v>
      </c>
      <c r="F22" s="230" t="s">
        <v>49</v>
      </c>
      <c r="G22" s="231" t="s">
        <v>1734</v>
      </c>
      <c r="H22" s="399" t="s">
        <v>465</v>
      </c>
      <c r="I22" s="232">
        <v>300</v>
      </c>
      <c r="J22" s="229">
        <v>300</v>
      </c>
      <c r="K22" s="224" t="s">
        <v>147</v>
      </c>
      <c r="L22" s="224" t="s">
        <v>41</v>
      </c>
      <c r="N22">
        <f t="shared" si="0"/>
        <v>60</v>
      </c>
      <c r="Q22" s="394" t="s">
        <v>465</v>
      </c>
      <c r="R22" s="30">
        <f>SUM(I102:I103,I105,I108:I117,I119)</f>
        <v>10150</v>
      </c>
      <c r="S22" s="60">
        <v>14</v>
      </c>
    </row>
    <row r="23" spans="1:21" x14ac:dyDescent="0.25">
      <c r="A23" s="228">
        <v>3</v>
      </c>
      <c r="B23" s="351" t="s">
        <v>1735</v>
      </c>
      <c r="C23" s="230" t="s">
        <v>1736</v>
      </c>
      <c r="D23" s="230" t="s">
        <v>160</v>
      </c>
      <c r="E23" s="230" t="s">
        <v>196</v>
      </c>
      <c r="F23" s="230" t="s">
        <v>56</v>
      </c>
      <c r="G23" s="231"/>
      <c r="H23" s="233" t="s">
        <v>40</v>
      </c>
      <c r="I23" s="232">
        <v>1500</v>
      </c>
      <c r="J23" s="229">
        <v>300</v>
      </c>
      <c r="K23" s="224" t="s">
        <v>147</v>
      </c>
      <c r="L23" s="224" t="s">
        <v>41</v>
      </c>
      <c r="N23">
        <f t="shared" si="0"/>
        <v>300</v>
      </c>
    </row>
    <row r="24" spans="1:21" x14ac:dyDescent="0.25">
      <c r="A24" s="228">
        <v>3</v>
      </c>
      <c r="B24" s="351" t="s">
        <v>1737</v>
      </c>
      <c r="C24" s="230" t="s">
        <v>1738</v>
      </c>
      <c r="D24" s="230" t="s">
        <v>160</v>
      </c>
      <c r="E24" s="230" t="s">
        <v>164</v>
      </c>
      <c r="F24" s="230" t="s">
        <v>44</v>
      </c>
      <c r="G24" s="231" t="s">
        <v>1739</v>
      </c>
      <c r="H24" s="233" t="s">
        <v>40</v>
      </c>
      <c r="I24" s="232">
        <v>1000</v>
      </c>
      <c r="J24" s="229">
        <v>200</v>
      </c>
      <c r="K24" s="224" t="s">
        <v>147</v>
      </c>
      <c r="L24" s="224" t="s">
        <v>41</v>
      </c>
      <c r="N24">
        <f t="shared" si="0"/>
        <v>200</v>
      </c>
      <c r="Q24" s="30"/>
    </row>
    <row r="25" spans="1:21" x14ac:dyDescent="0.25">
      <c r="A25" s="228">
        <v>4</v>
      </c>
      <c r="B25" s="351" t="s">
        <v>1743</v>
      </c>
      <c r="C25" s="230" t="s">
        <v>1744</v>
      </c>
      <c r="D25" s="230" t="s">
        <v>160</v>
      </c>
      <c r="E25" s="230" t="s">
        <v>954</v>
      </c>
      <c r="F25" s="230" t="s">
        <v>43</v>
      </c>
      <c r="G25" s="231" t="s">
        <v>1745</v>
      </c>
      <c r="H25" s="233" t="s">
        <v>40</v>
      </c>
      <c r="I25" s="232">
        <v>500</v>
      </c>
      <c r="J25" s="229" t="s">
        <v>152</v>
      </c>
      <c r="K25" s="224" t="s">
        <v>147</v>
      </c>
      <c r="L25" s="224" t="s">
        <v>41</v>
      </c>
      <c r="N25">
        <f t="shared" si="0"/>
        <v>100</v>
      </c>
      <c r="Q25" s="30"/>
    </row>
    <row r="26" spans="1:21" x14ac:dyDescent="0.25">
      <c r="A26" s="228">
        <v>5</v>
      </c>
      <c r="B26" s="351" t="s">
        <v>1746</v>
      </c>
      <c r="C26" s="230" t="s">
        <v>1747</v>
      </c>
      <c r="D26" s="283" t="s">
        <v>163</v>
      </c>
      <c r="E26" s="230" t="s">
        <v>167</v>
      </c>
      <c r="F26" s="230" t="s">
        <v>43</v>
      </c>
      <c r="G26" s="231"/>
      <c r="H26" s="399" t="s">
        <v>465</v>
      </c>
      <c r="I26" s="232">
        <v>500</v>
      </c>
      <c r="J26" s="229">
        <v>500</v>
      </c>
      <c r="K26" s="224" t="s">
        <v>147</v>
      </c>
      <c r="L26" s="224" t="s">
        <v>41</v>
      </c>
      <c r="N26">
        <f t="shared" si="0"/>
        <v>100</v>
      </c>
      <c r="Q26" s="30"/>
      <c r="R26" s="30"/>
    </row>
    <row r="27" spans="1:21" x14ac:dyDescent="0.25">
      <c r="A27" s="228">
        <v>5</v>
      </c>
      <c r="B27" s="351" t="s">
        <v>1748</v>
      </c>
      <c r="C27" s="230" t="s">
        <v>1749</v>
      </c>
      <c r="D27" s="230" t="s">
        <v>160</v>
      </c>
      <c r="E27" s="230" t="s">
        <v>180</v>
      </c>
      <c r="F27" s="230" t="s">
        <v>76</v>
      </c>
      <c r="G27" s="231" t="s">
        <v>1750</v>
      </c>
      <c r="H27" s="233" t="s">
        <v>40</v>
      </c>
      <c r="I27" s="232">
        <v>2000</v>
      </c>
      <c r="J27" s="229">
        <v>400</v>
      </c>
      <c r="K27" s="224" t="s">
        <v>147</v>
      </c>
      <c r="L27" s="224" t="s">
        <v>41</v>
      </c>
      <c r="N27">
        <f t="shared" si="0"/>
        <v>400</v>
      </c>
      <c r="R27" s="69"/>
    </row>
    <row r="28" spans="1:21" x14ac:dyDescent="0.25">
      <c r="A28" s="228">
        <v>5</v>
      </c>
      <c r="B28" s="351" t="s">
        <v>1751</v>
      </c>
      <c r="C28" s="230" t="s">
        <v>1830</v>
      </c>
      <c r="D28" s="283" t="s">
        <v>163</v>
      </c>
      <c r="E28" s="230" t="s">
        <v>907</v>
      </c>
      <c r="F28" s="230" t="s">
        <v>47</v>
      </c>
      <c r="G28" s="231" t="s">
        <v>1752</v>
      </c>
      <c r="H28" s="233" t="s">
        <v>40</v>
      </c>
      <c r="I28" s="232">
        <v>1500</v>
      </c>
      <c r="J28" s="229">
        <v>300</v>
      </c>
      <c r="K28" s="224" t="s">
        <v>147</v>
      </c>
      <c r="L28" s="224" t="s">
        <v>41</v>
      </c>
      <c r="N28">
        <f t="shared" si="0"/>
        <v>300</v>
      </c>
      <c r="Q28" s="30"/>
      <c r="R28" s="30"/>
    </row>
    <row r="29" spans="1:21" x14ac:dyDescent="0.25">
      <c r="A29" s="228">
        <v>5</v>
      </c>
      <c r="B29" s="351" t="s">
        <v>1753</v>
      </c>
      <c r="C29" s="230" t="s">
        <v>1754</v>
      </c>
      <c r="D29" s="230" t="s">
        <v>160</v>
      </c>
      <c r="E29" s="230" t="s">
        <v>525</v>
      </c>
      <c r="F29" s="230" t="s">
        <v>76</v>
      </c>
      <c r="G29" s="231"/>
      <c r="H29" s="233" t="s">
        <v>40</v>
      </c>
      <c r="I29" s="232">
        <v>6000</v>
      </c>
      <c r="J29" s="229">
        <v>1200</v>
      </c>
      <c r="K29" s="224" t="s">
        <v>147</v>
      </c>
      <c r="L29" s="224" t="s">
        <v>41</v>
      </c>
      <c r="N29">
        <f t="shared" si="0"/>
        <v>1200</v>
      </c>
    </row>
    <row r="30" spans="1:21" x14ac:dyDescent="0.25">
      <c r="A30" s="228">
        <v>5</v>
      </c>
      <c r="B30" s="351" t="s">
        <v>1755</v>
      </c>
      <c r="C30" s="230" t="s">
        <v>1756</v>
      </c>
      <c r="D30" s="230" t="s">
        <v>160</v>
      </c>
      <c r="E30" s="230" t="s">
        <v>1757</v>
      </c>
      <c r="F30" s="230" t="s">
        <v>59</v>
      </c>
      <c r="G30" s="231"/>
      <c r="H30" s="398" t="s">
        <v>377</v>
      </c>
      <c r="I30" s="232">
        <v>3500</v>
      </c>
      <c r="J30" s="229">
        <v>700</v>
      </c>
      <c r="K30" s="224" t="s">
        <v>147</v>
      </c>
      <c r="L30" s="224" t="s">
        <v>41</v>
      </c>
      <c r="N30">
        <f t="shared" si="0"/>
        <v>700</v>
      </c>
    </row>
    <row r="31" spans="1:21" x14ac:dyDescent="0.25">
      <c r="A31" s="228">
        <v>10</v>
      </c>
      <c r="B31" s="351" t="s">
        <v>1597</v>
      </c>
      <c r="C31" s="230" t="s">
        <v>1758</v>
      </c>
      <c r="D31" s="230" t="s">
        <v>160</v>
      </c>
      <c r="E31" s="230" t="s">
        <v>867</v>
      </c>
      <c r="F31" s="230" t="s">
        <v>69</v>
      </c>
      <c r="G31" s="231" t="s">
        <v>1759</v>
      </c>
      <c r="H31" s="233" t="s">
        <v>40</v>
      </c>
      <c r="I31" s="232">
        <v>1000</v>
      </c>
      <c r="J31" s="229">
        <v>200</v>
      </c>
      <c r="K31" s="224" t="s">
        <v>147</v>
      </c>
      <c r="L31" s="224" t="s">
        <v>41</v>
      </c>
      <c r="N31">
        <f t="shared" si="0"/>
        <v>200</v>
      </c>
    </row>
    <row r="32" spans="1:21" x14ac:dyDescent="0.25">
      <c r="A32" s="228">
        <v>10</v>
      </c>
      <c r="B32" s="351" t="s">
        <v>1760</v>
      </c>
      <c r="C32" s="230" t="s">
        <v>1409</v>
      </c>
      <c r="D32" s="230" t="s">
        <v>160</v>
      </c>
      <c r="E32" s="230" t="s">
        <v>1761</v>
      </c>
      <c r="F32" s="230" t="s">
        <v>42</v>
      </c>
      <c r="G32" s="231" t="s">
        <v>1699</v>
      </c>
      <c r="H32" s="233" t="s">
        <v>40</v>
      </c>
      <c r="I32" s="232">
        <v>5000</v>
      </c>
      <c r="J32" s="229">
        <v>1000</v>
      </c>
      <c r="K32" s="224" t="s">
        <v>147</v>
      </c>
      <c r="L32" s="224" t="s">
        <v>41</v>
      </c>
      <c r="N32">
        <f t="shared" si="0"/>
        <v>1000</v>
      </c>
    </row>
    <row r="33" spans="1:18" x14ac:dyDescent="0.25">
      <c r="A33" s="228">
        <v>10</v>
      </c>
      <c r="B33" s="351" t="s">
        <v>1762</v>
      </c>
      <c r="C33" s="230" t="s">
        <v>1763</v>
      </c>
      <c r="D33" s="230" t="s">
        <v>160</v>
      </c>
      <c r="E33" s="230" t="s">
        <v>167</v>
      </c>
      <c r="F33" s="230" t="s">
        <v>43</v>
      </c>
      <c r="G33" s="231"/>
      <c r="H33" s="233" t="s">
        <v>40</v>
      </c>
      <c r="I33" s="232">
        <v>15000</v>
      </c>
      <c r="J33" s="229">
        <v>3000</v>
      </c>
      <c r="K33" s="224" t="s">
        <v>147</v>
      </c>
      <c r="L33" s="224" t="s">
        <v>41</v>
      </c>
      <c r="N33">
        <f t="shared" si="0"/>
        <v>3000</v>
      </c>
    </row>
    <row r="34" spans="1:18" x14ac:dyDescent="0.25">
      <c r="A34" s="228">
        <v>10</v>
      </c>
      <c r="B34" s="351" t="s">
        <v>1764</v>
      </c>
      <c r="C34" s="230" t="s">
        <v>1765</v>
      </c>
      <c r="D34" s="230" t="s">
        <v>160</v>
      </c>
      <c r="E34" s="230" t="s">
        <v>1766</v>
      </c>
      <c r="F34" s="230" t="s">
        <v>49</v>
      </c>
      <c r="G34" s="231" t="s">
        <v>1767</v>
      </c>
      <c r="H34" s="233" t="s">
        <v>40</v>
      </c>
      <c r="I34" s="232">
        <v>600</v>
      </c>
      <c r="J34" s="229">
        <v>120</v>
      </c>
      <c r="K34" s="224" t="s">
        <v>147</v>
      </c>
      <c r="L34" s="224" t="s">
        <v>41</v>
      </c>
      <c r="N34">
        <f t="shared" si="0"/>
        <v>120</v>
      </c>
    </row>
    <row r="35" spans="1:18" x14ac:dyDescent="0.25">
      <c r="A35" s="228">
        <v>10</v>
      </c>
      <c r="B35" s="351" t="s">
        <v>1768</v>
      </c>
      <c r="C35" s="230" t="s">
        <v>1769</v>
      </c>
      <c r="D35" s="230" t="s">
        <v>160</v>
      </c>
      <c r="E35" s="230" t="s">
        <v>1770</v>
      </c>
      <c r="F35" s="230" t="s">
        <v>42</v>
      </c>
      <c r="G35" s="231"/>
      <c r="H35" s="399" t="s">
        <v>465</v>
      </c>
      <c r="I35" s="232">
        <v>2300</v>
      </c>
      <c r="J35" s="229">
        <v>2300</v>
      </c>
      <c r="K35" s="224" t="s">
        <v>147</v>
      </c>
      <c r="L35" s="224" t="s">
        <v>41</v>
      </c>
      <c r="N35">
        <f t="shared" si="0"/>
        <v>460</v>
      </c>
    </row>
    <row r="36" spans="1:18" x14ac:dyDescent="0.25">
      <c r="A36" s="228">
        <v>10</v>
      </c>
      <c r="B36" s="351" t="s">
        <v>1771</v>
      </c>
      <c r="C36" s="230" t="s">
        <v>1772</v>
      </c>
      <c r="D36" s="283" t="s">
        <v>163</v>
      </c>
      <c r="E36" s="230" t="s">
        <v>407</v>
      </c>
      <c r="F36" s="230" t="s">
        <v>42</v>
      </c>
      <c r="G36" s="231"/>
      <c r="H36" s="233" t="s">
        <v>40</v>
      </c>
      <c r="I36" s="232">
        <v>3000</v>
      </c>
      <c r="J36" s="229">
        <v>600</v>
      </c>
      <c r="K36" s="224" t="s">
        <v>147</v>
      </c>
      <c r="L36" s="224" t="s">
        <v>41</v>
      </c>
      <c r="N36">
        <f t="shared" si="0"/>
        <v>600</v>
      </c>
    </row>
    <row r="37" spans="1:18" x14ac:dyDescent="0.25">
      <c r="A37" s="228">
        <v>10</v>
      </c>
      <c r="B37" s="351" t="s">
        <v>1773</v>
      </c>
      <c r="C37" s="230" t="s">
        <v>1774</v>
      </c>
      <c r="D37" s="230" t="s">
        <v>160</v>
      </c>
      <c r="E37" s="230" t="s">
        <v>1125</v>
      </c>
      <c r="F37" s="230" t="s">
        <v>54</v>
      </c>
      <c r="G37" s="231"/>
      <c r="H37" s="233" t="s">
        <v>40</v>
      </c>
      <c r="I37" s="232">
        <v>1500</v>
      </c>
      <c r="J37" s="229">
        <v>300</v>
      </c>
      <c r="K37" s="224" t="s">
        <v>147</v>
      </c>
      <c r="L37" s="224" t="s">
        <v>41</v>
      </c>
      <c r="N37">
        <f t="shared" si="0"/>
        <v>300</v>
      </c>
    </row>
    <row r="38" spans="1:18" x14ac:dyDescent="0.25">
      <c r="A38" s="228">
        <v>10</v>
      </c>
      <c r="B38" s="351" t="s">
        <v>1775</v>
      </c>
      <c r="C38" s="230" t="s">
        <v>1776</v>
      </c>
      <c r="D38" s="230" t="s">
        <v>160</v>
      </c>
      <c r="E38" s="230" t="s">
        <v>226</v>
      </c>
      <c r="F38" s="230" t="s">
        <v>43</v>
      </c>
      <c r="G38" s="231"/>
      <c r="H38" s="233" t="s">
        <v>40</v>
      </c>
      <c r="I38" s="236">
        <v>1500</v>
      </c>
      <c r="J38" s="271">
        <v>300</v>
      </c>
      <c r="K38" s="224" t="s">
        <v>147</v>
      </c>
      <c r="L38" s="224" t="s">
        <v>41</v>
      </c>
      <c r="N38">
        <f t="shared" si="0"/>
        <v>300</v>
      </c>
    </row>
    <row r="39" spans="1:18" x14ac:dyDescent="0.25">
      <c r="A39" s="228">
        <v>10</v>
      </c>
      <c r="B39" s="351" t="s">
        <v>1777</v>
      </c>
      <c r="C39" s="230" t="s">
        <v>1778</v>
      </c>
      <c r="D39" s="230" t="s">
        <v>160</v>
      </c>
      <c r="E39" s="230" t="s">
        <v>196</v>
      </c>
      <c r="F39" s="230" t="s">
        <v>42</v>
      </c>
      <c r="G39" s="231"/>
      <c r="H39" s="233" t="s">
        <v>40</v>
      </c>
      <c r="I39" s="236">
        <v>600</v>
      </c>
      <c r="J39" s="271">
        <v>120</v>
      </c>
      <c r="K39" s="224" t="s">
        <v>147</v>
      </c>
      <c r="L39" s="224" t="s">
        <v>41</v>
      </c>
      <c r="N39">
        <f t="shared" si="0"/>
        <v>120</v>
      </c>
    </row>
    <row r="40" spans="1:18" x14ac:dyDescent="0.25">
      <c r="A40" s="228">
        <v>10</v>
      </c>
      <c r="B40" s="351" t="s">
        <v>1779</v>
      </c>
      <c r="C40" s="230" t="s">
        <v>1780</v>
      </c>
      <c r="D40" s="230" t="s">
        <v>160</v>
      </c>
      <c r="E40" s="230" t="s">
        <v>1125</v>
      </c>
      <c r="F40" s="230" t="s">
        <v>54</v>
      </c>
      <c r="G40" s="231" t="s">
        <v>1781</v>
      </c>
      <c r="H40" s="233" t="s">
        <v>40</v>
      </c>
      <c r="I40" s="236">
        <v>1500</v>
      </c>
      <c r="J40" s="271">
        <v>300</v>
      </c>
      <c r="K40" s="224" t="s">
        <v>147</v>
      </c>
      <c r="L40" s="224" t="s">
        <v>41</v>
      </c>
      <c r="N40">
        <f t="shared" si="0"/>
        <v>300</v>
      </c>
    </row>
    <row r="41" spans="1:18" x14ac:dyDescent="0.25">
      <c r="A41" s="228">
        <v>10</v>
      </c>
      <c r="B41" s="351" t="s">
        <v>1553</v>
      </c>
      <c r="C41" s="230" t="s">
        <v>1782</v>
      </c>
      <c r="D41" s="230" t="s">
        <v>160</v>
      </c>
      <c r="E41" s="230" t="s">
        <v>64</v>
      </c>
      <c r="F41" s="230" t="s">
        <v>57</v>
      </c>
      <c r="G41" s="231" t="s">
        <v>1783</v>
      </c>
      <c r="H41" s="233" t="s">
        <v>40</v>
      </c>
      <c r="I41" s="236">
        <v>500</v>
      </c>
      <c r="J41" s="271">
        <v>100</v>
      </c>
      <c r="K41" s="224" t="s">
        <v>147</v>
      </c>
      <c r="L41" s="224" t="s">
        <v>41</v>
      </c>
      <c r="N41">
        <f t="shared" si="0"/>
        <v>100</v>
      </c>
    </row>
    <row r="42" spans="1:18" s="62" customFormat="1" x14ac:dyDescent="0.25">
      <c r="A42" s="228">
        <v>10</v>
      </c>
      <c r="B42" s="351" t="s">
        <v>1784</v>
      </c>
      <c r="C42" s="230" t="s">
        <v>1785</v>
      </c>
      <c r="D42" s="230" t="s">
        <v>160</v>
      </c>
      <c r="E42" s="230" t="s">
        <v>1786</v>
      </c>
      <c r="F42" s="230" t="s">
        <v>49</v>
      </c>
      <c r="G42" s="231" t="s">
        <v>1787</v>
      </c>
      <c r="H42" s="233" t="s">
        <v>40</v>
      </c>
      <c r="I42" s="236">
        <v>500</v>
      </c>
      <c r="J42" s="271">
        <v>100</v>
      </c>
      <c r="K42" s="224" t="s">
        <v>147</v>
      </c>
      <c r="L42" s="224" t="s">
        <v>41</v>
      </c>
      <c r="N42" s="62">
        <f t="shared" si="0"/>
        <v>100</v>
      </c>
    </row>
    <row r="43" spans="1:18" s="62" customFormat="1" x14ac:dyDescent="0.25">
      <c r="A43" s="228">
        <v>10</v>
      </c>
      <c r="B43" s="351" t="s">
        <v>1788</v>
      </c>
      <c r="C43" s="230" t="s">
        <v>1789</v>
      </c>
      <c r="D43" s="230" t="s">
        <v>160</v>
      </c>
      <c r="E43" s="230" t="s">
        <v>180</v>
      </c>
      <c r="F43" s="230" t="s">
        <v>60</v>
      </c>
      <c r="G43" s="231" t="s">
        <v>1790</v>
      </c>
      <c r="H43" s="230" t="s">
        <v>40</v>
      </c>
      <c r="I43" s="236">
        <v>750</v>
      </c>
      <c r="J43" s="271">
        <v>150</v>
      </c>
      <c r="K43" s="224" t="s">
        <v>147</v>
      </c>
      <c r="L43" s="224" t="s">
        <v>41</v>
      </c>
      <c r="N43" s="62">
        <f t="shared" si="0"/>
        <v>150</v>
      </c>
      <c r="R43" s="325"/>
    </row>
    <row r="44" spans="1:18" s="62" customFormat="1" x14ac:dyDescent="0.25">
      <c r="A44" s="228">
        <v>10</v>
      </c>
      <c r="B44" s="351" t="s">
        <v>1791</v>
      </c>
      <c r="C44" s="230" t="s">
        <v>1655</v>
      </c>
      <c r="D44" s="230" t="s">
        <v>160</v>
      </c>
      <c r="E44" s="230" t="s">
        <v>1792</v>
      </c>
      <c r="F44" s="230" t="s">
        <v>42</v>
      </c>
      <c r="G44" s="231"/>
      <c r="H44" s="233" t="s">
        <v>40</v>
      </c>
      <c r="I44" s="236">
        <v>4000</v>
      </c>
      <c r="J44" s="271">
        <v>800</v>
      </c>
      <c r="K44" s="224" t="s">
        <v>147</v>
      </c>
      <c r="L44" s="224" t="s">
        <v>41</v>
      </c>
      <c r="N44" s="62">
        <f t="shared" si="0"/>
        <v>800</v>
      </c>
    </row>
    <row r="45" spans="1:18" s="62" customFormat="1" x14ac:dyDescent="0.25">
      <c r="A45" s="228">
        <v>10</v>
      </c>
      <c r="B45" s="351" t="s">
        <v>1793</v>
      </c>
      <c r="C45" s="230" t="s">
        <v>1794</v>
      </c>
      <c r="D45" s="230" t="s">
        <v>160</v>
      </c>
      <c r="E45" s="230" t="s">
        <v>365</v>
      </c>
      <c r="F45" s="230" t="s">
        <v>44</v>
      </c>
      <c r="G45" s="231" t="s">
        <v>1795</v>
      </c>
      <c r="H45" s="233" t="s">
        <v>40</v>
      </c>
      <c r="I45" s="236">
        <v>5000</v>
      </c>
      <c r="J45" s="271">
        <v>1000</v>
      </c>
      <c r="K45" s="224" t="s">
        <v>147</v>
      </c>
      <c r="L45" s="224" t="s">
        <v>41</v>
      </c>
      <c r="N45" s="62">
        <f t="shared" si="0"/>
        <v>1000</v>
      </c>
    </row>
    <row r="46" spans="1:18" s="62" customFormat="1" x14ac:dyDescent="0.25">
      <c r="A46" s="228">
        <v>10</v>
      </c>
      <c r="B46" s="351" t="s">
        <v>1284</v>
      </c>
      <c r="C46" s="230" t="s">
        <v>1796</v>
      </c>
      <c r="D46" s="230" t="s">
        <v>160</v>
      </c>
      <c r="E46" s="230" t="s">
        <v>1125</v>
      </c>
      <c r="F46" s="230" t="s">
        <v>47</v>
      </c>
      <c r="G46" s="231"/>
      <c r="H46" s="230" t="s">
        <v>40</v>
      </c>
      <c r="I46" s="236">
        <v>2000</v>
      </c>
      <c r="J46" s="271">
        <v>400</v>
      </c>
      <c r="K46" s="224" t="s">
        <v>147</v>
      </c>
      <c r="L46" s="224" t="s">
        <v>41</v>
      </c>
      <c r="N46" s="62">
        <f t="shared" si="0"/>
        <v>400</v>
      </c>
    </row>
    <row r="47" spans="1:18" s="62" customFormat="1" x14ac:dyDescent="0.25">
      <c r="A47" s="228">
        <v>10</v>
      </c>
      <c r="B47" s="351" t="s">
        <v>1797</v>
      </c>
      <c r="C47" s="230" t="s">
        <v>1798</v>
      </c>
      <c r="D47" s="283" t="s">
        <v>163</v>
      </c>
      <c r="E47" s="230" t="s">
        <v>196</v>
      </c>
      <c r="F47" s="230" t="s">
        <v>56</v>
      </c>
      <c r="G47" s="231" t="s">
        <v>1799</v>
      </c>
      <c r="H47" s="233" t="s">
        <v>40</v>
      </c>
      <c r="I47" s="236">
        <v>3200</v>
      </c>
      <c r="J47" s="271">
        <v>640</v>
      </c>
      <c r="K47" s="224" t="s">
        <v>147</v>
      </c>
      <c r="L47" s="224" t="s">
        <v>41</v>
      </c>
      <c r="N47" s="62">
        <f t="shared" si="0"/>
        <v>640</v>
      </c>
    </row>
    <row r="48" spans="1:18" s="62" customFormat="1" x14ac:dyDescent="0.25">
      <c r="A48" s="228">
        <v>10</v>
      </c>
      <c r="B48" s="351" t="s">
        <v>1800</v>
      </c>
      <c r="C48" s="230" t="s">
        <v>1514</v>
      </c>
      <c r="D48" s="230" t="s">
        <v>160</v>
      </c>
      <c r="E48" s="230" t="s">
        <v>259</v>
      </c>
      <c r="F48" s="230" t="s">
        <v>49</v>
      </c>
      <c r="G48" s="231" t="s">
        <v>1801</v>
      </c>
      <c r="H48" s="230" t="s">
        <v>40</v>
      </c>
      <c r="I48" s="236">
        <v>1000</v>
      </c>
      <c r="J48" s="271">
        <v>200</v>
      </c>
      <c r="K48" s="224" t="s">
        <v>147</v>
      </c>
      <c r="L48" s="224" t="s">
        <v>41</v>
      </c>
      <c r="N48" s="62">
        <f t="shared" si="0"/>
        <v>200</v>
      </c>
    </row>
    <row r="49" spans="1:18" s="62" customFormat="1" x14ac:dyDescent="0.25">
      <c r="A49" s="228">
        <v>10</v>
      </c>
      <c r="B49" s="351" t="s">
        <v>1802</v>
      </c>
      <c r="C49" s="230" t="s">
        <v>1803</v>
      </c>
      <c r="D49" s="283" t="s">
        <v>163</v>
      </c>
      <c r="E49" s="230"/>
      <c r="F49" s="230" t="s">
        <v>71</v>
      </c>
      <c r="G49" s="231" t="s">
        <v>1804</v>
      </c>
      <c r="H49" s="233" t="s">
        <v>40</v>
      </c>
      <c r="I49" s="236">
        <v>150</v>
      </c>
      <c r="J49" s="271">
        <v>45</v>
      </c>
      <c r="K49" s="224" t="s">
        <v>147</v>
      </c>
      <c r="L49" s="224" t="s">
        <v>41</v>
      </c>
      <c r="N49" s="62">
        <f t="shared" si="0"/>
        <v>30</v>
      </c>
    </row>
    <row r="50" spans="1:18" s="62" customFormat="1" x14ac:dyDescent="0.25">
      <c r="A50" s="228">
        <v>10</v>
      </c>
      <c r="B50" s="351" t="s">
        <v>1805</v>
      </c>
      <c r="C50" s="230" t="s">
        <v>1806</v>
      </c>
      <c r="D50" s="230" t="s">
        <v>160</v>
      </c>
      <c r="E50" s="230" t="s">
        <v>60</v>
      </c>
      <c r="F50" s="230" t="s">
        <v>54</v>
      </c>
      <c r="G50" s="231" t="s">
        <v>1807</v>
      </c>
      <c r="H50" s="233" t="s">
        <v>40</v>
      </c>
      <c r="I50" s="236">
        <v>9500</v>
      </c>
      <c r="J50" s="271">
        <v>1900</v>
      </c>
      <c r="K50" s="224" t="s">
        <v>147</v>
      </c>
      <c r="L50" s="224" t="s">
        <v>41</v>
      </c>
      <c r="N50" s="62">
        <f t="shared" si="0"/>
        <v>1900</v>
      </c>
      <c r="R50" s="98"/>
    </row>
    <row r="51" spans="1:18" s="62" customFormat="1" x14ac:dyDescent="0.25">
      <c r="A51" s="228">
        <v>10</v>
      </c>
      <c r="B51" s="351" t="s">
        <v>1808</v>
      </c>
      <c r="C51" s="230" t="s">
        <v>1809</v>
      </c>
      <c r="D51" s="230" t="s">
        <v>160</v>
      </c>
      <c r="E51" s="230" t="s">
        <v>1810</v>
      </c>
      <c r="F51" s="230" t="s">
        <v>54</v>
      </c>
      <c r="G51" s="231"/>
      <c r="H51" s="230" t="s">
        <v>40</v>
      </c>
      <c r="I51" s="236">
        <v>5000</v>
      </c>
      <c r="J51" s="271">
        <v>1000</v>
      </c>
      <c r="K51" s="224" t="s">
        <v>147</v>
      </c>
      <c r="L51" s="224" t="s">
        <v>41</v>
      </c>
      <c r="N51" s="62">
        <f t="shared" si="0"/>
        <v>1000</v>
      </c>
    </row>
    <row r="52" spans="1:18" s="62" customFormat="1" x14ac:dyDescent="0.25">
      <c r="A52" s="228">
        <v>10</v>
      </c>
      <c r="B52" s="351" t="s">
        <v>1811</v>
      </c>
      <c r="C52" s="230" t="s">
        <v>1754</v>
      </c>
      <c r="D52" s="230" t="s">
        <v>160</v>
      </c>
      <c r="E52" s="230" t="s">
        <v>1812</v>
      </c>
      <c r="F52" s="230" t="s">
        <v>47</v>
      </c>
      <c r="G52" s="231"/>
      <c r="H52" s="233" t="s">
        <v>40</v>
      </c>
      <c r="I52" s="236">
        <v>500</v>
      </c>
      <c r="J52" s="271">
        <v>100</v>
      </c>
      <c r="K52" s="224" t="s">
        <v>147</v>
      </c>
      <c r="L52" s="224" t="s">
        <v>41</v>
      </c>
      <c r="N52" s="62">
        <f t="shared" si="0"/>
        <v>100</v>
      </c>
    </row>
    <row r="53" spans="1:18" s="62" customFormat="1" x14ac:dyDescent="0.25">
      <c r="A53" s="228">
        <v>10</v>
      </c>
      <c r="B53" s="351" t="s">
        <v>1813</v>
      </c>
      <c r="C53" s="230" t="s">
        <v>1814</v>
      </c>
      <c r="D53" s="230" t="s">
        <v>160</v>
      </c>
      <c r="E53" s="230" t="s">
        <v>1810</v>
      </c>
      <c r="F53" s="230" t="s">
        <v>54</v>
      </c>
      <c r="G53" s="231" t="s">
        <v>1815</v>
      </c>
      <c r="H53" s="233" t="s">
        <v>40</v>
      </c>
      <c r="I53" s="236">
        <v>6600</v>
      </c>
      <c r="J53" s="271">
        <v>1320</v>
      </c>
      <c r="K53" s="224" t="s">
        <v>147</v>
      </c>
      <c r="L53" s="224" t="s">
        <v>41</v>
      </c>
      <c r="N53" s="62">
        <f t="shared" si="0"/>
        <v>1320</v>
      </c>
    </row>
    <row r="54" spans="1:18" s="62" customFormat="1" x14ac:dyDescent="0.25">
      <c r="A54" s="228">
        <v>10</v>
      </c>
      <c r="B54" s="351" t="s">
        <v>1816</v>
      </c>
      <c r="C54" s="230" t="s">
        <v>1817</v>
      </c>
      <c r="D54" s="283" t="s">
        <v>163</v>
      </c>
      <c r="E54" s="230" t="s">
        <v>1125</v>
      </c>
      <c r="F54" s="230" t="s">
        <v>54</v>
      </c>
      <c r="G54" s="231"/>
      <c r="H54" s="233" t="s">
        <v>40</v>
      </c>
      <c r="I54" s="236">
        <v>3000</v>
      </c>
      <c r="J54" s="271">
        <v>600</v>
      </c>
      <c r="K54" s="224" t="s">
        <v>147</v>
      </c>
      <c r="L54" s="224" t="s">
        <v>41</v>
      </c>
      <c r="N54" s="62">
        <f t="shared" si="0"/>
        <v>600</v>
      </c>
    </row>
    <row r="55" spans="1:18" s="62" customFormat="1" x14ac:dyDescent="0.25">
      <c r="A55" s="228">
        <v>10</v>
      </c>
      <c r="B55" s="351" t="s">
        <v>1654</v>
      </c>
      <c r="C55" s="230" t="s">
        <v>1818</v>
      </c>
      <c r="D55" s="230" t="s">
        <v>160</v>
      </c>
      <c r="E55" s="230" t="s">
        <v>1792</v>
      </c>
      <c r="F55" s="230" t="s">
        <v>42</v>
      </c>
      <c r="G55" s="231"/>
      <c r="H55" s="233" t="s">
        <v>40</v>
      </c>
      <c r="I55" s="236">
        <v>10000</v>
      </c>
      <c r="J55" s="271">
        <v>2000</v>
      </c>
      <c r="K55" s="224" t="s">
        <v>147</v>
      </c>
      <c r="L55" s="224" t="s">
        <v>41</v>
      </c>
      <c r="N55" s="62">
        <f t="shared" si="0"/>
        <v>2000</v>
      </c>
    </row>
    <row r="56" spans="1:18" s="62" customFormat="1" x14ac:dyDescent="0.25">
      <c r="A56" s="228">
        <v>10</v>
      </c>
      <c r="B56" s="351" t="s">
        <v>1819</v>
      </c>
      <c r="C56" s="230" t="s">
        <v>1820</v>
      </c>
      <c r="D56" s="230" t="s">
        <v>160</v>
      </c>
      <c r="E56" s="230" t="s">
        <v>64</v>
      </c>
      <c r="F56" s="230" t="s">
        <v>57</v>
      </c>
      <c r="G56" s="231"/>
      <c r="H56" s="233" t="s">
        <v>40</v>
      </c>
      <c r="I56" s="236">
        <v>15000</v>
      </c>
      <c r="J56" s="271">
        <v>3000</v>
      </c>
      <c r="K56" s="224" t="s">
        <v>147</v>
      </c>
      <c r="L56" s="224" t="s">
        <v>41</v>
      </c>
      <c r="N56" s="62">
        <f t="shared" si="0"/>
        <v>3000</v>
      </c>
    </row>
    <row r="57" spans="1:18" s="62" customFormat="1" x14ac:dyDescent="0.25">
      <c r="A57" s="228">
        <v>10</v>
      </c>
      <c r="B57" s="351" t="s">
        <v>1821</v>
      </c>
      <c r="C57" s="230" t="s">
        <v>1525</v>
      </c>
      <c r="D57" s="230" t="s">
        <v>160</v>
      </c>
      <c r="E57" s="230" t="s">
        <v>523</v>
      </c>
      <c r="F57" s="230" t="s">
        <v>42</v>
      </c>
      <c r="G57" s="231"/>
      <c r="H57" s="233" t="s">
        <v>40</v>
      </c>
      <c r="I57" s="236">
        <v>3000</v>
      </c>
      <c r="J57" s="271">
        <v>600</v>
      </c>
      <c r="K57" s="224" t="s">
        <v>147</v>
      </c>
      <c r="L57" s="224" t="s">
        <v>41</v>
      </c>
      <c r="N57" s="62">
        <f t="shared" si="0"/>
        <v>600</v>
      </c>
    </row>
    <row r="58" spans="1:18" s="62" customFormat="1" x14ac:dyDescent="0.25">
      <c r="A58" s="228">
        <v>10</v>
      </c>
      <c r="B58" s="351" t="s">
        <v>1666</v>
      </c>
      <c r="C58" s="230" t="s">
        <v>1822</v>
      </c>
      <c r="D58" s="230" t="s">
        <v>160</v>
      </c>
      <c r="E58" s="230" t="s">
        <v>1823</v>
      </c>
      <c r="F58" s="230" t="s">
        <v>54</v>
      </c>
      <c r="G58" s="231" t="s">
        <v>1824</v>
      </c>
      <c r="H58" s="233" t="s">
        <v>40</v>
      </c>
      <c r="I58" s="236">
        <v>100</v>
      </c>
      <c r="J58" s="271">
        <v>20</v>
      </c>
      <c r="K58" s="224" t="s">
        <v>147</v>
      </c>
      <c r="L58" s="224" t="s">
        <v>41</v>
      </c>
      <c r="N58" s="62">
        <f t="shared" si="0"/>
        <v>20</v>
      </c>
    </row>
    <row r="59" spans="1:18" s="62" customFormat="1" x14ac:dyDescent="0.25">
      <c r="A59" s="228">
        <v>10</v>
      </c>
      <c r="B59" s="351" t="s">
        <v>1825</v>
      </c>
      <c r="C59" s="230" t="s">
        <v>1826</v>
      </c>
      <c r="D59" s="230" t="s">
        <v>160</v>
      </c>
      <c r="E59" s="230" t="s">
        <v>211</v>
      </c>
      <c r="F59" s="230" t="s">
        <v>47</v>
      </c>
      <c r="G59" s="231" t="s">
        <v>1827</v>
      </c>
      <c r="H59" s="233" t="s">
        <v>40</v>
      </c>
      <c r="I59" s="236">
        <v>500</v>
      </c>
      <c r="J59" s="271">
        <v>100</v>
      </c>
      <c r="K59" s="224" t="s">
        <v>147</v>
      </c>
      <c r="L59" s="224" t="s">
        <v>41</v>
      </c>
      <c r="N59" s="62">
        <f t="shared" si="0"/>
        <v>100</v>
      </c>
    </row>
    <row r="60" spans="1:18" s="62" customFormat="1" x14ac:dyDescent="0.25">
      <c r="A60" s="228">
        <v>10</v>
      </c>
      <c r="B60" s="351" t="s">
        <v>1828</v>
      </c>
      <c r="C60" s="230" t="s">
        <v>1829</v>
      </c>
      <c r="D60" s="283" t="s">
        <v>163</v>
      </c>
      <c r="E60" s="230" t="s">
        <v>299</v>
      </c>
      <c r="F60" s="230" t="s">
        <v>42</v>
      </c>
      <c r="G60" s="231"/>
      <c r="H60" s="233" t="s">
        <v>40</v>
      </c>
      <c r="I60" s="236">
        <v>1000</v>
      </c>
      <c r="J60" s="271">
        <v>200</v>
      </c>
      <c r="K60" s="224" t="s">
        <v>147</v>
      </c>
      <c r="L60" s="224" t="s">
        <v>41</v>
      </c>
      <c r="N60" s="62">
        <f t="shared" si="0"/>
        <v>200</v>
      </c>
    </row>
    <row r="61" spans="1:18" s="62" customFormat="1" x14ac:dyDescent="0.25">
      <c r="A61" s="228">
        <v>10</v>
      </c>
      <c r="B61" s="351" t="s">
        <v>1751</v>
      </c>
      <c r="C61" s="230" t="s">
        <v>1830</v>
      </c>
      <c r="D61" s="283" t="s">
        <v>163</v>
      </c>
      <c r="E61" s="230" t="s">
        <v>907</v>
      </c>
      <c r="F61" s="230" t="s">
        <v>47</v>
      </c>
      <c r="G61" s="231" t="s">
        <v>1752</v>
      </c>
      <c r="H61" s="233" t="s">
        <v>40</v>
      </c>
      <c r="I61" s="236">
        <v>2000</v>
      </c>
      <c r="J61" s="271">
        <v>400</v>
      </c>
      <c r="K61" s="224" t="s">
        <v>147</v>
      </c>
      <c r="L61" s="224" t="s">
        <v>41</v>
      </c>
      <c r="N61" s="62">
        <f t="shared" si="0"/>
        <v>400</v>
      </c>
    </row>
    <row r="62" spans="1:18" x14ac:dyDescent="0.25">
      <c r="A62" s="228">
        <v>13</v>
      </c>
      <c r="B62" s="351" t="s">
        <v>1831</v>
      </c>
      <c r="C62" s="230" t="s">
        <v>1832</v>
      </c>
      <c r="D62" s="230" t="s">
        <v>160</v>
      </c>
      <c r="E62" s="230" t="s">
        <v>1180</v>
      </c>
      <c r="F62" s="230" t="s">
        <v>42</v>
      </c>
      <c r="G62" s="231" t="s">
        <v>1833</v>
      </c>
      <c r="H62" s="233" t="s">
        <v>40</v>
      </c>
      <c r="I62" s="236">
        <v>10000</v>
      </c>
      <c r="J62" s="271">
        <v>2000</v>
      </c>
      <c r="K62" s="224" t="s">
        <v>147</v>
      </c>
      <c r="L62" s="224" t="s">
        <v>41</v>
      </c>
      <c r="N62">
        <f t="shared" si="0"/>
        <v>2000</v>
      </c>
    </row>
    <row r="63" spans="1:18" x14ac:dyDescent="0.25">
      <c r="A63" s="228">
        <v>13</v>
      </c>
      <c r="B63" s="351" t="s">
        <v>1834</v>
      </c>
      <c r="C63" s="233" t="s">
        <v>1835</v>
      </c>
      <c r="D63" s="230" t="s">
        <v>160</v>
      </c>
      <c r="E63" s="230" t="s">
        <v>523</v>
      </c>
      <c r="F63" s="230" t="s">
        <v>42</v>
      </c>
      <c r="G63" s="231"/>
      <c r="H63" s="230" t="s">
        <v>40</v>
      </c>
      <c r="I63" s="236">
        <v>2000</v>
      </c>
      <c r="J63" s="271">
        <v>400</v>
      </c>
      <c r="K63" s="224" t="s">
        <v>147</v>
      </c>
      <c r="L63" s="224" t="s">
        <v>41</v>
      </c>
      <c r="N63">
        <f t="shared" si="0"/>
        <v>400</v>
      </c>
    </row>
    <row r="64" spans="1:18" x14ac:dyDescent="0.25">
      <c r="A64" s="246">
        <v>13</v>
      </c>
      <c r="B64" s="352" t="s">
        <v>1520</v>
      </c>
      <c r="C64" s="233" t="s">
        <v>1836</v>
      </c>
      <c r="D64" s="230" t="s">
        <v>160</v>
      </c>
      <c r="E64" s="230" t="s">
        <v>226</v>
      </c>
      <c r="F64" s="230" t="s">
        <v>43</v>
      </c>
      <c r="G64" s="231"/>
      <c r="H64" s="233" t="s">
        <v>40</v>
      </c>
      <c r="I64" s="236">
        <v>1000</v>
      </c>
      <c r="J64" s="271">
        <v>200</v>
      </c>
      <c r="K64" s="224" t="s">
        <v>147</v>
      </c>
      <c r="L64" s="224" t="s">
        <v>41</v>
      </c>
      <c r="N64">
        <f t="shared" si="0"/>
        <v>200</v>
      </c>
    </row>
    <row r="65" spans="1:14" x14ac:dyDescent="0.25">
      <c r="A65" s="246">
        <v>13</v>
      </c>
      <c r="B65" s="352" t="s">
        <v>1837</v>
      </c>
      <c r="C65" s="233" t="s">
        <v>1838</v>
      </c>
      <c r="D65" s="230" t="s">
        <v>160</v>
      </c>
      <c r="E65" s="230" t="s">
        <v>1839</v>
      </c>
      <c r="F65" s="230" t="s">
        <v>83</v>
      </c>
      <c r="G65" s="231"/>
      <c r="H65" s="233" t="s">
        <v>40</v>
      </c>
      <c r="I65" s="236">
        <v>1500</v>
      </c>
      <c r="J65" s="271">
        <v>300</v>
      </c>
      <c r="K65" s="230" t="s">
        <v>147</v>
      </c>
      <c r="L65" s="230" t="s">
        <v>41</v>
      </c>
      <c r="N65">
        <f t="shared" si="0"/>
        <v>300</v>
      </c>
    </row>
    <row r="66" spans="1:14" x14ac:dyDescent="0.25">
      <c r="A66" s="246">
        <v>13</v>
      </c>
      <c r="B66" s="352" t="s">
        <v>1840</v>
      </c>
      <c r="C66" s="233" t="s">
        <v>1841</v>
      </c>
      <c r="D66" s="230" t="s">
        <v>160</v>
      </c>
      <c r="E66" s="230" t="s">
        <v>1531</v>
      </c>
      <c r="F66" s="230" t="s">
        <v>49</v>
      </c>
      <c r="G66" s="231" t="s">
        <v>1842</v>
      </c>
      <c r="H66" s="233" t="s">
        <v>40</v>
      </c>
      <c r="I66" s="236">
        <v>500</v>
      </c>
      <c r="J66" s="271">
        <v>150</v>
      </c>
      <c r="K66" s="224" t="s">
        <v>147</v>
      </c>
      <c r="L66" s="224" t="s">
        <v>41</v>
      </c>
      <c r="N66">
        <f t="shared" si="0"/>
        <v>100</v>
      </c>
    </row>
    <row r="67" spans="1:14" x14ac:dyDescent="0.25">
      <c r="A67" s="246">
        <v>13</v>
      </c>
      <c r="B67" s="352" t="s">
        <v>1843</v>
      </c>
      <c r="C67" s="233" t="s">
        <v>1844</v>
      </c>
      <c r="D67" s="230" t="s">
        <v>160</v>
      </c>
      <c r="E67" s="230" t="s">
        <v>1792</v>
      </c>
      <c r="F67" s="230" t="s">
        <v>42</v>
      </c>
      <c r="G67" s="231"/>
      <c r="H67" s="233" t="s">
        <v>40</v>
      </c>
      <c r="I67" s="236">
        <v>500</v>
      </c>
      <c r="J67" s="271">
        <v>150</v>
      </c>
      <c r="K67" s="224" t="s">
        <v>147</v>
      </c>
      <c r="L67" s="224" t="s">
        <v>41</v>
      </c>
      <c r="N67">
        <f t="shared" si="0"/>
        <v>100</v>
      </c>
    </row>
    <row r="68" spans="1:14" x14ac:dyDescent="0.25">
      <c r="A68" s="246">
        <v>13</v>
      </c>
      <c r="B68" s="352" t="s">
        <v>1845</v>
      </c>
      <c r="C68" s="233" t="s">
        <v>1846</v>
      </c>
      <c r="D68" s="230" t="s">
        <v>160</v>
      </c>
      <c r="E68" s="230" t="s">
        <v>226</v>
      </c>
      <c r="F68" s="230" t="s">
        <v>43</v>
      </c>
      <c r="G68" s="231"/>
      <c r="H68" s="233" t="s">
        <v>40</v>
      </c>
      <c r="I68" s="236">
        <v>1000</v>
      </c>
      <c r="J68" s="271">
        <v>300</v>
      </c>
      <c r="K68" s="224" t="s">
        <v>147</v>
      </c>
      <c r="L68" s="224" t="s">
        <v>41</v>
      </c>
      <c r="N68">
        <f t="shared" si="0"/>
        <v>200</v>
      </c>
    </row>
    <row r="69" spans="1:14" x14ac:dyDescent="0.25">
      <c r="A69" s="246">
        <v>13</v>
      </c>
      <c r="B69" s="352" t="s">
        <v>1847</v>
      </c>
      <c r="C69" s="233" t="s">
        <v>1353</v>
      </c>
      <c r="D69" s="230" t="s">
        <v>160</v>
      </c>
      <c r="E69" s="230" t="s">
        <v>1089</v>
      </c>
      <c r="F69" s="230" t="s">
        <v>61</v>
      </c>
      <c r="G69" s="231" t="s">
        <v>1848</v>
      </c>
      <c r="H69" s="233" t="s">
        <v>40</v>
      </c>
      <c r="I69" s="236">
        <v>500</v>
      </c>
      <c r="J69" s="271" t="s">
        <v>152</v>
      </c>
      <c r="K69" s="224" t="s">
        <v>147</v>
      </c>
      <c r="L69" s="224" t="s">
        <v>41</v>
      </c>
      <c r="N69">
        <f t="shared" si="0"/>
        <v>100</v>
      </c>
    </row>
    <row r="70" spans="1:14" x14ac:dyDescent="0.25">
      <c r="A70" s="246">
        <v>13</v>
      </c>
      <c r="B70" s="352" t="s">
        <v>1847</v>
      </c>
      <c r="C70" s="233" t="s">
        <v>1849</v>
      </c>
      <c r="D70" s="230" t="s">
        <v>160</v>
      </c>
      <c r="E70" s="230" t="s">
        <v>1089</v>
      </c>
      <c r="F70" s="230" t="s">
        <v>61</v>
      </c>
      <c r="G70" s="231"/>
      <c r="H70" s="233" t="s">
        <v>40</v>
      </c>
      <c r="I70" s="236">
        <v>500</v>
      </c>
      <c r="J70" s="271" t="s">
        <v>152</v>
      </c>
      <c r="K70" s="224" t="s">
        <v>147</v>
      </c>
      <c r="L70" s="224" t="s">
        <v>41</v>
      </c>
      <c r="N70">
        <f t="shared" si="0"/>
        <v>100</v>
      </c>
    </row>
    <row r="71" spans="1:14" x14ac:dyDescent="0.25">
      <c r="A71" s="273">
        <v>13</v>
      </c>
      <c r="B71" s="352" t="s">
        <v>1850</v>
      </c>
      <c r="C71" s="233" t="s">
        <v>1851</v>
      </c>
      <c r="D71" s="283" t="s">
        <v>163</v>
      </c>
      <c r="E71" s="230" t="s">
        <v>214</v>
      </c>
      <c r="F71" s="230" t="s">
        <v>54</v>
      </c>
      <c r="G71" s="231" t="s">
        <v>1852</v>
      </c>
      <c r="H71" s="230" t="s">
        <v>40</v>
      </c>
      <c r="I71" s="236">
        <v>2000</v>
      </c>
      <c r="J71" s="271">
        <v>600</v>
      </c>
      <c r="K71" s="224" t="s">
        <v>147</v>
      </c>
      <c r="L71" s="224" t="s">
        <v>41</v>
      </c>
      <c r="N71">
        <f t="shared" si="0"/>
        <v>400</v>
      </c>
    </row>
    <row r="72" spans="1:14" x14ac:dyDescent="0.25">
      <c r="A72" s="246">
        <v>18</v>
      </c>
      <c r="B72" s="352" t="s">
        <v>1860</v>
      </c>
      <c r="C72" s="233" t="s">
        <v>1861</v>
      </c>
      <c r="D72" s="283" t="s">
        <v>163</v>
      </c>
      <c r="E72" s="230" t="s">
        <v>365</v>
      </c>
      <c r="F72" s="230" t="s">
        <v>44</v>
      </c>
      <c r="G72" s="231"/>
      <c r="H72" s="410" t="s">
        <v>1862</v>
      </c>
      <c r="I72" s="236">
        <v>540</v>
      </c>
      <c r="J72" s="271" t="s">
        <v>152</v>
      </c>
      <c r="K72" s="224" t="s">
        <v>147</v>
      </c>
      <c r="L72" s="224" t="s">
        <v>41</v>
      </c>
      <c r="N72">
        <f t="shared" si="0"/>
        <v>108</v>
      </c>
    </row>
    <row r="73" spans="1:14" x14ac:dyDescent="0.25">
      <c r="A73" s="246">
        <v>18</v>
      </c>
      <c r="B73" s="352" t="s">
        <v>1863</v>
      </c>
      <c r="C73" s="233" t="s">
        <v>1864</v>
      </c>
      <c r="D73" s="230" t="s">
        <v>160</v>
      </c>
      <c r="E73" s="230" t="s">
        <v>1865</v>
      </c>
      <c r="F73" s="230" t="s">
        <v>48</v>
      </c>
      <c r="G73" s="231"/>
      <c r="H73" s="393" t="s">
        <v>1656</v>
      </c>
      <c r="I73" s="236">
        <v>15</v>
      </c>
      <c r="J73" s="271">
        <v>75</v>
      </c>
      <c r="K73" s="224" t="s">
        <v>147</v>
      </c>
      <c r="L73" s="224" t="s">
        <v>41</v>
      </c>
      <c r="N73">
        <f t="shared" si="0"/>
        <v>3</v>
      </c>
    </row>
    <row r="74" spans="1:14" x14ac:dyDescent="0.25">
      <c r="A74" s="246">
        <v>18</v>
      </c>
      <c r="B74" s="352" t="s">
        <v>1866</v>
      </c>
      <c r="C74" s="233" t="s">
        <v>1606</v>
      </c>
      <c r="D74" s="230" t="s">
        <v>160</v>
      </c>
      <c r="E74" s="230" t="s">
        <v>703</v>
      </c>
      <c r="F74" s="230" t="s">
        <v>42</v>
      </c>
      <c r="G74" s="231" t="s">
        <v>1867</v>
      </c>
      <c r="H74" s="398" t="s">
        <v>377</v>
      </c>
      <c r="I74" s="236">
        <v>500</v>
      </c>
      <c r="J74" s="271">
        <v>150</v>
      </c>
      <c r="K74" s="224" t="s">
        <v>147</v>
      </c>
      <c r="L74" s="224" t="s">
        <v>41</v>
      </c>
      <c r="N74">
        <f t="shared" si="0"/>
        <v>100</v>
      </c>
    </row>
    <row r="75" spans="1:14" x14ac:dyDescent="0.25">
      <c r="A75" s="246">
        <v>18</v>
      </c>
      <c r="B75" s="352" t="s">
        <v>1868</v>
      </c>
      <c r="C75" s="233" t="s">
        <v>1778</v>
      </c>
      <c r="D75" s="230" t="s">
        <v>160</v>
      </c>
      <c r="E75" s="230" t="s">
        <v>1869</v>
      </c>
      <c r="F75" s="230" t="s">
        <v>42</v>
      </c>
      <c r="G75" s="231" t="s">
        <v>1870</v>
      </c>
      <c r="H75" s="398" t="s">
        <v>377</v>
      </c>
      <c r="I75" s="236">
        <v>600</v>
      </c>
      <c r="J75" s="271">
        <v>120</v>
      </c>
      <c r="K75" s="224" t="s">
        <v>147</v>
      </c>
      <c r="L75" s="224" t="s">
        <v>41</v>
      </c>
      <c r="N75">
        <f t="shared" si="0"/>
        <v>120</v>
      </c>
    </row>
    <row r="76" spans="1:14" x14ac:dyDescent="0.25">
      <c r="A76" s="246">
        <v>18</v>
      </c>
      <c r="B76" s="352" t="s">
        <v>1871</v>
      </c>
      <c r="C76" s="233" t="s">
        <v>1872</v>
      </c>
      <c r="D76" s="230" t="s">
        <v>160</v>
      </c>
      <c r="E76" s="230" t="s">
        <v>529</v>
      </c>
      <c r="F76" s="230" t="s">
        <v>57</v>
      </c>
      <c r="G76" s="231"/>
      <c r="H76" s="230" t="s">
        <v>40</v>
      </c>
      <c r="I76" s="236">
        <v>6700</v>
      </c>
      <c r="J76" s="271" t="s">
        <v>152</v>
      </c>
      <c r="K76" s="224" t="s">
        <v>147</v>
      </c>
      <c r="L76" s="224" t="s">
        <v>41</v>
      </c>
      <c r="N76">
        <f t="shared" si="0"/>
        <v>1340</v>
      </c>
    </row>
    <row r="77" spans="1:14" x14ac:dyDescent="0.25">
      <c r="A77" s="246">
        <v>18</v>
      </c>
      <c r="B77" s="352" t="s">
        <v>1871</v>
      </c>
      <c r="C77" s="233" t="s">
        <v>1872</v>
      </c>
      <c r="D77" s="230" t="s">
        <v>160</v>
      </c>
      <c r="E77" s="230" t="s">
        <v>529</v>
      </c>
      <c r="F77" s="230" t="s">
        <v>57</v>
      </c>
      <c r="G77" s="231"/>
      <c r="H77" s="398" t="s">
        <v>377</v>
      </c>
      <c r="I77" s="236">
        <v>900</v>
      </c>
      <c r="J77" s="271">
        <v>180</v>
      </c>
      <c r="K77" s="224" t="s">
        <v>147</v>
      </c>
      <c r="L77" s="224" t="s">
        <v>41</v>
      </c>
      <c r="N77">
        <f t="shared" si="0"/>
        <v>180</v>
      </c>
    </row>
    <row r="78" spans="1:14" x14ac:dyDescent="0.25">
      <c r="A78" s="246">
        <v>18</v>
      </c>
      <c r="B78" s="352" t="s">
        <v>1873</v>
      </c>
      <c r="C78" s="233" t="s">
        <v>1874</v>
      </c>
      <c r="D78" s="230" t="s">
        <v>160</v>
      </c>
      <c r="E78" s="230" t="s">
        <v>703</v>
      </c>
      <c r="F78" s="230" t="s">
        <v>42</v>
      </c>
      <c r="G78" s="231" t="s">
        <v>1875</v>
      </c>
      <c r="H78" s="233" t="s">
        <v>40</v>
      </c>
      <c r="I78" s="236">
        <v>2000</v>
      </c>
      <c r="J78" s="271">
        <v>600</v>
      </c>
      <c r="K78" s="224" t="s">
        <v>147</v>
      </c>
      <c r="L78" s="224" t="s">
        <v>41</v>
      </c>
      <c r="N78">
        <f t="shared" si="0"/>
        <v>400</v>
      </c>
    </row>
    <row r="79" spans="1:14" x14ac:dyDescent="0.25">
      <c r="A79" s="246">
        <v>18</v>
      </c>
      <c r="B79" s="352" t="s">
        <v>1876</v>
      </c>
      <c r="C79" s="233" t="s">
        <v>1877</v>
      </c>
      <c r="D79" s="230" t="s">
        <v>160</v>
      </c>
      <c r="E79" s="230" t="s">
        <v>1151</v>
      </c>
      <c r="F79" s="230" t="s">
        <v>49</v>
      </c>
      <c r="G79" s="231" t="s">
        <v>1878</v>
      </c>
      <c r="H79" s="230" t="s">
        <v>40</v>
      </c>
      <c r="I79" s="236">
        <v>600</v>
      </c>
      <c r="J79" s="271">
        <v>180</v>
      </c>
      <c r="K79" s="224" t="s">
        <v>147</v>
      </c>
      <c r="L79" s="224" t="s">
        <v>41</v>
      </c>
      <c r="N79">
        <f t="shared" si="0"/>
        <v>120</v>
      </c>
    </row>
    <row r="80" spans="1:14" x14ac:dyDescent="0.25">
      <c r="A80" s="246">
        <v>18</v>
      </c>
      <c r="B80" s="352" t="s">
        <v>1879</v>
      </c>
      <c r="C80" s="233" t="s">
        <v>1809</v>
      </c>
      <c r="D80" s="230" t="s">
        <v>160</v>
      </c>
      <c r="E80" s="230" t="s">
        <v>1531</v>
      </c>
      <c r="F80" s="230" t="s">
        <v>49</v>
      </c>
      <c r="G80" s="231"/>
      <c r="H80" s="233" t="s">
        <v>40</v>
      </c>
      <c r="I80" s="236">
        <v>1000</v>
      </c>
      <c r="J80" s="271">
        <v>300</v>
      </c>
      <c r="K80" s="224" t="s">
        <v>147</v>
      </c>
      <c r="L80" s="224" t="s">
        <v>41</v>
      </c>
      <c r="N80">
        <f t="shared" si="0"/>
        <v>200</v>
      </c>
    </row>
    <row r="81" spans="1:14" x14ac:dyDescent="0.25">
      <c r="A81" s="246">
        <v>18</v>
      </c>
      <c r="B81" s="352" t="s">
        <v>1760</v>
      </c>
      <c r="C81" s="233" t="s">
        <v>1409</v>
      </c>
      <c r="D81" s="230" t="s">
        <v>160</v>
      </c>
      <c r="E81" s="230" t="s">
        <v>1792</v>
      </c>
      <c r="F81" s="230" t="s">
        <v>42</v>
      </c>
      <c r="G81" s="231" t="s">
        <v>1880</v>
      </c>
      <c r="H81" s="233" t="s">
        <v>40</v>
      </c>
      <c r="I81" s="236">
        <v>5000</v>
      </c>
      <c r="J81" s="271">
        <v>1500</v>
      </c>
      <c r="K81" s="224" t="s">
        <v>147</v>
      </c>
      <c r="L81" s="224" t="s">
        <v>41</v>
      </c>
      <c r="N81">
        <f t="shared" si="0"/>
        <v>1000</v>
      </c>
    </row>
    <row r="82" spans="1:14" x14ac:dyDescent="0.25">
      <c r="A82" s="246">
        <v>18</v>
      </c>
      <c r="B82" s="352" t="s">
        <v>1707</v>
      </c>
      <c r="C82" s="233" t="s">
        <v>1881</v>
      </c>
      <c r="D82" s="283" t="s">
        <v>163</v>
      </c>
      <c r="E82" s="230" t="s">
        <v>954</v>
      </c>
      <c r="F82" s="230" t="s">
        <v>43</v>
      </c>
      <c r="G82" s="231" t="s">
        <v>1709</v>
      </c>
      <c r="H82" s="230" t="s">
        <v>40</v>
      </c>
      <c r="I82" s="236">
        <v>200</v>
      </c>
      <c r="J82" s="271" t="s">
        <v>152</v>
      </c>
      <c r="K82" s="224" t="s">
        <v>147</v>
      </c>
      <c r="L82" s="224" t="s">
        <v>41</v>
      </c>
      <c r="N82">
        <f t="shared" si="0"/>
        <v>40</v>
      </c>
    </row>
    <row r="83" spans="1:14" x14ac:dyDescent="0.25">
      <c r="A83" s="246">
        <v>18</v>
      </c>
      <c r="B83" s="352" t="s">
        <v>1463</v>
      </c>
      <c r="C83" s="233" t="s">
        <v>1882</v>
      </c>
      <c r="D83" s="230" t="s">
        <v>160</v>
      </c>
      <c r="E83" s="230" t="s">
        <v>167</v>
      </c>
      <c r="F83" s="230" t="s">
        <v>43</v>
      </c>
      <c r="G83" s="231"/>
      <c r="H83" s="393" t="s">
        <v>1656</v>
      </c>
      <c r="I83" s="236">
        <v>50</v>
      </c>
      <c r="J83" s="271">
        <v>500</v>
      </c>
      <c r="K83" s="224" t="s">
        <v>147</v>
      </c>
      <c r="L83" s="224" t="s">
        <v>41</v>
      </c>
      <c r="N83">
        <f t="shared" si="0"/>
        <v>10</v>
      </c>
    </row>
    <row r="84" spans="1:14" x14ac:dyDescent="0.25">
      <c r="A84" s="246">
        <v>18</v>
      </c>
      <c r="B84" s="352" t="s">
        <v>1883</v>
      </c>
      <c r="C84" s="233" t="s">
        <v>1884</v>
      </c>
      <c r="D84" s="283" t="s">
        <v>163</v>
      </c>
      <c r="E84" s="230" t="s">
        <v>407</v>
      </c>
      <c r="F84" s="230" t="s">
        <v>42</v>
      </c>
      <c r="G84" s="231" t="s">
        <v>1885</v>
      </c>
      <c r="H84" s="230" t="s">
        <v>40</v>
      </c>
      <c r="I84" s="236">
        <v>2000</v>
      </c>
      <c r="J84" s="271">
        <v>600</v>
      </c>
      <c r="K84" s="224" t="s">
        <v>147</v>
      </c>
      <c r="L84" s="224" t="s">
        <v>41</v>
      </c>
      <c r="N84">
        <f t="shared" si="0"/>
        <v>400</v>
      </c>
    </row>
    <row r="85" spans="1:14" x14ac:dyDescent="0.25">
      <c r="A85" s="246">
        <v>18</v>
      </c>
      <c r="B85" s="352" t="s">
        <v>1883</v>
      </c>
      <c r="C85" s="233" t="s">
        <v>1884</v>
      </c>
      <c r="D85" s="283" t="s">
        <v>163</v>
      </c>
      <c r="E85" s="230" t="s">
        <v>407</v>
      </c>
      <c r="F85" s="230" t="s">
        <v>42</v>
      </c>
      <c r="G85" s="231" t="s">
        <v>1885</v>
      </c>
      <c r="H85" s="393" t="s">
        <v>1656</v>
      </c>
      <c r="I85" s="236">
        <v>20</v>
      </c>
      <c r="J85" s="271">
        <v>100</v>
      </c>
      <c r="K85" s="224" t="s">
        <v>147</v>
      </c>
      <c r="L85" s="224" t="s">
        <v>41</v>
      </c>
      <c r="N85">
        <f t="shared" si="0"/>
        <v>4</v>
      </c>
    </row>
    <row r="86" spans="1:14" x14ac:dyDescent="0.25">
      <c r="A86" s="246">
        <v>18</v>
      </c>
      <c r="B86" s="352" t="s">
        <v>1695</v>
      </c>
      <c r="C86" s="233" t="s">
        <v>1886</v>
      </c>
      <c r="D86" s="230" t="s">
        <v>160</v>
      </c>
      <c r="E86" s="230" t="s">
        <v>313</v>
      </c>
      <c r="F86" s="230" t="s">
        <v>49</v>
      </c>
      <c r="G86" s="231" t="s">
        <v>1697</v>
      </c>
      <c r="H86" s="230" t="s">
        <v>40</v>
      </c>
      <c r="I86" s="236">
        <v>1500</v>
      </c>
      <c r="J86" s="271">
        <v>450</v>
      </c>
      <c r="K86" s="224" t="s">
        <v>147</v>
      </c>
      <c r="L86" s="224" t="s">
        <v>41</v>
      </c>
      <c r="N86">
        <f t="shared" si="0"/>
        <v>300</v>
      </c>
    </row>
    <row r="87" spans="1:14" x14ac:dyDescent="0.25">
      <c r="A87" s="246">
        <v>20</v>
      </c>
      <c r="B87" s="352" t="s">
        <v>1288</v>
      </c>
      <c r="C87" s="233" t="s">
        <v>1887</v>
      </c>
      <c r="D87" s="283" t="s">
        <v>163</v>
      </c>
      <c r="E87" s="230" t="s">
        <v>164</v>
      </c>
      <c r="F87" s="230" t="s">
        <v>44</v>
      </c>
      <c r="G87" s="231" t="s">
        <v>295</v>
      </c>
      <c r="H87" s="230" t="s">
        <v>40</v>
      </c>
      <c r="I87" s="236">
        <v>1500</v>
      </c>
      <c r="J87" s="271">
        <v>450</v>
      </c>
      <c r="K87" s="224" t="s">
        <v>147</v>
      </c>
      <c r="L87" s="224" t="s">
        <v>41</v>
      </c>
      <c r="N87">
        <f t="shared" si="0"/>
        <v>300</v>
      </c>
    </row>
    <row r="88" spans="1:14" x14ac:dyDescent="0.25">
      <c r="A88" s="246">
        <v>20</v>
      </c>
      <c r="B88" s="352" t="s">
        <v>1288</v>
      </c>
      <c r="C88" s="233" t="s">
        <v>1887</v>
      </c>
      <c r="D88" s="283" t="s">
        <v>163</v>
      </c>
      <c r="E88" s="230" t="s">
        <v>164</v>
      </c>
      <c r="F88" s="230" t="s">
        <v>44</v>
      </c>
      <c r="G88" s="231" t="s">
        <v>295</v>
      </c>
      <c r="H88" s="393" t="s">
        <v>1656</v>
      </c>
      <c r="I88" s="236">
        <v>145</v>
      </c>
      <c r="J88" s="271">
        <v>725</v>
      </c>
      <c r="K88" s="224" t="s">
        <v>147</v>
      </c>
      <c r="L88" s="224" t="s">
        <v>41</v>
      </c>
      <c r="N88">
        <f t="shared" si="0"/>
        <v>29</v>
      </c>
    </row>
    <row r="89" spans="1:14" x14ac:dyDescent="0.25">
      <c r="A89" s="246">
        <v>20</v>
      </c>
      <c r="B89" s="352" t="s">
        <v>1888</v>
      </c>
      <c r="C89" s="233" t="s">
        <v>1809</v>
      </c>
      <c r="D89" s="230" t="s">
        <v>160</v>
      </c>
      <c r="E89" s="230" t="s">
        <v>259</v>
      </c>
      <c r="F89" s="230" t="s">
        <v>49</v>
      </c>
      <c r="G89" s="231" t="s">
        <v>181</v>
      </c>
      <c r="H89" s="399" t="s">
        <v>465</v>
      </c>
      <c r="I89" s="236">
        <v>3000</v>
      </c>
      <c r="J89" s="271">
        <v>3000</v>
      </c>
      <c r="K89" s="224" t="s">
        <v>147</v>
      </c>
      <c r="L89" s="224" t="s">
        <v>41</v>
      </c>
      <c r="N89">
        <f t="shared" si="0"/>
        <v>600</v>
      </c>
    </row>
    <row r="90" spans="1:14" x14ac:dyDescent="0.25">
      <c r="A90" s="246">
        <v>20</v>
      </c>
      <c r="B90" s="352" t="s">
        <v>1889</v>
      </c>
      <c r="C90" s="233" t="s">
        <v>1890</v>
      </c>
      <c r="D90" s="230" t="s">
        <v>160</v>
      </c>
      <c r="E90" s="230"/>
      <c r="F90" s="230" t="s">
        <v>42</v>
      </c>
      <c r="G90" s="231"/>
      <c r="H90" s="399" t="s">
        <v>465</v>
      </c>
      <c r="I90" s="236">
        <v>400</v>
      </c>
      <c r="J90" s="271">
        <v>400</v>
      </c>
      <c r="K90" s="224" t="s">
        <v>147</v>
      </c>
      <c r="L90" s="224" t="s">
        <v>41</v>
      </c>
      <c r="N90">
        <f t="shared" si="0"/>
        <v>80</v>
      </c>
    </row>
    <row r="91" spans="1:14" x14ac:dyDescent="0.25">
      <c r="A91" s="246">
        <v>20</v>
      </c>
      <c r="B91" s="352" t="s">
        <v>1891</v>
      </c>
      <c r="C91" s="233" t="s">
        <v>1892</v>
      </c>
      <c r="D91" s="230" t="s">
        <v>160</v>
      </c>
      <c r="E91" s="230"/>
      <c r="F91" s="230" t="s">
        <v>45</v>
      </c>
      <c r="G91" s="231"/>
      <c r="H91" s="230" t="s">
        <v>40</v>
      </c>
      <c r="I91" s="236">
        <v>1500</v>
      </c>
      <c r="J91" s="271">
        <v>300</v>
      </c>
      <c r="K91" s="224" t="s">
        <v>147</v>
      </c>
      <c r="L91" s="224" t="s">
        <v>41</v>
      </c>
      <c r="N91">
        <f t="shared" si="0"/>
        <v>300</v>
      </c>
    </row>
    <row r="92" spans="1:14" x14ac:dyDescent="0.25">
      <c r="A92" s="246">
        <v>20</v>
      </c>
      <c r="B92" s="352" t="s">
        <v>1891</v>
      </c>
      <c r="C92" s="233" t="s">
        <v>1892</v>
      </c>
      <c r="D92" s="230" t="s">
        <v>160</v>
      </c>
      <c r="E92" s="230"/>
      <c r="F92" s="230" t="s">
        <v>45</v>
      </c>
      <c r="G92" s="231"/>
      <c r="H92" s="399" t="s">
        <v>465</v>
      </c>
      <c r="I92" s="236">
        <v>100</v>
      </c>
      <c r="J92" s="271">
        <v>100</v>
      </c>
      <c r="K92" s="224" t="s">
        <v>147</v>
      </c>
      <c r="L92" s="224" t="s">
        <v>41</v>
      </c>
      <c r="N92">
        <f t="shared" si="0"/>
        <v>20</v>
      </c>
    </row>
    <row r="93" spans="1:14" x14ac:dyDescent="0.25">
      <c r="A93" s="246">
        <v>20</v>
      </c>
      <c r="B93" s="352" t="s">
        <v>1893</v>
      </c>
      <c r="C93" s="233" t="s">
        <v>1894</v>
      </c>
      <c r="D93" s="230" t="s">
        <v>160</v>
      </c>
      <c r="E93" s="230" t="s">
        <v>1531</v>
      </c>
      <c r="F93" s="230" t="s">
        <v>49</v>
      </c>
      <c r="G93" s="231"/>
      <c r="H93" s="399" t="s">
        <v>465</v>
      </c>
      <c r="I93" s="236">
        <v>500</v>
      </c>
      <c r="J93" s="271">
        <v>500</v>
      </c>
      <c r="K93" s="224" t="s">
        <v>147</v>
      </c>
      <c r="L93" s="224" t="s">
        <v>41</v>
      </c>
      <c r="N93">
        <f t="shared" si="0"/>
        <v>100</v>
      </c>
    </row>
    <row r="94" spans="1:14" x14ac:dyDescent="0.25">
      <c r="A94" s="246">
        <v>20</v>
      </c>
      <c r="B94" s="352" t="s">
        <v>1895</v>
      </c>
      <c r="C94" s="233" t="s">
        <v>1749</v>
      </c>
      <c r="D94" s="230" t="s">
        <v>160</v>
      </c>
      <c r="E94" s="230" t="s">
        <v>1896</v>
      </c>
      <c r="F94" s="230" t="s">
        <v>57</v>
      </c>
      <c r="G94" s="231"/>
      <c r="H94" s="399" t="s">
        <v>465</v>
      </c>
      <c r="I94" s="236">
        <v>1700</v>
      </c>
      <c r="J94" s="271">
        <v>1700</v>
      </c>
      <c r="K94" s="224" t="s">
        <v>147</v>
      </c>
      <c r="L94" s="224" t="s">
        <v>41</v>
      </c>
      <c r="N94">
        <f t="shared" si="0"/>
        <v>340</v>
      </c>
    </row>
    <row r="95" spans="1:14" x14ac:dyDescent="0.25">
      <c r="A95" s="246">
        <v>20</v>
      </c>
      <c r="B95" s="352" t="s">
        <v>1707</v>
      </c>
      <c r="C95" s="233" t="s">
        <v>1897</v>
      </c>
      <c r="D95" s="230" t="s">
        <v>160</v>
      </c>
      <c r="E95" s="230" t="s">
        <v>1125</v>
      </c>
      <c r="F95" s="230" t="s">
        <v>47</v>
      </c>
      <c r="G95" s="231"/>
      <c r="H95" s="399" t="s">
        <v>465</v>
      </c>
      <c r="I95" s="236">
        <v>250</v>
      </c>
      <c r="J95" s="271">
        <v>250</v>
      </c>
      <c r="K95" s="224" t="s">
        <v>147</v>
      </c>
      <c r="L95" s="224" t="s">
        <v>41</v>
      </c>
      <c r="N95">
        <f t="shared" si="0"/>
        <v>50</v>
      </c>
    </row>
    <row r="96" spans="1:14" x14ac:dyDescent="0.25">
      <c r="A96" s="246">
        <v>20</v>
      </c>
      <c r="B96" s="352" t="s">
        <v>1898</v>
      </c>
      <c r="C96" s="233" t="s">
        <v>1899</v>
      </c>
      <c r="D96" s="230" t="s">
        <v>160</v>
      </c>
      <c r="E96" s="230" t="s">
        <v>1896</v>
      </c>
      <c r="F96" s="230" t="s">
        <v>57</v>
      </c>
      <c r="G96" s="231" t="s">
        <v>1900</v>
      </c>
      <c r="H96" s="399" t="s">
        <v>465</v>
      </c>
      <c r="I96" s="236">
        <v>300</v>
      </c>
      <c r="J96" s="271">
        <v>300</v>
      </c>
      <c r="K96" s="224" t="s">
        <v>147</v>
      </c>
      <c r="L96" s="224" t="s">
        <v>41</v>
      </c>
      <c r="N96">
        <f t="shared" si="0"/>
        <v>60</v>
      </c>
    </row>
    <row r="97" spans="1:14" x14ac:dyDescent="0.25">
      <c r="A97" s="246">
        <v>20</v>
      </c>
      <c r="B97" s="352" t="s">
        <v>1479</v>
      </c>
      <c r="C97" s="233" t="s">
        <v>1901</v>
      </c>
      <c r="D97" s="230" t="s">
        <v>160</v>
      </c>
      <c r="E97" s="230" t="s">
        <v>1619</v>
      </c>
      <c r="F97" s="230" t="s">
        <v>57</v>
      </c>
      <c r="G97" s="231" t="s">
        <v>1902</v>
      </c>
      <c r="H97" s="399" t="s">
        <v>465</v>
      </c>
      <c r="I97" s="236">
        <v>200</v>
      </c>
      <c r="J97" s="271">
        <v>200</v>
      </c>
      <c r="K97" s="224" t="s">
        <v>147</v>
      </c>
      <c r="L97" s="224" t="s">
        <v>41</v>
      </c>
      <c r="N97">
        <f t="shared" si="0"/>
        <v>40</v>
      </c>
    </row>
    <row r="98" spans="1:14" x14ac:dyDescent="0.25">
      <c r="A98" s="246">
        <v>21</v>
      </c>
      <c r="B98" s="352" t="s">
        <v>1903</v>
      </c>
      <c r="C98" s="233" t="s">
        <v>1904</v>
      </c>
      <c r="D98" s="230" t="s">
        <v>160</v>
      </c>
      <c r="E98" s="230" t="s">
        <v>1905</v>
      </c>
      <c r="F98" s="230" t="s">
        <v>47</v>
      </c>
      <c r="G98" s="231" t="s">
        <v>1906</v>
      </c>
      <c r="H98" s="399" t="s">
        <v>465</v>
      </c>
      <c r="I98" s="236">
        <v>500</v>
      </c>
      <c r="J98" s="271">
        <v>500</v>
      </c>
      <c r="K98" s="224" t="s">
        <v>147</v>
      </c>
      <c r="L98" s="224" t="s">
        <v>41</v>
      </c>
      <c r="N98">
        <f t="shared" si="0"/>
        <v>100</v>
      </c>
    </row>
    <row r="99" spans="1:14" x14ac:dyDescent="0.25">
      <c r="A99" s="246">
        <v>21</v>
      </c>
      <c r="B99" s="352" t="s">
        <v>1907</v>
      </c>
      <c r="C99" s="233" t="s">
        <v>1749</v>
      </c>
      <c r="D99" s="230" t="s">
        <v>160</v>
      </c>
      <c r="E99" s="230" t="s">
        <v>180</v>
      </c>
      <c r="F99" s="230" t="s">
        <v>76</v>
      </c>
      <c r="G99" s="231"/>
      <c r="H99" s="230" t="s">
        <v>40</v>
      </c>
      <c r="I99" s="236">
        <v>200</v>
      </c>
      <c r="J99" s="271">
        <v>60</v>
      </c>
      <c r="K99" s="224" t="s">
        <v>147</v>
      </c>
      <c r="L99" s="224" t="s">
        <v>41</v>
      </c>
      <c r="N99">
        <f t="shared" si="0"/>
        <v>40</v>
      </c>
    </row>
    <row r="100" spans="1:14" x14ac:dyDescent="0.25">
      <c r="A100" s="246">
        <v>21</v>
      </c>
      <c r="B100" s="352" t="s">
        <v>1908</v>
      </c>
      <c r="C100" s="233" t="s">
        <v>1543</v>
      </c>
      <c r="D100" s="230" t="s">
        <v>160</v>
      </c>
      <c r="E100" s="230" t="s">
        <v>1909</v>
      </c>
      <c r="F100" s="230" t="s">
        <v>49</v>
      </c>
      <c r="G100" s="231"/>
      <c r="H100" s="399" t="s">
        <v>465</v>
      </c>
      <c r="I100" s="236">
        <v>50</v>
      </c>
      <c r="J100" s="271">
        <v>50</v>
      </c>
      <c r="K100" s="224" t="s">
        <v>147</v>
      </c>
      <c r="L100" s="224" t="s">
        <v>41</v>
      </c>
      <c r="N100">
        <f t="shared" si="0"/>
        <v>10</v>
      </c>
    </row>
    <row r="101" spans="1:14" x14ac:dyDescent="0.25">
      <c r="A101" s="273">
        <v>24</v>
      </c>
      <c r="B101" s="352" t="s">
        <v>1871</v>
      </c>
      <c r="C101" s="233" t="s">
        <v>1872</v>
      </c>
      <c r="D101" s="230" t="s">
        <v>160</v>
      </c>
      <c r="E101" s="230" t="s">
        <v>529</v>
      </c>
      <c r="F101" s="230" t="s">
        <v>57</v>
      </c>
      <c r="G101" s="231" t="s">
        <v>536</v>
      </c>
      <c r="H101" s="230" t="s">
        <v>40</v>
      </c>
      <c r="I101" s="236">
        <v>3000</v>
      </c>
      <c r="J101" s="271" t="s">
        <v>152</v>
      </c>
      <c r="K101" s="224" t="s">
        <v>147</v>
      </c>
      <c r="L101" s="224" t="s">
        <v>41</v>
      </c>
      <c r="N101">
        <f t="shared" si="0"/>
        <v>600</v>
      </c>
    </row>
    <row r="102" spans="1:14" x14ac:dyDescent="0.25">
      <c r="A102" s="246">
        <v>25</v>
      </c>
      <c r="B102" s="352" t="s">
        <v>1414</v>
      </c>
      <c r="C102" s="233" t="s">
        <v>1415</v>
      </c>
      <c r="D102" s="230" t="s">
        <v>160</v>
      </c>
      <c r="E102" s="230" t="s">
        <v>1416</v>
      </c>
      <c r="F102" s="230" t="s">
        <v>47</v>
      </c>
      <c r="G102" s="231" t="s">
        <v>1913</v>
      </c>
      <c r="H102" s="399" t="s">
        <v>465</v>
      </c>
      <c r="I102" s="236">
        <v>2000</v>
      </c>
      <c r="J102" s="271">
        <v>2000</v>
      </c>
      <c r="K102" s="224" t="s">
        <v>147</v>
      </c>
      <c r="L102" s="224" t="s">
        <v>41</v>
      </c>
      <c r="N102">
        <f t="shared" si="0"/>
        <v>400</v>
      </c>
    </row>
    <row r="103" spans="1:14" x14ac:dyDescent="0.25">
      <c r="A103" s="246">
        <v>25</v>
      </c>
      <c r="B103" s="352" t="s">
        <v>1451</v>
      </c>
      <c r="C103" s="233" t="s">
        <v>1914</v>
      </c>
      <c r="D103" s="230" t="s">
        <v>160</v>
      </c>
      <c r="E103" s="230" t="s">
        <v>161</v>
      </c>
      <c r="F103" s="230" t="s">
        <v>54</v>
      </c>
      <c r="G103" s="231" t="s">
        <v>1915</v>
      </c>
      <c r="H103" s="399" t="s">
        <v>465</v>
      </c>
      <c r="I103" s="236">
        <v>2000</v>
      </c>
      <c r="J103" s="271">
        <v>2000</v>
      </c>
      <c r="K103" s="224" t="s">
        <v>147</v>
      </c>
      <c r="L103" s="224" t="s">
        <v>41</v>
      </c>
      <c r="N103">
        <f t="shared" si="0"/>
        <v>400</v>
      </c>
    </row>
    <row r="104" spans="1:14" x14ac:dyDescent="0.25">
      <c r="A104" s="246">
        <v>25</v>
      </c>
      <c r="B104" s="352" t="s">
        <v>1451</v>
      </c>
      <c r="C104" s="233" t="s">
        <v>1914</v>
      </c>
      <c r="D104" s="230" t="s">
        <v>160</v>
      </c>
      <c r="E104" s="230" t="s">
        <v>161</v>
      </c>
      <c r="F104" s="230" t="s">
        <v>54</v>
      </c>
      <c r="G104" s="231" t="s">
        <v>1915</v>
      </c>
      <c r="H104" s="398" t="s">
        <v>377</v>
      </c>
      <c r="I104" s="236">
        <v>1000</v>
      </c>
      <c r="J104" s="271">
        <v>200</v>
      </c>
      <c r="K104" s="224" t="s">
        <v>147</v>
      </c>
      <c r="L104" s="224" t="s">
        <v>41</v>
      </c>
      <c r="N104">
        <f t="shared" si="0"/>
        <v>200</v>
      </c>
    </row>
    <row r="105" spans="1:14" x14ac:dyDescent="0.25">
      <c r="A105" s="246">
        <v>25</v>
      </c>
      <c r="B105" s="352" t="s">
        <v>1916</v>
      </c>
      <c r="C105" s="233" t="s">
        <v>1917</v>
      </c>
      <c r="D105" s="230" t="s">
        <v>160</v>
      </c>
      <c r="E105" s="230" t="s">
        <v>404</v>
      </c>
      <c r="F105" s="230" t="s">
        <v>54</v>
      </c>
      <c r="G105" s="231"/>
      <c r="H105" s="399" t="s">
        <v>465</v>
      </c>
      <c r="I105" s="236">
        <v>100</v>
      </c>
      <c r="J105" s="271">
        <v>100</v>
      </c>
      <c r="K105" s="224" t="s">
        <v>147</v>
      </c>
      <c r="L105" s="224" t="s">
        <v>41</v>
      </c>
      <c r="N105">
        <f t="shared" si="0"/>
        <v>20</v>
      </c>
    </row>
    <row r="106" spans="1:14" x14ac:dyDescent="0.25">
      <c r="A106" s="246">
        <v>25</v>
      </c>
      <c r="B106" s="352" t="s">
        <v>1918</v>
      </c>
      <c r="C106" s="233" t="s">
        <v>1919</v>
      </c>
      <c r="D106" s="283" t="s">
        <v>163</v>
      </c>
      <c r="E106" s="230" t="s">
        <v>954</v>
      </c>
      <c r="F106" s="230" t="s">
        <v>43</v>
      </c>
      <c r="G106" s="231" t="s">
        <v>1923</v>
      </c>
      <c r="H106" s="230" t="s">
        <v>40</v>
      </c>
      <c r="I106" s="236">
        <v>5000</v>
      </c>
      <c r="J106" s="271">
        <v>1500</v>
      </c>
      <c r="K106" s="224" t="s">
        <v>147</v>
      </c>
      <c r="L106" s="224" t="s">
        <v>41</v>
      </c>
      <c r="N106">
        <f t="shared" si="0"/>
        <v>1000</v>
      </c>
    </row>
    <row r="107" spans="1:14" x14ac:dyDescent="0.25">
      <c r="A107" s="246">
        <v>25</v>
      </c>
      <c r="B107" s="352" t="s">
        <v>1920</v>
      </c>
      <c r="C107" s="233" t="s">
        <v>1921</v>
      </c>
      <c r="D107" s="283" t="s">
        <v>163</v>
      </c>
      <c r="E107" s="230" t="s">
        <v>1922</v>
      </c>
      <c r="F107" s="230" t="s">
        <v>48</v>
      </c>
      <c r="G107" s="231" t="s">
        <v>1924</v>
      </c>
      <c r="H107" s="230" t="s">
        <v>40</v>
      </c>
      <c r="I107" s="236">
        <v>350</v>
      </c>
      <c r="J107" s="271">
        <v>105</v>
      </c>
      <c r="K107" s="224" t="s">
        <v>147</v>
      </c>
      <c r="L107" s="224" t="s">
        <v>41</v>
      </c>
      <c r="N107">
        <f t="shared" si="0"/>
        <v>70</v>
      </c>
    </row>
    <row r="108" spans="1:14" x14ac:dyDescent="0.25">
      <c r="A108" s="246">
        <v>25</v>
      </c>
      <c r="B108" s="352" t="s">
        <v>1925</v>
      </c>
      <c r="C108" s="233" t="s">
        <v>1669</v>
      </c>
      <c r="D108" s="230" t="s">
        <v>160</v>
      </c>
      <c r="E108" s="230" t="s">
        <v>189</v>
      </c>
      <c r="F108" s="230" t="s">
        <v>43</v>
      </c>
      <c r="G108" s="231"/>
      <c r="H108" s="399" t="s">
        <v>465</v>
      </c>
      <c r="I108" s="236">
        <v>500</v>
      </c>
      <c r="J108" s="271">
        <v>500</v>
      </c>
      <c r="K108" s="224" t="s">
        <v>147</v>
      </c>
      <c r="L108" s="224" t="s">
        <v>41</v>
      </c>
      <c r="N108">
        <f t="shared" si="0"/>
        <v>100</v>
      </c>
    </row>
    <row r="109" spans="1:14" x14ac:dyDescent="0.25">
      <c r="A109" s="246">
        <v>25</v>
      </c>
      <c r="B109" s="352" t="s">
        <v>1926</v>
      </c>
      <c r="C109" s="233" t="s">
        <v>1927</v>
      </c>
      <c r="D109" s="230" t="s">
        <v>160</v>
      </c>
      <c r="E109" s="230" t="s">
        <v>523</v>
      </c>
      <c r="F109" s="230" t="s">
        <v>42</v>
      </c>
      <c r="G109" s="231" t="s">
        <v>1928</v>
      </c>
      <c r="H109" s="399" t="s">
        <v>465</v>
      </c>
      <c r="I109" s="236">
        <v>200</v>
      </c>
      <c r="J109" s="271">
        <v>200</v>
      </c>
      <c r="K109" s="224" t="s">
        <v>147</v>
      </c>
      <c r="L109" s="224" t="s">
        <v>41</v>
      </c>
      <c r="N109">
        <f t="shared" si="0"/>
        <v>40</v>
      </c>
    </row>
    <row r="110" spans="1:14" x14ac:dyDescent="0.25">
      <c r="A110" s="246">
        <v>25</v>
      </c>
      <c r="B110" s="352" t="s">
        <v>1929</v>
      </c>
      <c r="C110" s="233" t="s">
        <v>1930</v>
      </c>
      <c r="D110" s="230" t="s">
        <v>160</v>
      </c>
      <c r="E110" s="230" t="s">
        <v>334</v>
      </c>
      <c r="F110" s="230" t="s">
        <v>55</v>
      </c>
      <c r="G110" s="231" t="s">
        <v>335</v>
      </c>
      <c r="H110" s="399" t="s">
        <v>465</v>
      </c>
      <c r="I110" s="236">
        <v>1000</v>
      </c>
      <c r="J110" s="271">
        <v>1000</v>
      </c>
      <c r="K110" s="224" t="s">
        <v>147</v>
      </c>
      <c r="L110" s="224" t="s">
        <v>41</v>
      </c>
      <c r="N110">
        <f t="shared" si="0"/>
        <v>200</v>
      </c>
    </row>
    <row r="111" spans="1:14" x14ac:dyDescent="0.25">
      <c r="A111" s="246">
        <v>25</v>
      </c>
      <c r="B111" s="352" t="s">
        <v>1931</v>
      </c>
      <c r="C111" s="233" t="s">
        <v>1932</v>
      </c>
      <c r="D111" s="230" t="s">
        <v>160</v>
      </c>
      <c r="E111" s="230" t="s">
        <v>523</v>
      </c>
      <c r="F111" s="230" t="s">
        <v>42</v>
      </c>
      <c r="G111" s="231"/>
      <c r="H111" s="399" t="s">
        <v>465</v>
      </c>
      <c r="I111" s="236">
        <v>300</v>
      </c>
      <c r="J111" s="271">
        <v>300</v>
      </c>
      <c r="K111" s="224" t="s">
        <v>147</v>
      </c>
      <c r="L111" s="224" t="s">
        <v>41</v>
      </c>
      <c r="N111">
        <f t="shared" si="0"/>
        <v>60</v>
      </c>
    </row>
    <row r="112" spans="1:14" x14ac:dyDescent="0.25">
      <c r="A112" s="246">
        <v>25</v>
      </c>
      <c r="B112" s="352" t="s">
        <v>1933</v>
      </c>
      <c r="C112" s="233" t="s">
        <v>1934</v>
      </c>
      <c r="D112" s="230" t="s">
        <v>160</v>
      </c>
      <c r="E112" s="230" t="s">
        <v>172</v>
      </c>
      <c r="F112" s="230" t="s">
        <v>47</v>
      </c>
      <c r="G112" s="231" t="s">
        <v>1935</v>
      </c>
      <c r="H112" s="399" t="s">
        <v>465</v>
      </c>
      <c r="I112" s="236">
        <v>500</v>
      </c>
      <c r="J112" s="271">
        <v>500</v>
      </c>
      <c r="K112" s="224" t="s">
        <v>147</v>
      </c>
      <c r="L112" s="224" t="s">
        <v>41</v>
      </c>
      <c r="N112">
        <f t="shared" si="0"/>
        <v>100</v>
      </c>
    </row>
    <row r="113" spans="1:17" x14ac:dyDescent="0.25">
      <c r="A113" s="246">
        <v>25</v>
      </c>
      <c r="B113" s="352" t="s">
        <v>1936</v>
      </c>
      <c r="C113" s="233" t="s">
        <v>1937</v>
      </c>
      <c r="D113" s="230" t="s">
        <v>160</v>
      </c>
      <c r="E113" s="230" t="s">
        <v>180</v>
      </c>
      <c r="F113" s="230" t="s">
        <v>49</v>
      </c>
      <c r="G113" s="231" t="s">
        <v>1938</v>
      </c>
      <c r="H113" s="399" t="s">
        <v>465</v>
      </c>
      <c r="I113" s="236">
        <v>1500</v>
      </c>
      <c r="J113" s="271">
        <v>1500</v>
      </c>
      <c r="K113" s="224" t="s">
        <v>147</v>
      </c>
      <c r="L113" s="224" t="s">
        <v>41</v>
      </c>
      <c r="N113">
        <f t="shared" si="0"/>
        <v>300</v>
      </c>
    </row>
    <row r="114" spans="1:17" x14ac:dyDescent="0.25">
      <c r="A114" s="246">
        <v>25</v>
      </c>
      <c r="B114" s="352" t="s">
        <v>1939</v>
      </c>
      <c r="C114" s="233" t="s">
        <v>1940</v>
      </c>
      <c r="D114" s="230" t="s">
        <v>160</v>
      </c>
      <c r="E114" s="230" t="s">
        <v>189</v>
      </c>
      <c r="F114" s="230" t="s">
        <v>42</v>
      </c>
      <c r="G114" s="231" t="s">
        <v>1941</v>
      </c>
      <c r="H114" s="399" t="s">
        <v>465</v>
      </c>
      <c r="I114" s="236">
        <v>200</v>
      </c>
      <c r="J114" s="271">
        <v>200</v>
      </c>
      <c r="K114" s="224" t="s">
        <v>147</v>
      </c>
      <c r="L114" s="224" t="s">
        <v>41</v>
      </c>
      <c r="N114">
        <f t="shared" si="0"/>
        <v>40</v>
      </c>
    </row>
    <row r="115" spans="1:17" x14ac:dyDescent="0.25">
      <c r="A115" s="246">
        <v>25</v>
      </c>
      <c r="B115" s="352" t="s">
        <v>1942</v>
      </c>
      <c r="C115" s="233" t="s">
        <v>1373</v>
      </c>
      <c r="D115" s="230" t="s">
        <v>160</v>
      </c>
      <c r="E115" s="230" t="s">
        <v>58</v>
      </c>
      <c r="F115" s="230" t="s">
        <v>59</v>
      </c>
      <c r="G115" s="231" t="s">
        <v>1943</v>
      </c>
      <c r="H115" s="399" t="s">
        <v>465</v>
      </c>
      <c r="I115" s="236">
        <v>1000</v>
      </c>
      <c r="J115" s="271">
        <v>1000</v>
      </c>
      <c r="K115" s="224" t="s">
        <v>147</v>
      </c>
      <c r="L115" s="224" t="s">
        <v>41</v>
      </c>
      <c r="N115">
        <f t="shared" si="0"/>
        <v>200</v>
      </c>
    </row>
    <row r="116" spans="1:17" x14ac:dyDescent="0.25">
      <c r="A116" s="246">
        <v>25</v>
      </c>
      <c r="B116" s="352" t="s">
        <v>1944</v>
      </c>
      <c r="C116" s="233" t="s">
        <v>1945</v>
      </c>
      <c r="D116" s="230" t="s">
        <v>160</v>
      </c>
      <c r="E116" s="230" t="s">
        <v>299</v>
      </c>
      <c r="F116" s="230" t="s">
        <v>42</v>
      </c>
      <c r="G116" s="231" t="s">
        <v>976</v>
      </c>
      <c r="H116" s="399" t="s">
        <v>465</v>
      </c>
      <c r="I116" s="236">
        <v>200</v>
      </c>
      <c r="J116" s="271">
        <v>200</v>
      </c>
      <c r="K116" s="224" t="s">
        <v>147</v>
      </c>
      <c r="L116" s="224" t="s">
        <v>41</v>
      </c>
      <c r="N116">
        <f t="shared" si="0"/>
        <v>40</v>
      </c>
    </row>
    <row r="117" spans="1:17" x14ac:dyDescent="0.25">
      <c r="A117" s="246">
        <v>25</v>
      </c>
      <c r="B117" s="352" t="s">
        <v>1946</v>
      </c>
      <c r="C117" s="233" t="s">
        <v>1947</v>
      </c>
      <c r="D117" s="230" t="s">
        <v>160</v>
      </c>
      <c r="E117" s="230" t="s">
        <v>1948</v>
      </c>
      <c r="F117" s="230" t="s">
        <v>50</v>
      </c>
      <c r="G117" s="231" t="s">
        <v>1949</v>
      </c>
      <c r="H117" s="399" t="s">
        <v>465</v>
      </c>
      <c r="I117" s="236">
        <v>200</v>
      </c>
      <c r="J117" s="271">
        <v>200</v>
      </c>
      <c r="K117" s="224" t="s">
        <v>147</v>
      </c>
      <c r="L117" s="224" t="s">
        <v>41</v>
      </c>
    </row>
    <row r="118" spans="1:17" x14ac:dyDescent="0.25">
      <c r="A118" s="246">
        <v>26</v>
      </c>
      <c r="B118" s="352" t="s">
        <v>1950</v>
      </c>
      <c r="C118" s="233" t="s">
        <v>1951</v>
      </c>
      <c r="D118" s="283" t="s">
        <v>163</v>
      </c>
      <c r="E118" s="230" t="s">
        <v>1151</v>
      </c>
      <c r="F118" s="230" t="s">
        <v>49</v>
      </c>
      <c r="G118" s="231" t="s">
        <v>1952</v>
      </c>
      <c r="H118" s="230" t="s">
        <v>40</v>
      </c>
      <c r="I118" s="236">
        <v>100</v>
      </c>
      <c r="J118" s="271">
        <v>20</v>
      </c>
      <c r="K118" s="224" t="s">
        <v>147</v>
      </c>
      <c r="L118" s="224" t="s">
        <v>41</v>
      </c>
    </row>
    <row r="119" spans="1:17" x14ac:dyDescent="0.25">
      <c r="A119" s="273">
        <v>26</v>
      </c>
      <c r="B119" s="352" t="s">
        <v>1953</v>
      </c>
      <c r="C119" s="233" t="s">
        <v>1954</v>
      </c>
      <c r="D119" s="230" t="s">
        <v>160</v>
      </c>
      <c r="E119" s="230" t="s">
        <v>712</v>
      </c>
      <c r="F119" s="230" t="s">
        <v>61</v>
      </c>
      <c r="G119" s="231" t="s">
        <v>1955</v>
      </c>
      <c r="H119" s="399" t="s">
        <v>465</v>
      </c>
      <c r="I119" s="236">
        <v>450</v>
      </c>
      <c r="J119" s="271">
        <v>450</v>
      </c>
      <c r="K119" s="224" t="s">
        <v>147</v>
      </c>
      <c r="L119" s="224" t="s">
        <v>41</v>
      </c>
    </row>
    <row r="120" spans="1:17" x14ac:dyDescent="0.25">
      <c r="A120" s="222"/>
      <c r="B120" s="353"/>
      <c r="C120" s="100"/>
      <c r="D120" s="224"/>
      <c r="E120" s="224"/>
      <c r="F120" s="224"/>
      <c r="G120" s="225"/>
      <c r="H120" s="224"/>
      <c r="I120" s="234"/>
      <c r="J120" s="235"/>
      <c r="K120" s="224"/>
      <c r="L120" s="224"/>
      <c r="N120">
        <f>SUM(N12:N119)</f>
        <v>39504</v>
      </c>
    </row>
    <row r="121" spans="1:17" x14ac:dyDescent="0.25">
      <c r="A121" s="285"/>
      <c r="B121" s="350"/>
      <c r="C121" s="60"/>
      <c r="D121" s="60"/>
      <c r="E121" s="60"/>
      <c r="F121" s="60"/>
      <c r="G121" s="60"/>
      <c r="H121" s="60"/>
      <c r="I121" s="61"/>
      <c r="J121" s="121"/>
      <c r="K121" s="60"/>
    </row>
    <row r="123" spans="1:17" x14ac:dyDescent="0.25">
      <c r="J123" s="123"/>
      <c r="K123" s="70"/>
    </row>
    <row r="124" spans="1:17" ht="16.5" customHeight="1" x14ac:dyDescent="0.25">
      <c r="C124" s="62" t="s">
        <v>20</v>
      </c>
      <c r="F124" s="62" t="s">
        <v>21</v>
      </c>
      <c r="J124" s="103" t="s">
        <v>109</v>
      </c>
      <c r="K124" s="127"/>
      <c r="Q124" s="30"/>
    </row>
    <row r="125" spans="1:17" x14ac:dyDescent="0.25">
      <c r="J125" s="103" t="s">
        <v>110</v>
      </c>
      <c r="K125" s="127"/>
      <c r="L125" s="98"/>
    </row>
    <row r="126" spans="1:17" x14ac:dyDescent="0.25">
      <c r="J126" s="103" t="s">
        <v>138</v>
      </c>
      <c r="K126" s="128">
        <v>82550</v>
      </c>
    </row>
    <row r="127" spans="1:17" x14ac:dyDescent="0.25">
      <c r="C127" s="124" t="s">
        <v>966</v>
      </c>
      <c r="F127" s="617" t="s">
        <v>157</v>
      </c>
      <c r="G127" s="617"/>
      <c r="H127" s="617"/>
      <c r="I127" s="617"/>
      <c r="J127" s="103" t="s">
        <v>1265</v>
      </c>
      <c r="K127" s="128"/>
    </row>
    <row r="128" spans="1:17" x14ac:dyDescent="0.25">
      <c r="C128" s="62" t="s">
        <v>967</v>
      </c>
      <c r="F128" s="618" t="s">
        <v>158</v>
      </c>
      <c r="G128" s="618"/>
      <c r="H128" s="618"/>
      <c r="I128" s="618"/>
      <c r="J128" s="103" t="s">
        <v>111</v>
      </c>
      <c r="K128" s="127">
        <v>1400</v>
      </c>
    </row>
    <row r="129" spans="1:15" x14ac:dyDescent="0.25">
      <c r="J129" s="103" t="s">
        <v>112</v>
      </c>
      <c r="K129" s="128">
        <v>15</v>
      </c>
    </row>
    <row r="130" spans="1:15" s="62" customFormat="1" x14ac:dyDescent="0.25">
      <c r="A130" s="396"/>
      <c r="B130" s="396"/>
      <c r="J130" s="103" t="s">
        <v>114</v>
      </c>
      <c r="K130" s="288"/>
      <c r="M130"/>
      <c r="N130"/>
      <c r="O130"/>
    </row>
    <row r="131" spans="1:15" s="62" customFormat="1" x14ac:dyDescent="0.25">
      <c r="A131" s="396"/>
      <c r="B131" s="396"/>
      <c r="J131" s="103" t="s">
        <v>22</v>
      </c>
      <c r="K131" s="128"/>
      <c r="M131"/>
      <c r="N131"/>
      <c r="O131"/>
    </row>
    <row r="132" spans="1:15" s="62" customFormat="1" x14ac:dyDescent="0.25">
      <c r="A132" s="396"/>
      <c r="B132" s="396"/>
      <c r="C132" s="99"/>
      <c r="F132" s="99"/>
      <c r="G132" s="99"/>
      <c r="H132" s="99"/>
      <c r="J132" s="125" t="s">
        <v>107</v>
      </c>
      <c r="K132" s="71"/>
      <c r="M132"/>
      <c r="N132"/>
      <c r="O132"/>
    </row>
    <row r="133" spans="1:15" s="62" customFormat="1" x14ac:dyDescent="0.25">
      <c r="A133" s="396"/>
      <c r="B133" s="396"/>
      <c r="J133" s="125" t="s">
        <v>108</v>
      </c>
      <c r="K133" s="70"/>
      <c r="M133"/>
      <c r="N133"/>
      <c r="O133"/>
    </row>
    <row r="134" spans="1:15" s="62" customFormat="1" x14ac:dyDescent="0.25">
      <c r="A134" s="396"/>
      <c r="B134" s="396"/>
      <c r="J134" s="103"/>
      <c r="K134" s="70"/>
      <c r="M134"/>
      <c r="N134"/>
      <c r="O134"/>
    </row>
    <row r="135" spans="1:15" s="62" customFormat="1" x14ac:dyDescent="0.25">
      <c r="A135" s="396"/>
      <c r="B135" s="396"/>
      <c r="J135" s="103"/>
      <c r="K135" s="71"/>
      <c r="M135"/>
      <c r="N135"/>
      <c r="O135"/>
    </row>
    <row r="136" spans="1:15" s="62" customFormat="1" x14ac:dyDescent="0.25">
      <c r="A136" s="396"/>
      <c r="B136" s="396"/>
      <c r="J136" s="103"/>
      <c r="K136" s="71"/>
      <c r="M136"/>
      <c r="N136"/>
      <c r="O136"/>
    </row>
    <row r="156" spans="13:13" x14ac:dyDescent="0.25">
      <c r="M156" s="30"/>
    </row>
    <row r="179" spans="13:13" x14ac:dyDescent="0.25">
      <c r="M179" s="30"/>
    </row>
    <row r="306" spans="13:13" x14ac:dyDescent="0.25">
      <c r="M306" s="30"/>
    </row>
  </sheetData>
  <mergeCells count="8">
    <mergeCell ref="F127:I127"/>
    <mergeCell ref="F128:I128"/>
    <mergeCell ref="A1:L1"/>
    <mergeCell ref="A2:L2"/>
    <mergeCell ref="A6:C6"/>
    <mergeCell ref="G7:I7"/>
    <mergeCell ref="K7:L7"/>
    <mergeCell ref="A8:C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F20B1-DDF8-4F81-AAC7-F607BD7D3549}">
  <sheetPr>
    <tabColor theme="5"/>
  </sheetPr>
  <dimension ref="A1:O39"/>
  <sheetViews>
    <sheetView view="pageBreakPreview" zoomScale="96" zoomScaleNormal="100" zoomScaleSheetLayoutView="96" workbookViewId="0">
      <selection activeCell="H13" sqref="H13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1.71093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1559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/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/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374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374" t="s">
        <v>13</v>
      </c>
      <c r="L9" s="374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20.25" customHeight="1" x14ac:dyDescent="0.25">
      <c r="A12" s="294">
        <v>2</v>
      </c>
      <c r="B12" s="333" t="s">
        <v>1490</v>
      </c>
      <c r="C12" s="334"/>
      <c r="D12" s="335"/>
      <c r="E12" s="355"/>
      <c r="F12" s="336" t="s">
        <v>1578</v>
      </c>
      <c r="G12" s="333" t="s">
        <v>1579</v>
      </c>
      <c r="H12" s="333" t="s">
        <v>40</v>
      </c>
      <c r="I12" s="337">
        <v>57000</v>
      </c>
      <c r="J12" s="220" t="s">
        <v>152</v>
      </c>
      <c r="K12" s="100"/>
      <c r="L12" s="181" t="s">
        <v>41</v>
      </c>
    </row>
    <row r="13" spans="1:15" ht="18" customHeight="1" x14ac:dyDescent="0.25">
      <c r="A13" s="309">
        <v>2</v>
      </c>
      <c r="B13" s="333" t="s">
        <v>1580</v>
      </c>
      <c r="C13" s="334"/>
      <c r="D13" s="333" t="s">
        <v>305</v>
      </c>
      <c r="E13" s="333" t="s">
        <v>795</v>
      </c>
      <c r="F13" s="336"/>
      <c r="G13" s="333" t="s">
        <v>900</v>
      </c>
      <c r="H13" s="333" t="s">
        <v>1420</v>
      </c>
      <c r="I13" s="337">
        <v>30000</v>
      </c>
      <c r="J13" s="220" t="s">
        <v>152</v>
      </c>
      <c r="K13" s="100"/>
      <c r="L13" s="181" t="s">
        <v>41</v>
      </c>
    </row>
    <row r="14" spans="1:15" s="62" customFormat="1" ht="20.25" customHeight="1" x14ac:dyDescent="0.25">
      <c r="A14" s="294"/>
      <c r="B14" s="333"/>
      <c r="C14" s="334"/>
      <c r="D14" s="335"/>
      <c r="E14" s="333"/>
      <c r="F14" s="336"/>
      <c r="G14" s="333"/>
      <c r="H14" s="342"/>
      <c r="I14" s="343"/>
      <c r="J14" s="220" t="s">
        <v>152</v>
      </c>
      <c r="K14" s="100"/>
      <c r="L14" s="181" t="s">
        <v>41</v>
      </c>
      <c r="M14" s="166"/>
    </row>
    <row r="15" spans="1:15" s="62" customFormat="1" ht="16.5" customHeight="1" x14ac:dyDescent="0.25">
      <c r="A15" s="295"/>
      <c r="B15" s="338"/>
      <c r="C15" s="339"/>
      <c r="D15" s="340"/>
      <c r="E15" s="340"/>
      <c r="F15" s="341"/>
      <c r="G15" s="340"/>
      <c r="H15" s="342"/>
      <c r="I15" s="344"/>
      <c r="J15" s="220" t="s">
        <v>152</v>
      </c>
      <c r="K15" s="100"/>
      <c r="L15" s="181" t="s">
        <v>41</v>
      </c>
      <c r="M15" s="166"/>
      <c r="O15" s="98"/>
    </row>
    <row r="16" spans="1:15" s="62" customFormat="1" ht="17.25" customHeight="1" x14ac:dyDescent="0.25">
      <c r="A16" s="295"/>
      <c r="B16" s="333"/>
      <c r="C16" s="339"/>
      <c r="D16" s="340"/>
      <c r="E16" s="340"/>
      <c r="F16" s="341"/>
      <c r="G16" s="340"/>
      <c r="H16" s="345"/>
      <c r="I16" s="344"/>
      <c r="J16" s="220" t="s">
        <v>152</v>
      </c>
      <c r="K16" s="100" t="s">
        <v>901</v>
      </c>
      <c r="L16" s="181" t="s">
        <v>41</v>
      </c>
      <c r="O16" s="98"/>
    </row>
    <row r="17" spans="1:15" s="62" customFormat="1" ht="18" customHeight="1" x14ac:dyDescent="0.25">
      <c r="A17" s="295"/>
      <c r="B17" s="338"/>
      <c r="C17" s="339"/>
      <c r="D17" s="340"/>
      <c r="E17" s="340"/>
      <c r="F17" s="341"/>
      <c r="G17" s="340"/>
      <c r="H17" s="345"/>
      <c r="I17" s="344"/>
      <c r="J17" s="220" t="s">
        <v>152</v>
      </c>
      <c r="K17" s="100"/>
      <c r="L17" s="181" t="s">
        <v>41</v>
      </c>
      <c r="O17" s="98"/>
    </row>
    <row r="18" spans="1:15" s="62" customFormat="1" ht="18" customHeight="1" x14ac:dyDescent="0.25">
      <c r="A18" s="295"/>
      <c r="B18" s="338"/>
      <c r="C18" s="339"/>
      <c r="D18" s="340"/>
      <c r="E18" s="340"/>
      <c r="F18" s="341"/>
      <c r="G18" s="340"/>
      <c r="H18" s="345"/>
      <c r="I18" s="344"/>
      <c r="J18" s="220" t="s">
        <v>152</v>
      </c>
      <c r="K18" s="100"/>
      <c r="L18" s="181" t="s">
        <v>41</v>
      </c>
      <c r="O18" s="98"/>
    </row>
    <row r="19" spans="1:15" s="62" customFormat="1" ht="18" customHeight="1" x14ac:dyDescent="0.25">
      <c r="A19" s="295"/>
      <c r="B19" s="338"/>
      <c r="C19" s="339"/>
      <c r="D19" s="340"/>
      <c r="E19" s="340"/>
      <c r="F19" s="341"/>
      <c r="G19" s="340"/>
      <c r="H19" s="345"/>
      <c r="I19" s="344"/>
      <c r="J19" s="220" t="s">
        <v>152</v>
      </c>
      <c r="K19" s="100"/>
      <c r="L19" s="181" t="s">
        <v>41</v>
      </c>
      <c r="O19" s="98"/>
    </row>
    <row r="20" spans="1:15" s="62" customFormat="1" ht="18" customHeight="1" x14ac:dyDescent="0.25">
      <c r="A20" s="295"/>
      <c r="B20" s="338"/>
      <c r="C20" s="339"/>
      <c r="D20" s="340"/>
      <c r="E20" s="340"/>
      <c r="F20" s="341"/>
      <c r="G20" s="340"/>
      <c r="H20" s="345"/>
      <c r="I20" s="344"/>
      <c r="J20" s="220" t="s">
        <v>152</v>
      </c>
      <c r="K20" s="100"/>
      <c r="L20" s="181" t="s">
        <v>41</v>
      </c>
      <c r="O20" s="98"/>
    </row>
    <row r="21" spans="1:15" s="62" customFormat="1" ht="18" customHeight="1" x14ac:dyDescent="0.25">
      <c r="A21" s="295"/>
      <c r="B21" s="338"/>
      <c r="C21" s="339"/>
      <c r="D21" s="340"/>
      <c r="E21" s="340"/>
      <c r="F21" s="341"/>
      <c r="G21" s="340"/>
      <c r="H21" s="345"/>
      <c r="I21" s="344"/>
      <c r="J21" s="220" t="s">
        <v>152</v>
      </c>
      <c r="K21" s="100"/>
      <c r="L21" s="181" t="s">
        <v>41</v>
      </c>
      <c r="O21" s="98"/>
    </row>
    <row r="22" spans="1:15" s="62" customFormat="1" ht="18" customHeight="1" x14ac:dyDescent="0.25">
      <c r="A22" s="295"/>
      <c r="B22" s="277"/>
      <c r="C22" s="216"/>
      <c r="D22" s="181"/>
      <c r="E22" s="181"/>
      <c r="F22" s="217"/>
      <c r="G22" s="181"/>
      <c r="H22" s="242"/>
      <c r="I22" s="221"/>
      <c r="J22" s="220" t="s">
        <v>152</v>
      </c>
      <c r="K22" s="100"/>
      <c r="L22" s="181" t="s">
        <v>41</v>
      </c>
      <c r="O22" s="98"/>
    </row>
    <row r="23" spans="1:15" s="62" customFormat="1" ht="18" customHeight="1" x14ac:dyDescent="0.25">
      <c r="A23" s="215"/>
      <c r="B23" s="277"/>
      <c r="C23" s="216"/>
      <c r="D23" s="181"/>
      <c r="E23" s="181"/>
      <c r="F23" s="217"/>
      <c r="G23" s="181"/>
      <c r="H23" s="242"/>
      <c r="I23" s="221"/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15"/>
      <c r="B24" s="277"/>
      <c r="C24" s="216"/>
      <c r="D24" s="181"/>
      <c r="E24" s="181"/>
      <c r="F24" s="217"/>
      <c r="G24" s="181"/>
      <c r="H24" s="242"/>
      <c r="I24" s="221"/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240"/>
      <c r="B25" s="207"/>
      <c r="C25" s="100"/>
      <c r="D25" s="100"/>
      <c r="E25" s="100"/>
      <c r="F25" s="241"/>
      <c r="G25" s="218"/>
      <c r="H25" s="242"/>
      <c r="I25" s="221"/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240"/>
      <c r="B26" s="207"/>
      <c r="C26" s="100"/>
      <c r="D26" s="100"/>
      <c r="E26" s="100"/>
      <c r="F26" s="241"/>
      <c r="G26" s="100"/>
      <c r="H26" s="242"/>
      <c r="I26" s="221"/>
      <c r="J26" s="220" t="s">
        <v>152</v>
      </c>
      <c r="K26" s="100"/>
      <c r="L26" s="181" t="s">
        <v>41</v>
      </c>
      <c r="O26" s="98"/>
    </row>
    <row r="27" spans="1:15" s="62" customFormat="1" x14ac:dyDescent="0.25">
      <c r="A27" s="240"/>
      <c r="B27" s="100"/>
      <c r="C27" s="216"/>
      <c r="D27" s="100"/>
      <c r="E27" s="100"/>
      <c r="F27" s="241"/>
      <c r="G27" s="100"/>
      <c r="H27" s="140"/>
      <c r="I27" s="221"/>
      <c r="J27" s="216"/>
      <c r="K27" s="100"/>
      <c r="L27" s="100"/>
      <c r="O27" s="98"/>
    </row>
    <row r="28" spans="1:15" x14ac:dyDescent="0.25">
      <c r="I28" s="28"/>
      <c r="J28" s="28"/>
    </row>
    <row r="29" spans="1:15" x14ac:dyDescent="0.25">
      <c r="I29" s="63" t="s">
        <v>19</v>
      </c>
      <c r="J29" s="28"/>
      <c r="K29" s="326"/>
      <c r="L29" s="30"/>
    </row>
    <row r="30" spans="1:15" x14ac:dyDescent="0.25">
      <c r="I30" s="28" t="s">
        <v>109</v>
      </c>
      <c r="J30" s="28"/>
      <c r="K30" s="357"/>
      <c r="L30" s="276"/>
    </row>
    <row r="31" spans="1:15" x14ac:dyDescent="0.25">
      <c r="B31" t="s">
        <v>20</v>
      </c>
      <c r="E31" t="s">
        <v>21</v>
      </c>
      <c r="I31" s="28" t="s">
        <v>110</v>
      </c>
      <c r="J31" s="132"/>
      <c r="K31" s="328"/>
      <c r="L31" s="69"/>
    </row>
    <row r="32" spans="1:15" x14ac:dyDescent="0.25">
      <c r="I32" s="28" t="s">
        <v>149</v>
      </c>
      <c r="J32" s="132">
        <v>57000</v>
      </c>
      <c r="L32" s="287"/>
    </row>
    <row r="33" spans="2:12" x14ac:dyDescent="0.25">
      <c r="I33" s="28" t="s">
        <v>601</v>
      </c>
      <c r="J33" s="132"/>
      <c r="K33" s="274"/>
      <c r="L33" s="69"/>
    </row>
    <row r="34" spans="2:12" x14ac:dyDescent="0.25">
      <c r="I34" s="28" t="s">
        <v>111</v>
      </c>
      <c r="J34" s="132">
        <v>30000</v>
      </c>
      <c r="K34" s="274"/>
      <c r="L34" s="287"/>
    </row>
    <row r="35" spans="2:12" x14ac:dyDescent="0.25">
      <c r="B35" s="29"/>
      <c r="E35" s="251"/>
      <c r="F35" s="251"/>
      <c r="G35" s="251"/>
      <c r="H35" s="251"/>
      <c r="I35" s="28" t="s">
        <v>113</v>
      </c>
      <c r="J35" s="132"/>
      <c r="L35" s="69"/>
    </row>
    <row r="36" spans="2:12" x14ac:dyDescent="0.25">
      <c r="B36" s="267" t="s">
        <v>1577</v>
      </c>
      <c r="C36" s="267"/>
      <c r="D36" s="267"/>
      <c r="E36" s="268" t="s">
        <v>157</v>
      </c>
      <c r="F36" s="252"/>
      <c r="G36" s="252"/>
      <c r="H36" s="252"/>
      <c r="I36" s="28" t="s">
        <v>114</v>
      </c>
      <c r="J36" s="130"/>
      <c r="L36" s="69"/>
    </row>
    <row r="37" spans="2:12" x14ac:dyDescent="0.25">
      <c r="B37" t="s">
        <v>1576</v>
      </c>
      <c r="E37" t="s">
        <v>158</v>
      </c>
      <c r="I37" s="28" t="s">
        <v>22</v>
      </c>
      <c r="J37" s="131"/>
    </row>
    <row r="38" spans="2:12" x14ac:dyDescent="0.25">
      <c r="I38" s="3" t="s">
        <v>115</v>
      </c>
      <c r="J38" s="132"/>
      <c r="L38" s="30"/>
    </row>
    <row r="39" spans="2:12" x14ac:dyDescent="0.25">
      <c r="I39" s="3" t="s">
        <v>87</v>
      </c>
      <c r="J39" s="132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C852-178E-446E-B5CF-BCBFD551A154}">
  <sheetPr>
    <tabColor theme="5"/>
  </sheetPr>
  <dimension ref="A1:U270"/>
  <sheetViews>
    <sheetView view="pageBreakPreview" topLeftCell="B1" zoomScale="106" zoomScaleNormal="100" zoomScaleSheetLayoutView="106" workbookViewId="0">
      <selection activeCell="H16" sqref="H16"/>
    </sheetView>
  </sheetViews>
  <sheetFormatPr defaultRowHeight="15" x14ac:dyDescent="0.25"/>
  <cols>
    <col min="1" max="1" width="4.7109375" style="375" customWidth="1"/>
    <col min="2" max="2" width="15" style="375" customWidth="1"/>
    <col min="3" max="3" width="18" style="62" customWidth="1"/>
    <col min="4" max="4" width="7.28515625" style="62" customWidth="1"/>
    <col min="5" max="5" width="17.7109375" style="62" customWidth="1"/>
    <col min="6" max="6" width="14.5703125" style="62" customWidth="1"/>
    <col min="7" max="7" width="14.28515625" style="62" customWidth="1"/>
    <col min="8" max="8" width="14" style="62" customWidth="1"/>
    <col min="9" max="9" width="16.42578125" style="62" customWidth="1"/>
    <col min="10" max="10" width="16.85546875" style="122" customWidth="1"/>
    <col min="11" max="11" width="9.5703125" style="62" customWidth="1"/>
    <col min="12" max="12" width="17.85546875" style="62" customWidth="1"/>
    <col min="16" max="16" width="4.5703125" customWidth="1"/>
    <col min="17" max="17" width="14.28515625" customWidth="1"/>
    <col min="18" max="18" width="12.42578125" customWidth="1"/>
  </cols>
  <sheetData>
    <row r="1" spans="1:21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</row>
    <row r="2" spans="1:21" ht="18" x14ac:dyDescent="0.25">
      <c r="A2" s="620" t="s">
        <v>1559</v>
      </c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21" x14ac:dyDescent="0.25">
      <c r="C3" s="102"/>
      <c r="D3" s="78"/>
      <c r="E3" s="102"/>
      <c r="F3" s="102"/>
      <c r="H3" s="78"/>
      <c r="I3" s="83"/>
      <c r="J3" s="103"/>
      <c r="K3" s="104" t="s">
        <v>1717</v>
      </c>
      <c r="L3" s="105"/>
    </row>
    <row r="4" spans="1:21" x14ac:dyDescent="0.25">
      <c r="C4" s="102"/>
      <c r="D4" s="78"/>
      <c r="E4" s="102"/>
      <c r="F4" s="102"/>
      <c r="H4" s="78"/>
      <c r="I4" s="83"/>
      <c r="J4" s="106"/>
      <c r="K4" s="95" t="s">
        <v>89</v>
      </c>
      <c r="L4" s="126">
        <v>46</v>
      </c>
    </row>
    <row r="5" spans="1:21" x14ac:dyDescent="0.25">
      <c r="C5" s="102"/>
      <c r="D5" s="78"/>
      <c r="E5" s="102"/>
      <c r="F5" s="107"/>
      <c r="H5" s="78"/>
      <c r="I5" s="83"/>
      <c r="J5" s="106"/>
      <c r="K5" s="95" t="s">
        <v>91</v>
      </c>
      <c r="L5" s="126">
        <v>13</v>
      </c>
      <c r="Q5" s="30">
        <f>SUM(I12:I83)</f>
        <v>107265</v>
      </c>
      <c r="R5" s="30">
        <f>SUM(I12:I15,I17:I18,I20:I21,I23:I26,I30,I31:I32,I34:I35,I37:I38,I40:I43,I46,I48,I51,I55,I57,I61,I63,I64,I71,I73:I76,I78,I81:I83)</f>
        <v>82550</v>
      </c>
    </row>
    <row r="6" spans="1:21" x14ac:dyDescent="0.25">
      <c r="A6" s="622" t="s">
        <v>117</v>
      </c>
      <c r="B6" s="622"/>
      <c r="C6" s="622"/>
      <c r="D6" s="79"/>
      <c r="E6" s="107"/>
      <c r="F6" s="108"/>
      <c r="G6" s="60"/>
      <c r="H6" s="79"/>
      <c r="I6" s="84"/>
      <c r="J6" s="103"/>
      <c r="K6" s="101" t="s">
        <v>1560</v>
      </c>
      <c r="L6" s="109"/>
      <c r="R6" s="30">
        <f>SUM(I19,I27:I29,I33,I36,I39,I44:I45,I47,I53:I54,I56,I58:I60,I62,I66:I69,I72,I77,I79:I80)</f>
        <v>23200</v>
      </c>
    </row>
    <row r="7" spans="1:21" x14ac:dyDescent="0.25">
      <c r="A7" s="110"/>
      <c r="B7" s="347"/>
      <c r="C7" s="111"/>
      <c r="D7" s="80"/>
      <c r="E7" s="169"/>
      <c r="F7" s="169"/>
      <c r="G7" s="613" t="s">
        <v>1</v>
      </c>
      <c r="H7" s="623"/>
      <c r="I7" s="614"/>
      <c r="J7" s="112"/>
      <c r="K7" s="624" t="s">
        <v>2</v>
      </c>
      <c r="L7" s="625"/>
      <c r="Q7" s="30"/>
      <c r="R7" s="30">
        <f>SUM(I16,I22,I49,I52,I65,I70)</f>
        <v>1500</v>
      </c>
    </row>
    <row r="8" spans="1:21" x14ac:dyDescent="0.25">
      <c r="A8" s="629" t="s">
        <v>3</v>
      </c>
      <c r="B8" s="629"/>
      <c r="C8" s="630"/>
      <c r="D8" s="18" t="s">
        <v>4</v>
      </c>
      <c r="E8" s="376" t="s">
        <v>5</v>
      </c>
      <c r="F8" s="73" t="s">
        <v>6</v>
      </c>
      <c r="G8" s="11" t="s">
        <v>7</v>
      </c>
      <c r="H8" s="81"/>
      <c r="I8" s="12" t="s">
        <v>8</v>
      </c>
      <c r="J8" s="74" t="s">
        <v>9</v>
      </c>
      <c r="K8" s="96"/>
      <c r="L8" s="113"/>
      <c r="Q8" s="214"/>
    </row>
    <row r="9" spans="1:21" x14ac:dyDescent="0.25">
      <c r="A9" s="114"/>
      <c r="B9" s="348"/>
      <c r="C9" s="115"/>
      <c r="D9" s="81"/>
      <c r="E9" s="116"/>
      <c r="F9" s="115"/>
      <c r="G9" s="17" t="s">
        <v>10</v>
      </c>
      <c r="H9" s="18" t="s">
        <v>11</v>
      </c>
      <c r="I9" s="12" t="s">
        <v>12</v>
      </c>
      <c r="J9" s="117"/>
      <c r="K9" s="376" t="s">
        <v>13</v>
      </c>
      <c r="L9" s="376" t="s">
        <v>14</v>
      </c>
      <c r="Q9" s="214"/>
    </row>
    <row r="10" spans="1:21" x14ac:dyDescent="0.25">
      <c r="A10" s="118"/>
      <c r="B10" s="349"/>
      <c r="C10" s="119"/>
      <c r="D10" s="82"/>
      <c r="E10" s="170"/>
      <c r="F10" s="170"/>
      <c r="G10" s="22"/>
      <c r="H10" s="85"/>
      <c r="I10" s="86" t="s">
        <v>15</v>
      </c>
      <c r="J10" s="120"/>
      <c r="K10" s="22"/>
      <c r="L10" s="51" t="s">
        <v>16</v>
      </c>
      <c r="Q10" s="214"/>
    </row>
    <row r="11" spans="1:21" x14ac:dyDescent="0.25">
      <c r="A11" s="142" t="s">
        <v>17</v>
      </c>
      <c r="B11" s="142"/>
      <c r="C11" s="59"/>
      <c r="D11" s="59"/>
      <c r="E11" s="59"/>
      <c r="F11" s="59"/>
      <c r="G11" s="59"/>
      <c r="H11" s="59"/>
      <c r="I11" s="59"/>
      <c r="J11" s="75"/>
      <c r="K11" s="59"/>
      <c r="L11" s="59"/>
      <c r="Q11" s="272" t="s">
        <v>1650</v>
      </c>
      <c r="S11" t="s">
        <v>1652</v>
      </c>
      <c r="T11" t="s">
        <v>163</v>
      </c>
      <c r="U11" t="s">
        <v>309</v>
      </c>
    </row>
    <row r="12" spans="1:21" x14ac:dyDescent="0.25">
      <c r="A12" s="228">
        <v>2</v>
      </c>
      <c r="B12" s="351" t="s">
        <v>1561</v>
      </c>
      <c r="C12" s="230" t="s">
        <v>1562</v>
      </c>
      <c r="D12" s="230" t="s">
        <v>160</v>
      </c>
      <c r="E12" s="230" t="s">
        <v>973</v>
      </c>
      <c r="F12" s="230" t="s">
        <v>60</v>
      </c>
      <c r="G12" s="231" t="s">
        <v>1563</v>
      </c>
      <c r="H12" s="233" t="s">
        <v>40</v>
      </c>
      <c r="I12" s="232">
        <v>100</v>
      </c>
      <c r="J12" s="229">
        <v>30</v>
      </c>
      <c r="K12" s="224" t="s">
        <v>147</v>
      </c>
      <c r="L12" s="224" t="s">
        <v>41</v>
      </c>
      <c r="N12">
        <f>I12/5</f>
        <v>20</v>
      </c>
      <c r="P12" s="30"/>
      <c r="Q12" s="320" t="s">
        <v>138</v>
      </c>
      <c r="R12" s="27">
        <f>SUM(I12:I15,I17:I18,I20:I21,I23:I26,I30:I32,I34:I35,I37:I38,I40:I43,I46)</f>
        <v>52950</v>
      </c>
      <c r="S12" s="320">
        <v>17</v>
      </c>
      <c r="T12">
        <v>6</v>
      </c>
      <c r="U12" t="s">
        <v>1718</v>
      </c>
    </row>
    <row r="13" spans="1:21" x14ac:dyDescent="0.25">
      <c r="A13" s="228">
        <v>2</v>
      </c>
      <c r="B13" s="351" t="s">
        <v>1564</v>
      </c>
      <c r="C13" s="230" t="s">
        <v>1565</v>
      </c>
      <c r="D13" s="269" t="s">
        <v>163</v>
      </c>
      <c r="E13" s="230" t="s">
        <v>388</v>
      </c>
      <c r="F13" s="230" t="s">
        <v>54</v>
      </c>
      <c r="G13" s="231" t="s">
        <v>1566</v>
      </c>
      <c r="H13" s="233" t="s">
        <v>40</v>
      </c>
      <c r="I13" s="232">
        <v>1000</v>
      </c>
      <c r="J13" s="229">
        <v>300</v>
      </c>
      <c r="K13" s="224" t="s">
        <v>147</v>
      </c>
      <c r="L13" s="224" t="s">
        <v>41</v>
      </c>
      <c r="N13">
        <f t="shared" ref="N13:N83" si="0">I13/5</f>
        <v>200</v>
      </c>
      <c r="P13" s="30"/>
      <c r="Q13" s="321" t="s">
        <v>1651</v>
      </c>
      <c r="R13" s="27">
        <v>200</v>
      </c>
      <c r="S13" s="320">
        <v>2</v>
      </c>
      <c r="U13" t="s">
        <v>603</v>
      </c>
    </row>
    <row r="14" spans="1:21" x14ac:dyDescent="0.25">
      <c r="A14" s="228">
        <v>2</v>
      </c>
      <c r="B14" s="351" t="s">
        <v>1567</v>
      </c>
      <c r="C14" s="230" t="s">
        <v>1568</v>
      </c>
      <c r="D14" s="230" t="s">
        <v>160</v>
      </c>
      <c r="E14" s="230" t="s">
        <v>1569</v>
      </c>
      <c r="F14" s="230" t="s">
        <v>61</v>
      </c>
      <c r="G14" s="231" t="s">
        <v>1570</v>
      </c>
      <c r="H14" s="233" t="s">
        <v>40</v>
      </c>
      <c r="I14" s="232">
        <v>3000</v>
      </c>
      <c r="J14" s="229">
        <v>900</v>
      </c>
      <c r="K14" s="224" t="s">
        <v>147</v>
      </c>
      <c r="L14" s="224" t="s">
        <v>41</v>
      </c>
      <c r="N14">
        <f t="shared" si="0"/>
        <v>600</v>
      </c>
      <c r="P14" s="30"/>
      <c r="Q14" s="293" t="s">
        <v>465</v>
      </c>
      <c r="R14" s="322">
        <f>SUM(I19,I27:I29,I33,I36,I39,I44:I45,I47)</f>
        <v>9050</v>
      </c>
      <c r="S14" s="320">
        <v>5</v>
      </c>
      <c r="T14">
        <v>5</v>
      </c>
    </row>
    <row r="15" spans="1:21" x14ac:dyDescent="0.25">
      <c r="A15" s="228">
        <v>2</v>
      </c>
      <c r="B15" s="351" t="s">
        <v>1571</v>
      </c>
      <c r="C15" s="230" t="s">
        <v>1422</v>
      </c>
      <c r="D15" s="230" t="s">
        <v>160</v>
      </c>
      <c r="E15" s="230" t="s">
        <v>180</v>
      </c>
      <c r="F15" s="230" t="s">
        <v>49</v>
      </c>
      <c r="G15" s="231"/>
      <c r="H15" s="233" t="s">
        <v>40</v>
      </c>
      <c r="I15" s="232">
        <v>600</v>
      </c>
      <c r="J15" s="229">
        <v>180</v>
      </c>
      <c r="K15" s="224" t="s">
        <v>147</v>
      </c>
      <c r="L15" s="224" t="s">
        <v>41</v>
      </c>
      <c r="N15">
        <f t="shared" si="0"/>
        <v>120</v>
      </c>
      <c r="Q15" s="272" t="s">
        <v>1690</v>
      </c>
      <c r="R15" s="322"/>
      <c r="S15" s="320"/>
    </row>
    <row r="16" spans="1:21" x14ac:dyDescent="0.25">
      <c r="A16" s="228">
        <v>2</v>
      </c>
      <c r="B16" s="351" t="s">
        <v>1571</v>
      </c>
      <c r="C16" s="230" t="s">
        <v>1422</v>
      </c>
      <c r="D16" s="230" t="s">
        <v>160</v>
      </c>
      <c r="E16" s="230" t="s">
        <v>180</v>
      </c>
      <c r="F16" s="230" t="s">
        <v>49</v>
      </c>
      <c r="G16" s="231"/>
      <c r="H16" s="391" t="s">
        <v>1420</v>
      </c>
      <c r="I16" s="232">
        <v>100</v>
      </c>
      <c r="J16" s="229">
        <v>50</v>
      </c>
      <c r="K16" s="224" t="s">
        <v>147</v>
      </c>
      <c r="L16" s="224" t="s">
        <v>41</v>
      </c>
      <c r="N16">
        <f t="shared" si="0"/>
        <v>20</v>
      </c>
      <c r="Q16" s="293" t="s">
        <v>138</v>
      </c>
      <c r="R16" s="322">
        <f>SUM(I48,I51,I55,I57,I61,I63,I64)</f>
        <v>10600</v>
      </c>
      <c r="S16" s="60">
        <v>7</v>
      </c>
    </row>
    <row r="17" spans="1:20" x14ac:dyDescent="0.25">
      <c r="A17" s="228">
        <v>2</v>
      </c>
      <c r="B17" s="351" t="s">
        <v>1325</v>
      </c>
      <c r="C17" s="230" t="s">
        <v>1572</v>
      </c>
      <c r="D17" s="230" t="s">
        <v>160</v>
      </c>
      <c r="E17" s="230" t="s">
        <v>1327</v>
      </c>
      <c r="F17" s="230" t="s">
        <v>46</v>
      </c>
      <c r="G17" s="231" t="s">
        <v>1573</v>
      </c>
      <c r="H17" s="233" t="s">
        <v>40</v>
      </c>
      <c r="I17" s="232">
        <v>4000</v>
      </c>
      <c r="J17" s="229">
        <v>800</v>
      </c>
      <c r="K17" s="224" t="s">
        <v>147</v>
      </c>
      <c r="L17" s="224" t="s">
        <v>41</v>
      </c>
      <c r="N17">
        <f t="shared" si="0"/>
        <v>800</v>
      </c>
      <c r="P17" s="69"/>
      <c r="Q17" s="320" t="s">
        <v>1651</v>
      </c>
      <c r="R17" s="322">
        <f>SUM(I49,I65,I70,I52)</f>
        <v>1300</v>
      </c>
      <c r="S17" s="60">
        <v>3</v>
      </c>
    </row>
    <row r="18" spans="1:20" x14ac:dyDescent="0.25">
      <c r="A18" s="228">
        <v>2</v>
      </c>
      <c r="B18" s="351" t="s">
        <v>1574</v>
      </c>
      <c r="C18" s="230" t="s">
        <v>1575</v>
      </c>
      <c r="D18" s="230" t="s">
        <v>160</v>
      </c>
      <c r="E18" s="230" t="s">
        <v>415</v>
      </c>
      <c r="F18" s="230" t="s">
        <v>42</v>
      </c>
      <c r="G18" s="231"/>
      <c r="H18" s="233" t="s">
        <v>40</v>
      </c>
      <c r="I18" s="232">
        <v>200</v>
      </c>
      <c r="J18" s="229">
        <v>40</v>
      </c>
      <c r="K18" s="224" t="s">
        <v>147</v>
      </c>
      <c r="L18" s="224" t="s">
        <v>41</v>
      </c>
      <c r="N18">
        <f t="shared" si="0"/>
        <v>40</v>
      </c>
      <c r="Q18" s="293" t="s">
        <v>465</v>
      </c>
      <c r="R18" s="27">
        <f>SUM(I53:I54,I56,I58:I60,I62,I66:I69)</f>
        <v>10450</v>
      </c>
      <c r="S18" s="60">
        <v>10</v>
      </c>
      <c r="T18">
        <v>1</v>
      </c>
    </row>
    <row r="19" spans="1:20" x14ac:dyDescent="0.25">
      <c r="A19" s="228">
        <v>6</v>
      </c>
      <c r="B19" s="351" t="s">
        <v>1581</v>
      </c>
      <c r="C19" s="230" t="s">
        <v>1582</v>
      </c>
      <c r="D19" s="230" t="s">
        <v>160</v>
      </c>
      <c r="E19" s="230" t="s">
        <v>1583</v>
      </c>
      <c r="F19" s="230" t="s">
        <v>67</v>
      </c>
      <c r="G19" s="231"/>
      <c r="H19" s="346" t="s">
        <v>465</v>
      </c>
      <c r="I19" s="232">
        <v>100</v>
      </c>
      <c r="J19" s="229">
        <v>100</v>
      </c>
      <c r="K19" s="224" t="s">
        <v>147</v>
      </c>
      <c r="L19" s="224" t="s">
        <v>41</v>
      </c>
      <c r="N19">
        <f t="shared" si="0"/>
        <v>20</v>
      </c>
      <c r="P19" s="30"/>
      <c r="Q19" s="293" t="s">
        <v>1656</v>
      </c>
      <c r="R19" s="322">
        <v>15</v>
      </c>
      <c r="S19" s="60">
        <v>1</v>
      </c>
    </row>
    <row r="20" spans="1:20" s="62" customFormat="1" x14ac:dyDescent="0.25">
      <c r="A20" s="228">
        <v>6</v>
      </c>
      <c r="B20" s="351" t="s">
        <v>1293</v>
      </c>
      <c r="C20" s="230" t="s">
        <v>1584</v>
      </c>
      <c r="D20" s="269" t="s">
        <v>163</v>
      </c>
      <c r="E20" s="230" t="s">
        <v>1585</v>
      </c>
      <c r="F20" s="230" t="s">
        <v>42</v>
      </c>
      <c r="G20" s="231" t="s">
        <v>1586</v>
      </c>
      <c r="H20" s="233" t="s">
        <v>40</v>
      </c>
      <c r="I20" s="232">
        <v>300</v>
      </c>
      <c r="J20" s="229">
        <v>60</v>
      </c>
      <c r="K20" s="224" t="s">
        <v>147</v>
      </c>
      <c r="L20" s="224" t="s">
        <v>41</v>
      </c>
      <c r="N20" s="62">
        <f t="shared" si="0"/>
        <v>60</v>
      </c>
      <c r="Q20" s="272" t="s">
        <v>1716</v>
      </c>
      <c r="R20" s="98"/>
      <c r="S20" s="60"/>
    </row>
    <row r="21" spans="1:20" x14ac:dyDescent="0.25">
      <c r="A21" s="228">
        <v>6</v>
      </c>
      <c r="B21" s="351" t="s">
        <v>1587</v>
      </c>
      <c r="C21" s="230" t="s">
        <v>1588</v>
      </c>
      <c r="D21" s="230" t="s">
        <v>160</v>
      </c>
      <c r="E21" s="230" t="s">
        <v>191</v>
      </c>
      <c r="F21" s="230" t="s">
        <v>43</v>
      </c>
      <c r="G21" s="231" t="s">
        <v>1589</v>
      </c>
      <c r="H21" s="233" t="s">
        <v>40</v>
      </c>
      <c r="I21" s="232">
        <v>1000</v>
      </c>
      <c r="J21" s="229">
        <v>200</v>
      </c>
      <c r="K21" s="224" t="s">
        <v>147</v>
      </c>
      <c r="L21" s="224" t="s">
        <v>41</v>
      </c>
      <c r="N21">
        <f t="shared" si="0"/>
        <v>200</v>
      </c>
      <c r="Q21" s="293" t="s">
        <v>138</v>
      </c>
      <c r="R21" s="30">
        <f>SUM(I71,I73:I76,I78,I81,I82:I83)</f>
        <v>19000</v>
      </c>
      <c r="S21" s="60">
        <v>8</v>
      </c>
      <c r="T21">
        <v>1</v>
      </c>
    </row>
    <row r="22" spans="1:20" x14ac:dyDescent="0.25">
      <c r="A22" s="228">
        <v>6</v>
      </c>
      <c r="B22" s="351" t="s">
        <v>1587</v>
      </c>
      <c r="C22" s="230" t="s">
        <v>1588</v>
      </c>
      <c r="D22" s="230" t="s">
        <v>160</v>
      </c>
      <c r="E22" s="230" t="s">
        <v>191</v>
      </c>
      <c r="F22" s="230" t="s">
        <v>43</v>
      </c>
      <c r="G22" s="231" t="s">
        <v>1589</v>
      </c>
      <c r="H22" s="391" t="s">
        <v>1420</v>
      </c>
      <c r="I22" s="232">
        <v>100</v>
      </c>
      <c r="J22" s="229">
        <v>50</v>
      </c>
      <c r="K22" s="224" t="s">
        <v>147</v>
      </c>
      <c r="L22" s="224" t="s">
        <v>41</v>
      </c>
      <c r="N22">
        <f t="shared" si="0"/>
        <v>20</v>
      </c>
      <c r="Q22" s="394" t="s">
        <v>465</v>
      </c>
      <c r="R22" s="30">
        <f>SUM(I72,I77,I79:I80)</f>
        <v>3700</v>
      </c>
      <c r="S22" s="60">
        <v>2</v>
      </c>
      <c r="T22">
        <v>2</v>
      </c>
    </row>
    <row r="23" spans="1:20" x14ac:dyDescent="0.25">
      <c r="A23" s="228">
        <v>6</v>
      </c>
      <c r="B23" s="351" t="s">
        <v>1590</v>
      </c>
      <c r="C23" s="230" t="s">
        <v>1591</v>
      </c>
      <c r="D23" s="230" t="s">
        <v>160</v>
      </c>
      <c r="E23" s="230" t="s">
        <v>1592</v>
      </c>
      <c r="F23" s="230" t="s">
        <v>49</v>
      </c>
      <c r="G23" s="231"/>
      <c r="H23" s="233" t="s">
        <v>40</v>
      </c>
      <c r="I23" s="232">
        <v>150</v>
      </c>
      <c r="J23" s="229">
        <v>30</v>
      </c>
      <c r="K23" s="224" t="s">
        <v>147</v>
      </c>
      <c r="L23" s="224" t="s">
        <v>41</v>
      </c>
      <c r="N23">
        <f t="shared" si="0"/>
        <v>30</v>
      </c>
    </row>
    <row r="24" spans="1:20" x14ac:dyDescent="0.25">
      <c r="A24" s="228">
        <v>6</v>
      </c>
      <c r="B24" s="351" t="s">
        <v>1593</v>
      </c>
      <c r="C24" s="230" t="s">
        <v>1594</v>
      </c>
      <c r="D24" s="230" t="s">
        <v>160</v>
      </c>
      <c r="E24" s="230" t="s">
        <v>1595</v>
      </c>
      <c r="F24" s="230" t="s">
        <v>56</v>
      </c>
      <c r="G24" s="231" t="s">
        <v>1596</v>
      </c>
      <c r="H24" s="233" t="s">
        <v>40</v>
      </c>
      <c r="I24" s="232">
        <v>200</v>
      </c>
      <c r="J24" s="229">
        <v>60</v>
      </c>
      <c r="K24" s="224" t="s">
        <v>147</v>
      </c>
      <c r="L24" s="224" t="s">
        <v>41</v>
      </c>
      <c r="N24">
        <f t="shared" si="0"/>
        <v>40</v>
      </c>
      <c r="Q24" s="30"/>
    </row>
    <row r="25" spans="1:20" x14ac:dyDescent="0.25">
      <c r="A25" s="228">
        <v>7</v>
      </c>
      <c r="B25" s="351" t="s">
        <v>1597</v>
      </c>
      <c r="C25" s="230" t="s">
        <v>1426</v>
      </c>
      <c r="D25" s="269" t="s">
        <v>163</v>
      </c>
      <c r="E25" s="230" t="s">
        <v>867</v>
      </c>
      <c r="F25" s="230" t="s">
        <v>69</v>
      </c>
      <c r="G25" s="231" t="s">
        <v>1598</v>
      </c>
      <c r="H25" s="233" t="s">
        <v>40</v>
      </c>
      <c r="I25" s="232">
        <v>500</v>
      </c>
      <c r="J25" s="229" t="s">
        <v>152</v>
      </c>
      <c r="K25" s="224" t="s">
        <v>147</v>
      </c>
      <c r="L25" s="224" t="s">
        <v>41</v>
      </c>
      <c r="N25">
        <f t="shared" si="0"/>
        <v>100</v>
      </c>
      <c r="Q25" s="30"/>
    </row>
    <row r="26" spans="1:20" x14ac:dyDescent="0.25">
      <c r="A26" s="228">
        <v>13</v>
      </c>
      <c r="B26" s="351" t="s">
        <v>1599</v>
      </c>
      <c r="C26" s="230" t="s">
        <v>1600</v>
      </c>
      <c r="D26" s="230" t="s">
        <v>160</v>
      </c>
      <c r="E26" s="230" t="s">
        <v>1180</v>
      </c>
      <c r="F26" s="230" t="s">
        <v>42</v>
      </c>
      <c r="G26" s="231" t="s">
        <v>1601</v>
      </c>
      <c r="H26" s="233" t="s">
        <v>40</v>
      </c>
      <c r="I26" s="232">
        <v>6500</v>
      </c>
      <c r="J26" s="229">
        <v>1300</v>
      </c>
      <c r="K26" s="224" t="s">
        <v>147</v>
      </c>
      <c r="L26" s="224" t="s">
        <v>41</v>
      </c>
      <c r="N26">
        <f t="shared" si="0"/>
        <v>1300</v>
      </c>
      <c r="Q26" s="30"/>
      <c r="R26" s="30"/>
    </row>
    <row r="27" spans="1:20" x14ac:dyDescent="0.25">
      <c r="A27" s="228">
        <v>13</v>
      </c>
      <c r="B27" s="351" t="s">
        <v>1597</v>
      </c>
      <c r="C27" s="230" t="s">
        <v>1426</v>
      </c>
      <c r="D27" s="269" t="s">
        <v>163</v>
      </c>
      <c r="E27" s="230" t="s">
        <v>867</v>
      </c>
      <c r="F27" s="230" t="s">
        <v>69</v>
      </c>
      <c r="G27" s="231" t="s">
        <v>1598</v>
      </c>
      <c r="H27" s="346" t="s">
        <v>465</v>
      </c>
      <c r="I27" s="232">
        <v>500</v>
      </c>
      <c r="J27" s="229">
        <v>500</v>
      </c>
      <c r="K27" s="224" t="s">
        <v>147</v>
      </c>
      <c r="L27" s="224" t="s">
        <v>41</v>
      </c>
      <c r="N27">
        <f t="shared" si="0"/>
        <v>100</v>
      </c>
      <c r="R27" s="69"/>
    </row>
    <row r="28" spans="1:20" x14ac:dyDescent="0.25">
      <c r="A28" s="228">
        <v>13</v>
      </c>
      <c r="B28" s="351" t="s">
        <v>1602</v>
      </c>
      <c r="C28" s="230" t="s">
        <v>1603</v>
      </c>
      <c r="D28" s="269" t="s">
        <v>163</v>
      </c>
      <c r="E28" s="230" t="s">
        <v>211</v>
      </c>
      <c r="F28" s="230" t="s">
        <v>47</v>
      </c>
      <c r="G28" s="231" t="s">
        <v>1604</v>
      </c>
      <c r="H28" s="346" t="s">
        <v>465</v>
      </c>
      <c r="I28" s="232">
        <v>200</v>
      </c>
      <c r="J28" s="229">
        <v>200</v>
      </c>
      <c r="K28" s="224" t="s">
        <v>147</v>
      </c>
      <c r="L28" s="224" t="s">
        <v>41</v>
      </c>
      <c r="N28">
        <f t="shared" si="0"/>
        <v>40</v>
      </c>
      <c r="Q28" s="30"/>
    </row>
    <row r="29" spans="1:20" x14ac:dyDescent="0.25">
      <c r="A29" s="228">
        <v>13</v>
      </c>
      <c r="B29" s="351" t="s">
        <v>1605</v>
      </c>
      <c r="C29" s="230" t="s">
        <v>1606</v>
      </c>
      <c r="D29" s="230" t="s">
        <v>160</v>
      </c>
      <c r="E29" s="230" t="s">
        <v>1089</v>
      </c>
      <c r="F29" s="230" t="s">
        <v>61</v>
      </c>
      <c r="G29" s="231" t="s">
        <v>1607</v>
      </c>
      <c r="H29" s="346" t="s">
        <v>465</v>
      </c>
      <c r="I29" s="232">
        <v>500</v>
      </c>
      <c r="J29" s="229">
        <v>500</v>
      </c>
      <c r="K29" s="224" t="s">
        <v>147</v>
      </c>
      <c r="L29" s="224" t="s">
        <v>41</v>
      </c>
      <c r="N29">
        <f t="shared" si="0"/>
        <v>100</v>
      </c>
    </row>
    <row r="30" spans="1:20" x14ac:dyDescent="0.25">
      <c r="A30" s="228">
        <v>13</v>
      </c>
      <c r="B30" s="351" t="s">
        <v>1608</v>
      </c>
      <c r="C30" s="230" t="s">
        <v>1609</v>
      </c>
      <c r="D30" s="230" t="s">
        <v>160</v>
      </c>
      <c r="E30" s="230" t="s">
        <v>1316</v>
      </c>
      <c r="F30" s="230" t="s">
        <v>60</v>
      </c>
      <c r="G30" s="231" t="s">
        <v>1610</v>
      </c>
      <c r="H30" s="233" t="s">
        <v>40</v>
      </c>
      <c r="I30" s="232">
        <v>1000</v>
      </c>
      <c r="J30" s="229">
        <v>200</v>
      </c>
      <c r="K30" s="224" t="s">
        <v>147</v>
      </c>
      <c r="L30" s="224" t="s">
        <v>41</v>
      </c>
      <c r="N30">
        <f t="shared" si="0"/>
        <v>200</v>
      </c>
    </row>
    <row r="31" spans="1:20" x14ac:dyDescent="0.25">
      <c r="A31" s="228">
        <v>13</v>
      </c>
      <c r="B31" s="351" t="s">
        <v>1611</v>
      </c>
      <c r="C31" s="230" t="s">
        <v>1612</v>
      </c>
      <c r="D31" s="230" t="s">
        <v>160</v>
      </c>
      <c r="E31" s="230" t="s">
        <v>60</v>
      </c>
      <c r="F31" s="230" t="s">
        <v>84</v>
      </c>
      <c r="G31" s="231" t="s">
        <v>1613</v>
      </c>
      <c r="H31" s="392" t="s">
        <v>377</v>
      </c>
      <c r="I31" s="232">
        <v>3000</v>
      </c>
      <c r="J31" s="229">
        <v>600</v>
      </c>
      <c r="K31" s="224" t="s">
        <v>147</v>
      </c>
      <c r="L31" s="224" t="s">
        <v>41</v>
      </c>
      <c r="N31">
        <f t="shared" si="0"/>
        <v>600</v>
      </c>
    </row>
    <row r="32" spans="1:20" x14ac:dyDescent="0.25">
      <c r="A32" s="228">
        <v>13</v>
      </c>
      <c r="B32" s="351" t="s">
        <v>1614</v>
      </c>
      <c r="C32" s="230" t="s">
        <v>1615</v>
      </c>
      <c r="D32" s="269" t="s">
        <v>163</v>
      </c>
      <c r="E32" s="230" t="s">
        <v>814</v>
      </c>
      <c r="F32" s="230" t="s">
        <v>53</v>
      </c>
      <c r="G32" s="231" t="s">
        <v>1616</v>
      </c>
      <c r="H32" s="233" t="s">
        <v>40</v>
      </c>
      <c r="I32" s="232">
        <v>1000</v>
      </c>
      <c r="J32" s="229">
        <v>200</v>
      </c>
      <c r="K32" s="224" t="s">
        <v>147</v>
      </c>
      <c r="L32" s="224" t="s">
        <v>41</v>
      </c>
      <c r="N32">
        <f t="shared" si="0"/>
        <v>200</v>
      </c>
    </row>
    <row r="33" spans="1:18" x14ac:dyDescent="0.25">
      <c r="A33" s="228">
        <v>13</v>
      </c>
      <c r="B33" s="351" t="s">
        <v>1614</v>
      </c>
      <c r="C33" s="230" t="s">
        <v>1615</v>
      </c>
      <c r="D33" s="269" t="s">
        <v>163</v>
      </c>
      <c r="E33" s="230" t="s">
        <v>814</v>
      </c>
      <c r="F33" s="230" t="s">
        <v>53</v>
      </c>
      <c r="G33" s="231" t="s">
        <v>1616</v>
      </c>
      <c r="H33" s="346" t="s">
        <v>465</v>
      </c>
      <c r="I33" s="232">
        <v>150</v>
      </c>
      <c r="J33" s="229">
        <v>150</v>
      </c>
      <c r="K33" s="224" t="s">
        <v>147</v>
      </c>
      <c r="L33" s="224" t="s">
        <v>41</v>
      </c>
      <c r="N33">
        <f t="shared" si="0"/>
        <v>30</v>
      </c>
    </row>
    <row r="34" spans="1:18" x14ac:dyDescent="0.25">
      <c r="A34" s="228">
        <v>13</v>
      </c>
      <c r="B34" s="351" t="s">
        <v>1617</v>
      </c>
      <c r="C34" s="230" t="s">
        <v>1618</v>
      </c>
      <c r="D34" s="230" t="s">
        <v>160</v>
      </c>
      <c r="E34" s="230" t="s">
        <v>1619</v>
      </c>
      <c r="F34" s="230" t="s">
        <v>57</v>
      </c>
      <c r="G34" s="231" t="s">
        <v>1620</v>
      </c>
      <c r="H34" s="233" t="s">
        <v>40</v>
      </c>
      <c r="I34" s="232">
        <v>500</v>
      </c>
      <c r="J34" s="229">
        <v>100</v>
      </c>
      <c r="K34" s="224" t="s">
        <v>147</v>
      </c>
      <c r="L34" s="224" t="s">
        <v>41</v>
      </c>
      <c r="N34">
        <f t="shared" si="0"/>
        <v>100</v>
      </c>
    </row>
    <row r="35" spans="1:18" x14ac:dyDescent="0.25">
      <c r="A35" s="228">
        <v>13</v>
      </c>
      <c r="B35" s="351" t="s">
        <v>1621</v>
      </c>
      <c r="C35" s="230" t="s">
        <v>1622</v>
      </c>
      <c r="D35" s="230" t="s">
        <v>160</v>
      </c>
      <c r="E35" s="230" t="s">
        <v>1623</v>
      </c>
      <c r="F35" s="230" t="s">
        <v>54</v>
      </c>
      <c r="G35" s="231"/>
      <c r="H35" s="233" t="s">
        <v>40</v>
      </c>
      <c r="I35" s="232">
        <v>500</v>
      </c>
      <c r="J35" s="229">
        <v>100</v>
      </c>
      <c r="K35" s="224" t="s">
        <v>147</v>
      </c>
      <c r="L35" s="224" t="s">
        <v>41</v>
      </c>
      <c r="N35">
        <f t="shared" si="0"/>
        <v>100</v>
      </c>
    </row>
    <row r="36" spans="1:18" x14ac:dyDescent="0.25">
      <c r="A36" s="228">
        <v>13</v>
      </c>
      <c r="B36" s="351" t="s">
        <v>1621</v>
      </c>
      <c r="C36" s="230" t="s">
        <v>1622</v>
      </c>
      <c r="D36" s="230" t="s">
        <v>160</v>
      </c>
      <c r="E36" s="230" t="s">
        <v>1623</v>
      </c>
      <c r="F36" s="230" t="s">
        <v>54</v>
      </c>
      <c r="G36" s="231"/>
      <c r="H36" s="346" t="s">
        <v>465</v>
      </c>
      <c r="I36" s="232">
        <v>100</v>
      </c>
      <c r="J36" s="229">
        <v>100</v>
      </c>
      <c r="K36" s="224" t="s">
        <v>147</v>
      </c>
      <c r="L36" s="224" t="s">
        <v>41</v>
      </c>
      <c r="N36">
        <f t="shared" si="0"/>
        <v>20</v>
      </c>
    </row>
    <row r="37" spans="1:18" x14ac:dyDescent="0.25">
      <c r="A37" s="228">
        <v>13</v>
      </c>
      <c r="B37" s="351" t="s">
        <v>1624</v>
      </c>
      <c r="C37" s="230" t="s">
        <v>1625</v>
      </c>
      <c r="D37" s="230" t="s">
        <v>160</v>
      </c>
      <c r="E37" s="230" t="s">
        <v>1626</v>
      </c>
      <c r="F37" s="230" t="s">
        <v>47</v>
      </c>
      <c r="G37" s="231" t="s">
        <v>1627</v>
      </c>
      <c r="H37" s="233" t="s">
        <v>40</v>
      </c>
      <c r="I37" s="232">
        <v>100</v>
      </c>
      <c r="J37" s="229">
        <v>30</v>
      </c>
      <c r="K37" s="224" t="s">
        <v>147</v>
      </c>
      <c r="L37" s="224" t="s">
        <v>41</v>
      </c>
      <c r="N37">
        <f t="shared" si="0"/>
        <v>20</v>
      </c>
    </row>
    <row r="38" spans="1:18" x14ac:dyDescent="0.25">
      <c r="A38" s="228">
        <v>13</v>
      </c>
      <c r="B38" s="351" t="s">
        <v>1628</v>
      </c>
      <c r="C38" s="230" t="s">
        <v>1629</v>
      </c>
      <c r="D38" s="269" t="s">
        <v>163</v>
      </c>
      <c r="E38" s="230" t="s">
        <v>1360</v>
      </c>
      <c r="F38" s="230" t="s">
        <v>83</v>
      </c>
      <c r="G38" s="231" t="s">
        <v>1630</v>
      </c>
      <c r="H38" s="233" t="s">
        <v>40</v>
      </c>
      <c r="I38" s="236">
        <v>10000</v>
      </c>
      <c r="J38" s="271">
        <v>2000</v>
      </c>
      <c r="K38" s="224" t="s">
        <v>147</v>
      </c>
      <c r="L38" s="224" t="s">
        <v>41</v>
      </c>
      <c r="N38">
        <f t="shared" si="0"/>
        <v>2000</v>
      </c>
    </row>
    <row r="39" spans="1:18" x14ac:dyDescent="0.25">
      <c r="A39" s="228">
        <v>13</v>
      </c>
      <c r="B39" s="351" t="s">
        <v>1628</v>
      </c>
      <c r="C39" s="230" t="s">
        <v>1629</v>
      </c>
      <c r="D39" s="269" t="s">
        <v>163</v>
      </c>
      <c r="E39" s="230" t="s">
        <v>1360</v>
      </c>
      <c r="F39" s="230" t="s">
        <v>83</v>
      </c>
      <c r="G39" s="231" t="s">
        <v>1630</v>
      </c>
      <c r="H39" s="346" t="s">
        <v>465</v>
      </c>
      <c r="I39" s="236">
        <v>1000</v>
      </c>
      <c r="J39" s="271">
        <v>1000</v>
      </c>
      <c r="K39" s="224" t="s">
        <v>147</v>
      </c>
      <c r="L39" s="224" t="s">
        <v>41</v>
      </c>
      <c r="N39">
        <f t="shared" si="0"/>
        <v>200</v>
      </c>
    </row>
    <row r="40" spans="1:18" x14ac:dyDescent="0.25">
      <c r="A40" s="228">
        <v>13</v>
      </c>
      <c r="B40" s="351" t="s">
        <v>1631</v>
      </c>
      <c r="C40" s="230" t="s">
        <v>1632</v>
      </c>
      <c r="D40" s="230" t="s">
        <v>160</v>
      </c>
      <c r="E40" s="230" t="s">
        <v>907</v>
      </c>
      <c r="F40" s="230" t="s">
        <v>47</v>
      </c>
      <c r="G40" s="231" t="s">
        <v>1633</v>
      </c>
      <c r="H40" s="233" t="s">
        <v>40</v>
      </c>
      <c r="I40" s="236">
        <v>100</v>
      </c>
      <c r="J40" s="271">
        <v>30</v>
      </c>
      <c r="K40" s="224" t="s">
        <v>147</v>
      </c>
      <c r="L40" s="224" t="s">
        <v>41</v>
      </c>
      <c r="N40">
        <f t="shared" si="0"/>
        <v>20</v>
      </c>
    </row>
    <row r="41" spans="1:18" x14ac:dyDescent="0.25">
      <c r="A41" s="228">
        <v>13</v>
      </c>
      <c r="B41" s="351" t="s">
        <v>1634</v>
      </c>
      <c r="C41" s="230" t="s">
        <v>1635</v>
      </c>
      <c r="D41" s="230" t="s">
        <v>160</v>
      </c>
      <c r="E41" s="230" t="s">
        <v>1125</v>
      </c>
      <c r="F41" s="230" t="s">
        <v>54</v>
      </c>
      <c r="G41" s="231" t="s">
        <v>1126</v>
      </c>
      <c r="H41" s="233" t="s">
        <v>40</v>
      </c>
      <c r="I41" s="236">
        <v>2500</v>
      </c>
      <c r="J41" s="271">
        <v>500</v>
      </c>
      <c r="K41" s="224" t="s">
        <v>147</v>
      </c>
      <c r="L41" s="224" t="s">
        <v>41</v>
      </c>
      <c r="N41">
        <f t="shared" si="0"/>
        <v>500</v>
      </c>
    </row>
    <row r="42" spans="1:18" s="62" customFormat="1" x14ac:dyDescent="0.25">
      <c r="A42" s="228">
        <v>13</v>
      </c>
      <c r="B42" s="351" t="s">
        <v>1636</v>
      </c>
      <c r="C42" s="230" t="s">
        <v>1637</v>
      </c>
      <c r="D42" s="230" t="s">
        <v>160</v>
      </c>
      <c r="E42" s="230" t="s">
        <v>375</v>
      </c>
      <c r="F42" s="230" t="s">
        <v>67</v>
      </c>
      <c r="G42" s="231" t="s">
        <v>1649</v>
      </c>
      <c r="H42" s="392" t="s">
        <v>377</v>
      </c>
      <c r="I42" s="236">
        <v>200</v>
      </c>
      <c r="J42" s="271">
        <v>40</v>
      </c>
      <c r="K42" s="224" t="s">
        <v>147</v>
      </c>
      <c r="L42" s="224" t="s">
        <v>41</v>
      </c>
      <c r="N42" s="62">
        <f t="shared" si="0"/>
        <v>40</v>
      </c>
    </row>
    <row r="43" spans="1:18" s="62" customFormat="1" x14ac:dyDescent="0.25">
      <c r="A43" s="228">
        <v>13</v>
      </c>
      <c r="B43" s="351" t="s">
        <v>1638</v>
      </c>
      <c r="C43" s="230" t="s">
        <v>1639</v>
      </c>
      <c r="D43" s="269" t="s">
        <v>163</v>
      </c>
      <c r="E43" s="230" t="s">
        <v>1640</v>
      </c>
      <c r="F43" s="230" t="s">
        <v>69</v>
      </c>
      <c r="G43" s="231" t="s">
        <v>1641</v>
      </c>
      <c r="H43" s="230" t="s">
        <v>40</v>
      </c>
      <c r="I43" s="236">
        <v>1500</v>
      </c>
      <c r="J43" s="271" t="s">
        <v>152</v>
      </c>
      <c r="K43" s="224" t="s">
        <v>147</v>
      </c>
      <c r="L43" s="224" t="s">
        <v>41</v>
      </c>
      <c r="N43" s="62">
        <f t="shared" si="0"/>
        <v>300</v>
      </c>
      <c r="R43" s="325"/>
    </row>
    <row r="44" spans="1:18" s="62" customFormat="1" x14ac:dyDescent="0.25">
      <c r="A44" s="228">
        <v>14</v>
      </c>
      <c r="B44" s="351" t="s">
        <v>1642</v>
      </c>
      <c r="C44" s="230" t="s">
        <v>1643</v>
      </c>
      <c r="D44" s="269" t="s">
        <v>163</v>
      </c>
      <c r="E44" s="230" t="s">
        <v>1243</v>
      </c>
      <c r="F44" s="230" t="s">
        <v>47</v>
      </c>
      <c r="G44" s="231" t="s">
        <v>1644</v>
      </c>
      <c r="H44" s="346" t="s">
        <v>465</v>
      </c>
      <c r="I44" s="236">
        <v>1000</v>
      </c>
      <c r="J44" s="271">
        <v>1000</v>
      </c>
      <c r="K44" s="224" t="s">
        <v>147</v>
      </c>
      <c r="L44" s="224" t="s">
        <v>41</v>
      </c>
      <c r="N44" s="62">
        <f t="shared" si="0"/>
        <v>200</v>
      </c>
    </row>
    <row r="45" spans="1:18" s="62" customFormat="1" x14ac:dyDescent="0.25">
      <c r="A45" s="228">
        <v>14</v>
      </c>
      <c r="B45" s="351" t="s">
        <v>1325</v>
      </c>
      <c r="C45" s="230" t="s">
        <v>1572</v>
      </c>
      <c r="D45" s="230" t="s">
        <v>160</v>
      </c>
      <c r="E45" s="230" t="s">
        <v>1327</v>
      </c>
      <c r="F45" s="230" t="s">
        <v>46</v>
      </c>
      <c r="G45" s="231" t="s">
        <v>1645</v>
      </c>
      <c r="H45" s="346" t="s">
        <v>465</v>
      </c>
      <c r="I45" s="236">
        <v>500</v>
      </c>
      <c r="J45" s="271">
        <v>500</v>
      </c>
      <c r="K45" s="224" t="s">
        <v>147</v>
      </c>
      <c r="L45" s="224" t="s">
        <v>41</v>
      </c>
      <c r="N45" s="62">
        <f t="shared" si="0"/>
        <v>100</v>
      </c>
    </row>
    <row r="46" spans="1:18" s="62" customFormat="1" x14ac:dyDescent="0.25">
      <c r="A46" s="228">
        <v>14</v>
      </c>
      <c r="B46" s="351" t="s">
        <v>1463</v>
      </c>
      <c r="C46" s="230" t="s">
        <v>1646</v>
      </c>
      <c r="D46" s="230" t="s">
        <v>160</v>
      </c>
      <c r="E46" s="230" t="s">
        <v>167</v>
      </c>
      <c r="F46" s="230" t="s">
        <v>43</v>
      </c>
      <c r="G46" s="231"/>
      <c r="H46" s="230" t="s">
        <v>40</v>
      </c>
      <c r="I46" s="236">
        <v>15000</v>
      </c>
      <c r="J46" s="271">
        <v>3000</v>
      </c>
      <c r="K46" s="224" t="s">
        <v>147</v>
      </c>
      <c r="L46" s="224" t="s">
        <v>41</v>
      </c>
      <c r="N46" s="62">
        <f t="shared" si="0"/>
        <v>3000</v>
      </c>
    </row>
    <row r="47" spans="1:18" s="62" customFormat="1" x14ac:dyDescent="0.25">
      <c r="A47" s="323">
        <v>14</v>
      </c>
      <c r="B47" s="351" t="s">
        <v>1280</v>
      </c>
      <c r="C47" s="230" t="s">
        <v>1647</v>
      </c>
      <c r="D47" s="230" t="s">
        <v>160</v>
      </c>
      <c r="E47" s="230" t="s">
        <v>1327</v>
      </c>
      <c r="F47" s="230" t="s">
        <v>46</v>
      </c>
      <c r="G47" s="231" t="s">
        <v>1648</v>
      </c>
      <c r="H47" s="346" t="s">
        <v>465</v>
      </c>
      <c r="I47" s="236">
        <v>5000</v>
      </c>
      <c r="J47" s="271">
        <v>5000</v>
      </c>
      <c r="K47" s="224" t="s">
        <v>147</v>
      </c>
      <c r="L47" s="224" t="s">
        <v>41</v>
      </c>
      <c r="N47" s="62">
        <f t="shared" si="0"/>
        <v>1000</v>
      </c>
    </row>
    <row r="48" spans="1:18" s="62" customFormat="1" x14ac:dyDescent="0.25">
      <c r="A48" s="228">
        <v>14</v>
      </c>
      <c r="B48" s="351" t="s">
        <v>1653</v>
      </c>
      <c r="C48" s="230" t="s">
        <v>1609</v>
      </c>
      <c r="D48" s="230" t="s">
        <v>160</v>
      </c>
      <c r="E48" s="230" t="s">
        <v>180</v>
      </c>
      <c r="F48" s="230" t="s">
        <v>45</v>
      </c>
      <c r="G48" s="231"/>
      <c r="H48" s="230" t="s">
        <v>40</v>
      </c>
      <c r="I48" s="236">
        <v>2000</v>
      </c>
      <c r="J48" s="271">
        <v>600</v>
      </c>
      <c r="K48" s="224" t="s">
        <v>147</v>
      </c>
      <c r="L48" s="224" t="s">
        <v>41</v>
      </c>
      <c r="N48" s="62">
        <f t="shared" si="0"/>
        <v>400</v>
      </c>
    </row>
    <row r="49" spans="1:18" s="62" customFormat="1" x14ac:dyDescent="0.25">
      <c r="A49" s="228">
        <v>14</v>
      </c>
      <c r="B49" s="351" t="s">
        <v>1653</v>
      </c>
      <c r="C49" s="230" t="s">
        <v>1609</v>
      </c>
      <c r="D49" s="230" t="s">
        <v>160</v>
      </c>
      <c r="E49" s="230" t="s">
        <v>180</v>
      </c>
      <c r="F49" s="230" t="s">
        <v>45</v>
      </c>
      <c r="G49" s="231"/>
      <c r="H49" s="391" t="s">
        <v>1420</v>
      </c>
      <c r="I49" s="236">
        <v>100</v>
      </c>
      <c r="J49" s="271">
        <v>50</v>
      </c>
      <c r="K49" s="224" t="s">
        <v>147</v>
      </c>
      <c r="L49" s="224" t="s">
        <v>41</v>
      </c>
      <c r="N49" s="62">
        <f t="shared" si="0"/>
        <v>20</v>
      </c>
    </row>
    <row r="50" spans="1:18" s="62" customFormat="1" x14ac:dyDescent="0.25">
      <c r="A50" s="228">
        <v>14</v>
      </c>
      <c r="B50" s="351" t="s">
        <v>1654</v>
      </c>
      <c r="C50" s="230" t="s">
        <v>1655</v>
      </c>
      <c r="D50" s="230" t="s">
        <v>160</v>
      </c>
      <c r="E50" s="230"/>
      <c r="F50" s="230" t="s">
        <v>42</v>
      </c>
      <c r="G50" s="231"/>
      <c r="H50" s="393" t="s">
        <v>1656</v>
      </c>
      <c r="I50" s="236">
        <v>15</v>
      </c>
      <c r="J50" s="271">
        <v>75</v>
      </c>
      <c r="K50" s="224" t="s">
        <v>147</v>
      </c>
      <c r="L50" s="224" t="s">
        <v>41</v>
      </c>
      <c r="N50" s="62">
        <f t="shared" si="0"/>
        <v>3</v>
      </c>
      <c r="R50" s="98"/>
    </row>
    <row r="51" spans="1:18" s="62" customFormat="1" x14ac:dyDescent="0.25">
      <c r="A51" s="228">
        <v>14</v>
      </c>
      <c r="B51" s="351" t="s">
        <v>1657</v>
      </c>
      <c r="C51" s="230" t="s">
        <v>1443</v>
      </c>
      <c r="D51" s="230" t="s">
        <v>160</v>
      </c>
      <c r="E51" s="230" t="s">
        <v>1180</v>
      </c>
      <c r="F51" s="230" t="s">
        <v>42</v>
      </c>
      <c r="G51" s="231" t="s">
        <v>1658</v>
      </c>
      <c r="H51" s="230" t="s">
        <v>40</v>
      </c>
      <c r="I51" s="236">
        <v>1100</v>
      </c>
      <c r="J51" s="271">
        <v>220</v>
      </c>
      <c r="K51" s="224" t="s">
        <v>147</v>
      </c>
      <c r="L51" s="224" t="s">
        <v>41</v>
      </c>
      <c r="N51" s="62">
        <f t="shared" si="0"/>
        <v>220</v>
      </c>
    </row>
    <row r="52" spans="1:18" s="62" customFormat="1" x14ac:dyDescent="0.25">
      <c r="A52" s="228">
        <v>14</v>
      </c>
      <c r="B52" s="351" t="s">
        <v>1657</v>
      </c>
      <c r="C52" s="230" t="s">
        <v>1443</v>
      </c>
      <c r="D52" s="230" t="s">
        <v>160</v>
      </c>
      <c r="E52" s="230" t="s">
        <v>1180</v>
      </c>
      <c r="F52" s="230" t="s">
        <v>42</v>
      </c>
      <c r="G52" s="231" t="s">
        <v>1658</v>
      </c>
      <c r="H52" s="391" t="s">
        <v>1420</v>
      </c>
      <c r="I52" s="236">
        <v>100</v>
      </c>
      <c r="J52" s="271">
        <v>50</v>
      </c>
      <c r="K52" s="224" t="s">
        <v>147</v>
      </c>
      <c r="L52" s="224" t="s">
        <v>41</v>
      </c>
      <c r="N52" s="62">
        <f t="shared" si="0"/>
        <v>20</v>
      </c>
    </row>
    <row r="53" spans="1:18" s="62" customFormat="1" x14ac:dyDescent="0.25">
      <c r="A53" s="228">
        <v>14</v>
      </c>
      <c r="B53" s="351" t="s">
        <v>1657</v>
      </c>
      <c r="C53" s="230" t="s">
        <v>1443</v>
      </c>
      <c r="D53" s="230" t="s">
        <v>160</v>
      </c>
      <c r="E53" s="230" t="s">
        <v>1180</v>
      </c>
      <c r="F53" s="230" t="s">
        <v>42</v>
      </c>
      <c r="G53" s="231" t="s">
        <v>1658</v>
      </c>
      <c r="H53" s="346" t="s">
        <v>465</v>
      </c>
      <c r="I53" s="236">
        <v>400</v>
      </c>
      <c r="J53" s="271">
        <v>400</v>
      </c>
      <c r="K53" s="224" t="s">
        <v>147</v>
      </c>
      <c r="L53" s="224" t="s">
        <v>41</v>
      </c>
      <c r="N53" s="62">
        <f t="shared" si="0"/>
        <v>80</v>
      </c>
    </row>
    <row r="54" spans="1:18" s="62" customFormat="1" x14ac:dyDescent="0.25">
      <c r="A54" s="228">
        <v>16</v>
      </c>
      <c r="B54" s="351" t="s">
        <v>1659</v>
      </c>
      <c r="C54" s="230" t="s">
        <v>1660</v>
      </c>
      <c r="D54" s="230" t="s">
        <v>160</v>
      </c>
      <c r="E54" s="230" t="s">
        <v>1661</v>
      </c>
      <c r="F54" s="230" t="s">
        <v>71</v>
      </c>
      <c r="G54" s="231" t="s">
        <v>1662</v>
      </c>
      <c r="H54" s="346" t="s">
        <v>465</v>
      </c>
      <c r="I54" s="236">
        <v>2000</v>
      </c>
      <c r="J54" s="271">
        <v>2000</v>
      </c>
      <c r="K54" s="224" t="s">
        <v>147</v>
      </c>
      <c r="L54" s="224" t="s">
        <v>41</v>
      </c>
      <c r="N54" s="62">
        <f t="shared" si="0"/>
        <v>400</v>
      </c>
    </row>
    <row r="55" spans="1:18" s="62" customFormat="1" x14ac:dyDescent="0.25">
      <c r="A55" s="228">
        <v>16</v>
      </c>
      <c r="B55" s="351" t="s">
        <v>1663</v>
      </c>
      <c r="C55" s="230" t="s">
        <v>1664</v>
      </c>
      <c r="D55" s="230" t="s">
        <v>160</v>
      </c>
      <c r="E55" s="230" t="s">
        <v>60</v>
      </c>
      <c r="F55" s="230" t="s">
        <v>84</v>
      </c>
      <c r="G55" s="231" t="s">
        <v>1665</v>
      </c>
      <c r="H55" s="233" t="s">
        <v>40</v>
      </c>
      <c r="I55" s="236">
        <v>2000</v>
      </c>
      <c r="J55" s="271">
        <v>400</v>
      </c>
      <c r="K55" s="224" t="s">
        <v>147</v>
      </c>
      <c r="L55" s="224" t="s">
        <v>41</v>
      </c>
      <c r="N55" s="62">
        <f t="shared" si="0"/>
        <v>400</v>
      </c>
    </row>
    <row r="56" spans="1:18" s="62" customFormat="1" x14ac:dyDescent="0.25">
      <c r="A56" s="228">
        <v>16</v>
      </c>
      <c r="B56" s="351" t="s">
        <v>1666</v>
      </c>
      <c r="C56" s="230" t="s">
        <v>1667</v>
      </c>
      <c r="D56" s="230" t="s">
        <v>160</v>
      </c>
      <c r="E56" s="230" t="s">
        <v>167</v>
      </c>
      <c r="F56" s="230" t="s">
        <v>43</v>
      </c>
      <c r="G56" s="231"/>
      <c r="H56" s="346" t="s">
        <v>465</v>
      </c>
      <c r="I56" s="236">
        <v>500</v>
      </c>
      <c r="J56" s="271">
        <v>500</v>
      </c>
      <c r="K56" s="224" t="s">
        <v>147</v>
      </c>
      <c r="L56" s="224" t="s">
        <v>41</v>
      </c>
      <c r="N56" s="62">
        <f t="shared" si="0"/>
        <v>100</v>
      </c>
    </row>
    <row r="57" spans="1:18" s="62" customFormat="1" x14ac:dyDescent="0.25">
      <c r="A57" s="228">
        <v>16</v>
      </c>
      <c r="B57" s="351" t="s">
        <v>1668</v>
      </c>
      <c r="C57" s="230" t="s">
        <v>1669</v>
      </c>
      <c r="D57" s="230" t="s">
        <v>160</v>
      </c>
      <c r="E57" s="230" t="s">
        <v>64</v>
      </c>
      <c r="F57" s="230" t="s">
        <v>57</v>
      </c>
      <c r="G57" s="231" t="s">
        <v>1459</v>
      </c>
      <c r="H57" s="233" t="s">
        <v>40</v>
      </c>
      <c r="I57" s="236">
        <v>1000</v>
      </c>
      <c r="J57" s="271">
        <v>200</v>
      </c>
      <c r="K57" s="224" t="s">
        <v>147</v>
      </c>
      <c r="L57" s="224" t="s">
        <v>41</v>
      </c>
      <c r="N57" s="62">
        <f t="shared" si="0"/>
        <v>200</v>
      </c>
    </row>
    <row r="58" spans="1:18" s="62" customFormat="1" x14ac:dyDescent="0.25">
      <c r="A58" s="228">
        <v>16</v>
      </c>
      <c r="B58" s="351" t="s">
        <v>1668</v>
      </c>
      <c r="C58" s="230" t="s">
        <v>1669</v>
      </c>
      <c r="D58" s="230" t="s">
        <v>160</v>
      </c>
      <c r="E58" s="230" t="s">
        <v>64</v>
      </c>
      <c r="F58" s="230" t="s">
        <v>57</v>
      </c>
      <c r="G58" s="231" t="s">
        <v>1459</v>
      </c>
      <c r="H58" s="346" t="s">
        <v>465</v>
      </c>
      <c r="I58" s="236">
        <v>500</v>
      </c>
      <c r="J58" s="271">
        <v>500</v>
      </c>
      <c r="K58" s="224" t="s">
        <v>147</v>
      </c>
      <c r="L58" s="224" t="s">
        <v>41</v>
      </c>
      <c r="N58" s="62">
        <f t="shared" si="0"/>
        <v>100</v>
      </c>
    </row>
    <row r="59" spans="1:18" s="62" customFormat="1" x14ac:dyDescent="0.25">
      <c r="A59" s="228">
        <v>17</v>
      </c>
      <c r="B59" s="351" t="s">
        <v>1670</v>
      </c>
      <c r="C59" s="230" t="s">
        <v>1671</v>
      </c>
      <c r="D59" s="230" t="s">
        <v>160</v>
      </c>
      <c r="E59" s="230" t="s">
        <v>1672</v>
      </c>
      <c r="F59" s="230" t="s">
        <v>48</v>
      </c>
      <c r="G59" s="231" t="s">
        <v>1673</v>
      </c>
      <c r="H59" s="346" t="s">
        <v>465</v>
      </c>
      <c r="I59" s="236">
        <v>50</v>
      </c>
      <c r="J59" s="271" t="s">
        <v>152</v>
      </c>
      <c r="K59" s="224" t="s">
        <v>147</v>
      </c>
      <c r="L59" s="224" t="s">
        <v>41</v>
      </c>
      <c r="N59" s="62">
        <f t="shared" si="0"/>
        <v>10</v>
      </c>
    </row>
    <row r="60" spans="1:18" s="62" customFormat="1" x14ac:dyDescent="0.25">
      <c r="A60" s="228">
        <v>20</v>
      </c>
      <c r="B60" s="351" t="s">
        <v>1448</v>
      </c>
      <c r="C60" s="230" t="s">
        <v>1674</v>
      </c>
      <c r="D60" s="230" t="s">
        <v>160</v>
      </c>
      <c r="E60" s="230" t="s">
        <v>1675</v>
      </c>
      <c r="F60" s="230" t="s">
        <v>48</v>
      </c>
      <c r="G60" s="231" t="s">
        <v>1676</v>
      </c>
      <c r="H60" s="346" t="s">
        <v>465</v>
      </c>
      <c r="I60" s="236">
        <v>1000</v>
      </c>
      <c r="J60" s="271">
        <v>1000</v>
      </c>
      <c r="K60" s="224" t="s">
        <v>147</v>
      </c>
      <c r="L60" s="224" t="s">
        <v>41</v>
      </c>
      <c r="N60" s="62">
        <f t="shared" si="0"/>
        <v>200</v>
      </c>
    </row>
    <row r="61" spans="1:18" s="62" customFormat="1" x14ac:dyDescent="0.25">
      <c r="A61" s="228">
        <v>20</v>
      </c>
      <c r="B61" s="351" t="s">
        <v>1677</v>
      </c>
      <c r="C61" s="230" t="s">
        <v>1678</v>
      </c>
      <c r="D61" s="230" t="s">
        <v>160</v>
      </c>
      <c r="E61" s="230" t="s">
        <v>337</v>
      </c>
      <c r="F61" s="230" t="s">
        <v>47</v>
      </c>
      <c r="G61" s="231"/>
      <c r="H61" s="233" t="s">
        <v>40</v>
      </c>
      <c r="I61" s="236">
        <v>2000</v>
      </c>
      <c r="J61" s="271">
        <v>400</v>
      </c>
      <c r="K61" s="224" t="s">
        <v>147</v>
      </c>
      <c r="L61" s="224" t="s">
        <v>41</v>
      </c>
      <c r="N61" s="62">
        <f t="shared" si="0"/>
        <v>400</v>
      </c>
    </row>
    <row r="62" spans="1:18" x14ac:dyDescent="0.25">
      <c r="A62" s="228">
        <v>20</v>
      </c>
      <c r="B62" s="351" t="s">
        <v>1677</v>
      </c>
      <c r="C62" s="230" t="s">
        <v>1678</v>
      </c>
      <c r="D62" s="230" t="s">
        <v>160</v>
      </c>
      <c r="E62" s="230" t="s">
        <v>337</v>
      </c>
      <c r="F62" s="230" t="s">
        <v>47</v>
      </c>
      <c r="G62" s="231"/>
      <c r="H62" s="346" t="s">
        <v>465</v>
      </c>
      <c r="I62" s="236">
        <v>2000</v>
      </c>
      <c r="J62" s="271">
        <v>2000</v>
      </c>
      <c r="K62" s="224" t="s">
        <v>147</v>
      </c>
      <c r="L62" s="224" t="s">
        <v>41</v>
      </c>
      <c r="N62">
        <f t="shared" si="0"/>
        <v>400</v>
      </c>
    </row>
    <row r="63" spans="1:18" x14ac:dyDescent="0.25">
      <c r="A63" s="228">
        <v>20</v>
      </c>
      <c r="B63" s="351" t="s">
        <v>1679</v>
      </c>
      <c r="C63" s="233" t="s">
        <v>1680</v>
      </c>
      <c r="D63" s="230" t="s">
        <v>160</v>
      </c>
      <c r="E63" s="230" t="s">
        <v>685</v>
      </c>
      <c r="F63" s="230" t="s">
        <v>46</v>
      </c>
      <c r="G63" s="231" t="s">
        <v>1681</v>
      </c>
      <c r="H63" s="230" t="s">
        <v>40</v>
      </c>
      <c r="I63" s="236">
        <v>2000</v>
      </c>
      <c r="J63" s="271">
        <v>400</v>
      </c>
      <c r="K63" s="224" t="s">
        <v>147</v>
      </c>
      <c r="L63" s="224" t="s">
        <v>41</v>
      </c>
      <c r="N63">
        <f t="shared" si="0"/>
        <v>400</v>
      </c>
    </row>
    <row r="64" spans="1:18" x14ac:dyDescent="0.25">
      <c r="A64" s="246">
        <v>20</v>
      </c>
      <c r="B64" s="352" t="s">
        <v>1682</v>
      </c>
      <c r="C64" s="233" t="s">
        <v>1379</v>
      </c>
      <c r="D64" s="230" t="s">
        <v>160</v>
      </c>
      <c r="E64" s="230" t="s">
        <v>1683</v>
      </c>
      <c r="F64" s="230" t="s">
        <v>59</v>
      </c>
      <c r="G64" s="231" t="s">
        <v>1684</v>
      </c>
      <c r="H64" s="392" t="s">
        <v>377</v>
      </c>
      <c r="I64" s="236">
        <v>500</v>
      </c>
      <c r="J64" s="271">
        <v>100</v>
      </c>
      <c r="K64" s="224" t="s">
        <v>147</v>
      </c>
      <c r="L64" s="224" t="s">
        <v>41</v>
      </c>
      <c r="N64">
        <f t="shared" si="0"/>
        <v>100</v>
      </c>
    </row>
    <row r="65" spans="1:14" x14ac:dyDescent="0.25">
      <c r="A65" s="246">
        <v>20</v>
      </c>
      <c r="B65" s="352" t="s">
        <v>1682</v>
      </c>
      <c r="C65" s="233" t="s">
        <v>1379</v>
      </c>
      <c r="D65" s="230" t="s">
        <v>160</v>
      </c>
      <c r="E65" s="230" t="s">
        <v>1683</v>
      </c>
      <c r="F65" s="230" t="s">
        <v>59</v>
      </c>
      <c r="G65" s="231" t="s">
        <v>1684</v>
      </c>
      <c r="H65" s="391" t="s">
        <v>1420</v>
      </c>
      <c r="I65" s="236">
        <v>500</v>
      </c>
      <c r="J65" s="271">
        <v>250</v>
      </c>
      <c r="K65" s="230" t="s">
        <v>147</v>
      </c>
      <c r="L65" s="230" t="s">
        <v>41</v>
      </c>
      <c r="N65">
        <f t="shared" si="0"/>
        <v>100</v>
      </c>
    </row>
    <row r="66" spans="1:14" x14ac:dyDescent="0.25">
      <c r="A66" s="246">
        <v>20</v>
      </c>
      <c r="B66" s="352" t="s">
        <v>1682</v>
      </c>
      <c r="C66" s="233" t="s">
        <v>1379</v>
      </c>
      <c r="D66" s="230" t="s">
        <v>160</v>
      </c>
      <c r="E66" s="230" t="s">
        <v>1683</v>
      </c>
      <c r="F66" s="230" t="s">
        <v>59</v>
      </c>
      <c r="G66" s="231" t="s">
        <v>1684</v>
      </c>
      <c r="H66" s="346" t="s">
        <v>465</v>
      </c>
      <c r="I66" s="236">
        <v>1000</v>
      </c>
      <c r="J66" s="271">
        <v>1000</v>
      </c>
      <c r="K66" s="224" t="s">
        <v>147</v>
      </c>
      <c r="L66" s="224" t="s">
        <v>41</v>
      </c>
      <c r="N66">
        <f t="shared" si="0"/>
        <v>200</v>
      </c>
    </row>
    <row r="67" spans="1:14" x14ac:dyDescent="0.25">
      <c r="A67" s="246">
        <v>20</v>
      </c>
      <c r="B67" s="352" t="s">
        <v>1685</v>
      </c>
      <c r="C67" s="233" t="s">
        <v>1686</v>
      </c>
      <c r="D67" s="230" t="s">
        <v>160</v>
      </c>
      <c r="E67" s="230" t="s">
        <v>1687</v>
      </c>
      <c r="F67" s="230" t="s">
        <v>45</v>
      </c>
      <c r="G67" s="231" t="s">
        <v>1688</v>
      </c>
      <c r="H67" s="346" t="s">
        <v>465</v>
      </c>
      <c r="I67" s="236">
        <v>1000</v>
      </c>
      <c r="J67" s="271">
        <v>1000</v>
      </c>
      <c r="K67" s="224" t="s">
        <v>147</v>
      </c>
      <c r="L67" s="224" t="s">
        <v>41</v>
      </c>
      <c r="N67">
        <f t="shared" si="0"/>
        <v>200</v>
      </c>
    </row>
    <row r="68" spans="1:14" x14ac:dyDescent="0.25">
      <c r="A68" s="246">
        <v>20</v>
      </c>
      <c r="B68" s="352" t="s">
        <v>1282</v>
      </c>
      <c r="C68" s="233" t="s">
        <v>1689</v>
      </c>
      <c r="D68" s="269" t="s">
        <v>163</v>
      </c>
      <c r="E68" s="230" t="s">
        <v>907</v>
      </c>
      <c r="F68" s="230" t="s">
        <v>47</v>
      </c>
      <c r="G68" s="231" t="s">
        <v>1272</v>
      </c>
      <c r="H68" s="346" t="s">
        <v>465</v>
      </c>
      <c r="I68" s="236">
        <v>1500</v>
      </c>
      <c r="J68" s="271">
        <v>1500</v>
      </c>
      <c r="K68" s="224" t="s">
        <v>147</v>
      </c>
      <c r="L68" s="224" t="s">
        <v>41</v>
      </c>
      <c r="N68">
        <f t="shared" si="0"/>
        <v>300</v>
      </c>
    </row>
    <row r="69" spans="1:14" x14ac:dyDescent="0.25">
      <c r="A69" s="246">
        <v>20</v>
      </c>
      <c r="B69" s="352" t="s">
        <v>1396</v>
      </c>
      <c r="C69" s="233" t="s">
        <v>1397</v>
      </c>
      <c r="D69" s="230" t="s">
        <v>160</v>
      </c>
      <c r="E69" s="230" t="s">
        <v>180</v>
      </c>
      <c r="F69" s="230" t="s">
        <v>79</v>
      </c>
      <c r="G69" s="231"/>
      <c r="H69" s="346" t="s">
        <v>465</v>
      </c>
      <c r="I69" s="236">
        <v>500</v>
      </c>
      <c r="J69" s="271">
        <v>500</v>
      </c>
      <c r="K69" s="224" t="s">
        <v>147</v>
      </c>
      <c r="L69" s="224" t="s">
        <v>41</v>
      </c>
      <c r="N69">
        <f t="shared" si="0"/>
        <v>100</v>
      </c>
    </row>
    <row r="70" spans="1:14" x14ac:dyDescent="0.25">
      <c r="A70" s="273">
        <v>20</v>
      </c>
      <c r="B70" s="352" t="s">
        <v>1396</v>
      </c>
      <c r="C70" s="233" t="s">
        <v>1397</v>
      </c>
      <c r="D70" s="230" t="s">
        <v>160</v>
      </c>
      <c r="E70" s="230" t="s">
        <v>180</v>
      </c>
      <c r="F70" s="230" t="s">
        <v>79</v>
      </c>
      <c r="G70" s="231"/>
      <c r="H70" s="391" t="s">
        <v>1420</v>
      </c>
      <c r="I70" s="236">
        <v>600</v>
      </c>
      <c r="J70" s="271">
        <v>300</v>
      </c>
      <c r="K70" s="224" t="s">
        <v>147</v>
      </c>
      <c r="L70" s="224" t="s">
        <v>41</v>
      </c>
      <c r="N70">
        <f t="shared" si="0"/>
        <v>120</v>
      </c>
    </row>
    <row r="71" spans="1:14" x14ac:dyDescent="0.25">
      <c r="A71" s="246">
        <v>23</v>
      </c>
      <c r="B71" s="352" t="s">
        <v>1527</v>
      </c>
      <c r="C71" s="233" t="s">
        <v>1528</v>
      </c>
      <c r="D71" s="230" t="s">
        <v>160</v>
      </c>
      <c r="E71" s="230" t="s">
        <v>226</v>
      </c>
      <c r="F71" s="230" t="s">
        <v>43</v>
      </c>
      <c r="G71" s="231"/>
      <c r="H71" s="230" t="s">
        <v>40</v>
      </c>
      <c r="I71" s="236">
        <v>1000</v>
      </c>
      <c r="J71" s="271">
        <v>300</v>
      </c>
      <c r="K71" s="224" t="s">
        <v>147</v>
      </c>
      <c r="L71" s="224" t="s">
        <v>41</v>
      </c>
      <c r="N71">
        <f t="shared" si="0"/>
        <v>200</v>
      </c>
    </row>
    <row r="72" spans="1:14" x14ac:dyDescent="0.25">
      <c r="A72" s="246">
        <v>23</v>
      </c>
      <c r="B72" s="352" t="s">
        <v>1533</v>
      </c>
      <c r="C72" s="233" t="s">
        <v>1534</v>
      </c>
      <c r="D72" s="230" t="s">
        <v>160</v>
      </c>
      <c r="E72" s="230" t="s">
        <v>1073</v>
      </c>
      <c r="F72" s="230" t="s">
        <v>47</v>
      </c>
      <c r="G72" s="231" t="s">
        <v>1691</v>
      </c>
      <c r="H72" s="346" t="s">
        <v>465</v>
      </c>
      <c r="I72" s="236">
        <v>1500</v>
      </c>
      <c r="J72" s="271">
        <v>1500</v>
      </c>
      <c r="K72" s="224" t="s">
        <v>147</v>
      </c>
      <c r="L72" s="224" t="s">
        <v>41</v>
      </c>
      <c r="N72">
        <f t="shared" si="0"/>
        <v>300</v>
      </c>
    </row>
    <row r="73" spans="1:14" x14ac:dyDescent="0.25">
      <c r="A73" s="246">
        <v>23</v>
      </c>
      <c r="B73" s="352" t="s">
        <v>1692</v>
      </c>
      <c r="C73" s="233" t="s">
        <v>1693</v>
      </c>
      <c r="D73" s="230" t="s">
        <v>160</v>
      </c>
      <c r="E73" s="230" t="s">
        <v>557</v>
      </c>
      <c r="F73" s="230" t="s">
        <v>61</v>
      </c>
      <c r="G73" s="231" t="s">
        <v>1694</v>
      </c>
      <c r="H73" s="230" t="s">
        <v>40</v>
      </c>
      <c r="I73" s="236">
        <v>500</v>
      </c>
      <c r="J73" s="271">
        <v>100</v>
      </c>
      <c r="K73" s="224" t="s">
        <v>147</v>
      </c>
      <c r="L73" s="224" t="s">
        <v>41</v>
      </c>
      <c r="N73">
        <f t="shared" si="0"/>
        <v>100</v>
      </c>
    </row>
    <row r="74" spans="1:14" x14ac:dyDescent="0.25">
      <c r="A74" s="246">
        <v>23</v>
      </c>
      <c r="B74" s="352" t="s">
        <v>1695</v>
      </c>
      <c r="C74" s="233" t="s">
        <v>1696</v>
      </c>
      <c r="D74" s="230" t="s">
        <v>160</v>
      </c>
      <c r="E74" s="230" t="s">
        <v>234</v>
      </c>
      <c r="F74" s="230" t="s">
        <v>49</v>
      </c>
      <c r="G74" s="231" t="s">
        <v>1697</v>
      </c>
      <c r="H74" s="233" t="s">
        <v>40</v>
      </c>
      <c r="I74" s="236">
        <v>2000</v>
      </c>
      <c r="J74" s="271">
        <v>400</v>
      </c>
      <c r="K74" s="224" t="s">
        <v>147</v>
      </c>
      <c r="L74" s="224" t="s">
        <v>41</v>
      </c>
      <c r="N74">
        <f t="shared" si="0"/>
        <v>400</v>
      </c>
    </row>
    <row r="75" spans="1:14" x14ac:dyDescent="0.25">
      <c r="A75" s="246">
        <v>23</v>
      </c>
      <c r="B75" s="352" t="s">
        <v>1698</v>
      </c>
      <c r="C75" s="233" t="s">
        <v>1409</v>
      </c>
      <c r="D75" s="230" t="s">
        <v>160</v>
      </c>
      <c r="E75" s="230" t="s">
        <v>583</v>
      </c>
      <c r="F75" s="230" t="s">
        <v>42</v>
      </c>
      <c r="G75" s="231" t="s">
        <v>1699</v>
      </c>
      <c r="H75" s="230" t="s">
        <v>40</v>
      </c>
      <c r="I75" s="236">
        <v>4500</v>
      </c>
      <c r="J75" s="271">
        <v>900</v>
      </c>
      <c r="K75" s="224" t="s">
        <v>147</v>
      </c>
      <c r="L75" s="224" t="s">
        <v>41</v>
      </c>
      <c r="N75">
        <f t="shared" si="0"/>
        <v>900</v>
      </c>
    </row>
    <row r="76" spans="1:14" x14ac:dyDescent="0.25">
      <c r="A76" s="246">
        <v>24</v>
      </c>
      <c r="B76" s="352" t="s">
        <v>1527</v>
      </c>
      <c r="C76" s="233" t="s">
        <v>1528</v>
      </c>
      <c r="D76" s="230" t="s">
        <v>160</v>
      </c>
      <c r="E76" s="230" t="s">
        <v>226</v>
      </c>
      <c r="F76" s="230" t="s">
        <v>43</v>
      </c>
      <c r="G76" s="231"/>
      <c r="H76" s="230" t="s">
        <v>40</v>
      </c>
      <c r="I76" s="236">
        <v>500</v>
      </c>
      <c r="J76" s="271">
        <v>150</v>
      </c>
      <c r="K76" s="224" t="s">
        <v>147</v>
      </c>
      <c r="L76" s="224" t="s">
        <v>41</v>
      </c>
      <c r="N76">
        <f t="shared" si="0"/>
        <v>100</v>
      </c>
    </row>
    <row r="77" spans="1:14" x14ac:dyDescent="0.25">
      <c r="A77" s="246">
        <v>24</v>
      </c>
      <c r="B77" s="352" t="s">
        <v>1614</v>
      </c>
      <c r="C77" s="233" t="s">
        <v>1615</v>
      </c>
      <c r="D77" s="269" t="s">
        <v>163</v>
      </c>
      <c r="E77" s="230" t="s">
        <v>814</v>
      </c>
      <c r="F77" s="230" t="s">
        <v>53</v>
      </c>
      <c r="G77" s="231" t="s">
        <v>1616</v>
      </c>
      <c r="H77" s="346" t="s">
        <v>465</v>
      </c>
      <c r="I77" s="236">
        <v>1000</v>
      </c>
      <c r="J77" s="271">
        <v>1000</v>
      </c>
      <c r="K77" s="224" t="s">
        <v>147</v>
      </c>
      <c r="L77" s="224" t="s">
        <v>41</v>
      </c>
      <c r="N77">
        <f t="shared" si="0"/>
        <v>200</v>
      </c>
    </row>
    <row r="78" spans="1:14" x14ac:dyDescent="0.25">
      <c r="A78" s="246">
        <v>27</v>
      </c>
      <c r="B78" s="352" t="s">
        <v>1700</v>
      </c>
      <c r="C78" s="233" t="s">
        <v>1701</v>
      </c>
      <c r="D78" s="230" t="s">
        <v>160</v>
      </c>
      <c r="E78" s="230" t="s">
        <v>180</v>
      </c>
      <c r="F78" s="230" t="s">
        <v>54</v>
      </c>
      <c r="G78" s="231"/>
      <c r="H78" s="230" t="s">
        <v>40</v>
      </c>
      <c r="I78" s="236">
        <v>2000</v>
      </c>
      <c r="J78" s="271">
        <v>600</v>
      </c>
      <c r="K78" s="224" t="s">
        <v>147</v>
      </c>
      <c r="L78" s="224" t="s">
        <v>41</v>
      </c>
      <c r="N78">
        <f t="shared" si="0"/>
        <v>400</v>
      </c>
    </row>
    <row r="79" spans="1:14" x14ac:dyDescent="0.25">
      <c r="A79" s="246">
        <v>27</v>
      </c>
      <c r="B79" s="352" t="s">
        <v>1702</v>
      </c>
      <c r="C79" s="233" t="s">
        <v>1703</v>
      </c>
      <c r="D79" s="269" t="s">
        <v>163</v>
      </c>
      <c r="E79" s="230" t="s">
        <v>211</v>
      </c>
      <c r="F79" s="230" t="s">
        <v>47</v>
      </c>
      <c r="G79" s="231" t="s">
        <v>1704</v>
      </c>
      <c r="H79" s="346" t="s">
        <v>465</v>
      </c>
      <c r="I79" s="236">
        <v>700</v>
      </c>
      <c r="J79" s="271">
        <v>700</v>
      </c>
      <c r="K79" s="224" t="s">
        <v>147</v>
      </c>
      <c r="L79" s="224" t="s">
        <v>41</v>
      </c>
      <c r="N79">
        <f t="shared" si="0"/>
        <v>140</v>
      </c>
    </row>
    <row r="80" spans="1:14" x14ac:dyDescent="0.25">
      <c r="A80" s="246">
        <v>27</v>
      </c>
      <c r="B80" s="352" t="s">
        <v>1705</v>
      </c>
      <c r="C80" s="233" t="s">
        <v>1443</v>
      </c>
      <c r="D80" s="230" t="s">
        <v>160</v>
      </c>
      <c r="E80" s="230"/>
      <c r="F80" s="230" t="s">
        <v>72</v>
      </c>
      <c r="G80" s="231" t="s">
        <v>1706</v>
      </c>
      <c r="H80" s="346" t="s">
        <v>465</v>
      </c>
      <c r="I80" s="236">
        <v>500</v>
      </c>
      <c r="J80" s="271">
        <v>500</v>
      </c>
      <c r="K80" s="224" t="s">
        <v>147</v>
      </c>
      <c r="L80" s="224" t="s">
        <v>41</v>
      </c>
      <c r="N80">
        <f t="shared" si="0"/>
        <v>100</v>
      </c>
    </row>
    <row r="81" spans="1:17" x14ac:dyDescent="0.25">
      <c r="A81" s="273">
        <v>27</v>
      </c>
      <c r="B81" s="352" t="s">
        <v>1707</v>
      </c>
      <c r="C81" s="233" t="s">
        <v>1708</v>
      </c>
      <c r="D81" s="230" t="s">
        <v>160</v>
      </c>
      <c r="E81" s="230" t="s">
        <v>954</v>
      </c>
      <c r="F81" s="230" t="s">
        <v>43</v>
      </c>
      <c r="G81" s="231" t="s">
        <v>1709</v>
      </c>
      <c r="H81" s="230" t="s">
        <v>40</v>
      </c>
      <c r="I81" s="236">
        <v>500</v>
      </c>
      <c r="J81" s="271">
        <v>100</v>
      </c>
      <c r="K81" s="224" t="s">
        <v>147</v>
      </c>
      <c r="L81" s="224" t="s">
        <v>41</v>
      </c>
      <c r="N81">
        <f t="shared" si="0"/>
        <v>100</v>
      </c>
    </row>
    <row r="82" spans="1:17" x14ac:dyDescent="0.25">
      <c r="A82" s="246">
        <v>27</v>
      </c>
      <c r="B82" s="352" t="s">
        <v>1710</v>
      </c>
      <c r="C82" s="233" t="s">
        <v>1711</v>
      </c>
      <c r="D82" s="230" t="s">
        <v>160</v>
      </c>
      <c r="E82" s="230" t="s">
        <v>267</v>
      </c>
      <c r="F82" s="230" t="s">
        <v>53</v>
      </c>
      <c r="G82" s="231" t="s">
        <v>1712</v>
      </c>
      <c r="H82" s="230" t="s">
        <v>40</v>
      </c>
      <c r="I82" s="236">
        <v>7500</v>
      </c>
      <c r="J82" s="271">
        <v>1500</v>
      </c>
      <c r="K82" s="224" t="s">
        <v>147</v>
      </c>
      <c r="L82" s="224" t="s">
        <v>41</v>
      </c>
      <c r="N82">
        <f t="shared" si="0"/>
        <v>1500</v>
      </c>
    </row>
    <row r="83" spans="1:17" x14ac:dyDescent="0.25">
      <c r="A83" s="273">
        <v>28</v>
      </c>
      <c r="B83" s="352" t="s">
        <v>1713</v>
      </c>
      <c r="C83" s="233" t="s">
        <v>1714</v>
      </c>
      <c r="D83" s="269" t="s">
        <v>163</v>
      </c>
      <c r="E83" s="230" t="s">
        <v>228</v>
      </c>
      <c r="F83" s="230" t="s">
        <v>45</v>
      </c>
      <c r="G83" s="231" t="s">
        <v>1715</v>
      </c>
      <c r="H83" s="230" t="s">
        <v>40</v>
      </c>
      <c r="I83" s="236">
        <v>500</v>
      </c>
      <c r="J83" s="271">
        <v>100</v>
      </c>
      <c r="K83" s="224" t="s">
        <v>147</v>
      </c>
      <c r="L83" s="224" t="s">
        <v>41</v>
      </c>
      <c r="N83">
        <f t="shared" si="0"/>
        <v>100</v>
      </c>
    </row>
    <row r="84" spans="1:17" x14ac:dyDescent="0.25">
      <c r="A84" s="222"/>
      <c r="B84" s="353"/>
      <c r="C84" s="100"/>
      <c r="D84" s="224"/>
      <c r="E84" s="224"/>
      <c r="F84" s="224"/>
      <c r="G84" s="225"/>
      <c r="H84" s="224"/>
      <c r="I84" s="234"/>
      <c r="J84" s="235"/>
      <c r="K84" s="224"/>
      <c r="L84" s="224"/>
      <c r="N84">
        <f>SUM(N12:N83)</f>
        <v>21453</v>
      </c>
    </row>
    <row r="85" spans="1:17" x14ac:dyDescent="0.25">
      <c r="A85" s="285"/>
      <c r="B85" s="350"/>
      <c r="C85" s="60"/>
      <c r="D85" s="60"/>
      <c r="E85" s="60"/>
      <c r="F85" s="60"/>
      <c r="G85" s="60"/>
      <c r="H85" s="60"/>
      <c r="I85" s="61"/>
      <c r="J85" s="121"/>
      <c r="K85" s="60"/>
    </row>
    <row r="87" spans="1:17" x14ac:dyDescent="0.25">
      <c r="J87" s="123" t="s">
        <v>19</v>
      </c>
      <c r="K87" s="70"/>
    </row>
    <row r="88" spans="1:17" ht="16.5" customHeight="1" x14ac:dyDescent="0.25">
      <c r="C88" s="62" t="s">
        <v>20</v>
      </c>
      <c r="F88" s="62" t="s">
        <v>21</v>
      </c>
      <c r="J88" s="103" t="s">
        <v>109</v>
      </c>
      <c r="K88" s="127"/>
      <c r="Q88" s="30"/>
    </row>
    <row r="89" spans="1:17" x14ac:dyDescent="0.25">
      <c r="J89" s="103" t="s">
        <v>110</v>
      </c>
      <c r="K89" s="127"/>
      <c r="L89" s="98"/>
    </row>
    <row r="90" spans="1:17" x14ac:dyDescent="0.25">
      <c r="J90" s="103" t="s">
        <v>138</v>
      </c>
      <c r="K90" s="128">
        <v>82550</v>
      </c>
    </row>
    <row r="91" spans="1:17" x14ac:dyDescent="0.25">
      <c r="C91" s="124" t="s">
        <v>966</v>
      </c>
      <c r="F91" s="617" t="s">
        <v>157</v>
      </c>
      <c r="G91" s="617"/>
      <c r="H91" s="617"/>
      <c r="I91" s="617"/>
      <c r="J91" s="103" t="s">
        <v>1265</v>
      </c>
      <c r="K91" s="128"/>
    </row>
    <row r="92" spans="1:17" x14ac:dyDescent="0.25">
      <c r="C92" s="62" t="s">
        <v>967</v>
      </c>
      <c r="F92" s="618" t="s">
        <v>158</v>
      </c>
      <c r="G92" s="618"/>
      <c r="H92" s="618"/>
      <c r="I92" s="618"/>
      <c r="J92" s="103" t="s">
        <v>111</v>
      </c>
      <c r="K92" s="127">
        <v>1400</v>
      </c>
    </row>
    <row r="93" spans="1:17" x14ac:dyDescent="0.25">
      <c r="J93" s="103" t="s">
        <v>112</v>
      </c>
      <c r="K93" s="128">
        <v>15</v>
      </c>
    </row>
    <row r="94" spans="1:17" s="62" customFormat="1" x14ac:dyDescent="0.25">
      <c r="A94" s="375"/>
      <c r="B94" s="375"/>
      <c r="J94" s="103" t="s">
        <v>114</v>
      </c>
      <c r="K94" s="288"/>
      <c r="M94"/>
      <c r="N94"/>
      <c r="O94"/>
    </row>
    <row r="95" spans="1:17" s="62" customFormat="1" x14ac:dyDescent="0.25">
      <c r="A95" s="375"/>
      <c r="B95" s="375"/>
      <c r="J95" s="103" t="s">
        <v>22</v>
      </c>
      <c r="K95" s="128"/>
      <c r="M95"/>
      <c r="N95"/>
      <c r="O95"/>
    </row>
    <row r="96" spans="1:17" s="62" customFormat="1" x14ac:dyDescent="0.25">
      <c r="A96" s="375"/>
      <c r="B96" s="375"/>
      <c r="C96" s="99"/>
      <c r="F96" s="99"/>
      <c r="G96" s="99"/>
      <c r="H96" s="99"/>
      <c r="J96" s="125" t="s">
        <v>107</v>
      </c>
      <c r="K96" s="71"/>
      <c r="M96"/>
      <c r="N96"/>
      <c r="O96"/>
    </row>
    <row r="97" spans="1:15" s="62" customFormat="1" x14ac:dyDescent="0.25">
      <c r="A97" s="375"/>
      <c r="B97" s="375"/>
      <c r="J97" s="125" t="s">
        <v>108</v>
      </c>
      <c r="K97" s="70"/>
      <c r="M97"/>
      <c r="N97"/>
      <c r="O97"/>
    </row>
    <row r="98" spans="1:15" s="62" customFormat="1" x14ac:dyDescent="0.25">
      <c r="A98" s="375"/>
      <c r="B98" s="375"/>
      <c r="J98" s="103"/>
      <c r="K98" s="70"/>
      <c r="M98"/>
      <c r="N98"/>
      <c r="O98"/>
    </row>
    <row r="99" spans="1:15" s="62" customFormat="1" x14ac:dyDescent="0.25">
      <c r="A99" s="375"/>
      <c r="B99" s="375"/>
      <c r="J99" s="103"/>
      <c r="K99" s="71"/>
      <c r="M99"/>
      <c r="N99"/>
      <c r="O99"/>
    </row>
    <row r="100" spans="1:15" s="62" customFormat="1" x14ac:dyDescent="0.25">
      <c r="A100" s="375"/>
      <c r="B100" s="375"/>
      <c r="J100" s="103"/>
      <c r="K100" s="71"/>
      <c r="M100"/>
      <c r="N100"/>
      <c r="O100"/>
    </row>
    <row r="120" spans="13:13" x14ac:dyDescent="0.25">
      <c r="M120" s="30"/>
    </row>
    <row r="143" spans="13:13" x14ac:dyDescent="0.25">
      <c r="M143" s="30"/>
    </row>
    <row r="270" spans="13:13" x14ac:dyDescent="0.25">
      <c r="M270" s="30"/>
    </row>
  </sheetData>
  <mergeCells count="8">
    <mergeCell ref="F91:I91"/>
    <mergeCell ref="F92:I92"/>
    <mergeCell ref="A1:L1"/>
    <mergeCell ref="A2:L2"/>
    <mergeCell ref="A6:C6"/>
    <mergeCell ref="G7:I7"/>
    <mergeCell ref="K7:L7"/>
    <mergeCell ref="A8:C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91271-9D51-44EC-B46D-CB338E7BCC4D}">
  <sheetPr>
    <tabColor theme="5"/>
  </sheetPr>
  <dimension ref="A1:O39"/>
  <sheetViews>
    <sheetView view="pageBreakPreview" zoomScale="96" zoomScaleNormal="100" zoomScaleSheetLayoutView="96" workbookViewId="0">
      <selection activeCell="Q18" sqref="Q18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1.71093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1266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>
        <v>2</v>
      </c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/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330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330" t="s">
        <v>13</v>
      </c>
      <c r="L9" s="330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36" customHeight="1" x14ac:dyDescent="0.25">
      <c r="A12" s="294">
        <v>17</v>
      </c>
      <c r="B12" s="333" t="s">
        <v>1474</v>
      </c>
      <c r="C12" s="334"/>
      <c r="D12" s="335"/>
      <c r="E12" s="355" t="s">
        <v>1475</v>
      </c>
      <c r="F12" s="336" t="s">
        <v>1476</v>
      </c>
      <c r="G12" s="333" t="s">
        <v>1477</v>
      </c>
      <c r="H12" s="356" t="s">
        <v>1478</v>
      </c>
      <c r="I12" s="337">
        <v>1000</v>
      </c>
      <c r="J12" s="220" t="s">
        <v>152</v>
      </c>
      <c r="K12" s="100"/>
      <c r="L12" s="181" t="s">
        <v>41</v>
      </c>
    </row>
    <row r="13" spans="1:15" ht="18" customHeight="1" x14ac:dyDescent="0.25">
      <c r="A13" s="294">
        <v>18</v>
      </c>
      <c r="B13" s="333" t="s">
        <v>1490</v>
      </c>
      <c r="C13" s="334"/>
      <c r="D13" s="335"/>
      <c r="E13" s="333" t="s">
        <v>84</v>
      </c>
      <c r="F13" s="336" t="s">
        <v>1491</v>
      </c>
      <c r="G13" s="333" t="s">
        <v>1492</v>
      </c>
      <c r="H13" s="333" t="s">
        <v>1493</v>
      </c>
      <c r="I13" s="337">
        <v>49000</v>
      </c>
      <c r="J13" s="220" t="s">
        <v>152</v>
      </c>
      <c r="K13" s="100"/>
      <c r="L13" s="181" t="s">
        <v>41</v>
      </c>
    </row>
    <row r="14" spans="1:15" s="62" customFormat="1" ht="20.25" customHeight="1" x14ac:dyDescent="0.25">
      <c r="A14" s="294">
        <v>18</v>
      </c>
      <c r="B14" s="333" t="s">
        <v>1490</v>
      </c>
      <c r="C14" s="334"/>
      <c r="D14" s="335"/>
      <c r="E14" s="333" t="s">
        <v>84</v>
      </c>
      <c r="F14" s="336" t="s">
        <v>1491</v>
      </c>
      <c r="G14" s="333" t="s">
        <v>1492</v>
      </c>
      <c r="H14" s="342" t="s">
        <v>377</v>
      </c>
      <c r="I14" s="343">
        <v>12600</v>
      </c>
      <c r="J14" s="220" t="s">
        <v>152</v>
      </c>
      <c r="K14" s="100"/>
      <c r="L14" s="181" t="s">
        <v>41</v>
      </c>
      <c r="M14" s="166"/>
    </row>
    <row r="15" spans="1:15" s="62" customFormat="1" ht="16.5" customHeight="1" x14ac:dyDescent="0.25">
      <c r="A15" s="295"/>
      <c r="B15" s="338"/>
      <c r="C15" s="339"/>
      <c r="D15" s="340"/>
      <c r="E15" s="340"/>
      <c r="F15" s="341"/>
      <c r="G15" s="340"/>
      <c r="H15" s="342"/>
      <c r="I15" s="344"/>
      <c r="J15" s="220" t="s">
        <v>152</v>
      </c>
      <c r="K15" s="100"/>
      <c r="L15" s="181" t="s">
        <v>41</v>
      </c>
      <c r="M15" s="166"/>
      <c r="O15" s="98"/>
    </row>
    <row r="16" spans="1:15" s="62" customFormat="1" ht="17.25" customHeight="1" x14ac:dyDescent="0.25">
      <c r="A16" s="295"/>
      <c r="B16" s="333"/>
      <c r="C16" s="339"/>
      <c r="D16" s="340"/>
      <c r="E16" s="340"/>
      <c r="F16" s="341"/>
      <c r="G16" s="340"/>
      <c r="H16" s="345"/>
      <c r="I16" s="344"/>
      <c r="J16" s="220" t="s">
        <v>152</v>
      </c>
      <c r="K16" s="100" t="s">
        <v>901</v>
      </c>
      <c r="L16" s="181" t="s">
        <v>41</v>
      </c>
      <c r="O16" s="98"/>
    </row>
    <row r="17" spans="1:15" s="62" customFormat="1" ht="18" customHeight="1" x14ac:dyDescent="0.25">
      <c r="A17" s="295"/>
      <c r="B17" s="338"/>
      <c r="C17" s="339"/>
      <c r="D17" s="340"/>
      <c r="E17" s="340"/>
      <c r="F17" s="341"/>
      <c r="G17" s="340"/>
      <c r="H17" s="345"/>
      <c r="I17" s="344"/>
      <c r="J17" s="220" t="s">
        <v>152</v>
      </c>
      <c r="K17" s="100"/>
      <c r="L17" s="181" t="s">
        <v>41</v>
      </c>
      <c r="O17" s="98"/>
    </row>
    <row r="18" spans="1:15" s="62" customFormat="1" ht="18" customHeight="1" x14ac:dyDescent="0.25">
      <c r="A18" s="295"/>
      <c r="B18" s="338"/>
      <c r="C18" s="339"/>
      <c r="D18" s="340"/>
      <c r="E18" s="340"/>
      <c r="F18" s="341"/>
      <c r="G18" s="340"/>
      <c r="H18" s="345"/>
      <c r="I18" s="344"/>
      <c r="J18" s="220" t="s">
        <v>152</v>
      </c>
      <c r="K18" s="100"/>
      <c r="L18" s="181" t="s">
        <v>41</v>
      </c>
      <c r="O18" s="98"/>
    </row>
    <row r="19" spans="1:15" s="62" customFormat="1" ht="18" customHeight="1" x14ac:dyDescent="0.25">
      <c r="A19" s="295"/>
      <c r="B19" s="338"/>
      <c r="C19" s="339"/>
      <c r="D19" s="340"/>
      <c r="E19" s="340"/>
      <c r="F19" s="341"/>
      <c r="G19" s="340"/>
      <c r="H19" s="345"/>
      <c r="I19" s="344"/>
      <c r="J19" s="220" t="s">
        <v>152</v>
      </c>
      <c r="K19" s="100"/>
      <c r="L19" s="181" t="s">
        <v>41</v>
      </c>
      <c r="O19" s="98"/>
    </row>
    <row r="20" spans="1:15" s="62" customFormat="1" ht="18" customHeight="1" x14ac:dyDescent="0.25">
      <c r="A20" s="295"/>
      <c r="B20" s="338"/>
      <c r="C20" s="339"/>
      <c r="D20" s="340"/>
      <c r="E20" s="340"/>
      <c r="F20" s="341"/>
      <c r="G20" s="340"/>
      <c r="H20" s="345"/>
      <c r="I20" s="344"/>
      <c r="J20" s="220" t="s">
        <v>152</v>
      </c>
      <c r="K20" s="100"/>
      <c r="L20" s="181" t="s">
        <v>41</v>
      </c>
      <c r="O20" s="98"/>
    </row>
    <row r="21" spans="1:15" s="62" customFormat="1" ht="18" customHeight="1" x14ac:dyDescent="0.25">
      <c r="A21" s="295"/>
      <c r="B21" s="338"/>
      <c r="C21" s="339"/>
      <c r="D21" s="340"/>
      <c r="E21" s="340"/>
      <c r="F21" s="341"/>
      <c r="G21" s="340"/>
      <c r="H21" s="345"/>
      <c r="I21" s="344"/>
      <c r="J21" s="220" t="s">
        <v>152</v>
      </c>
      <c r="K21" s="100"/>
      <c r="L21" s="181" t="s">
        <v>41</v>
      </c>
      <c r="O21" s="98"/>
    </row>
    <row r="22" spans="1:15" s="62" customFormat="1" ht="18" customHeight="1" x14ac:dyDescent="0.25">
      <c r="A22" s="295"/>
      <c r="B22" s="277"/>
      <c r="C22" s="216"/>
      <c r="D22" s="181"/>
      <c r="E22" s="181"/>
      <c r="F22" s="217"/>
      <c r="G22" s="181"/>
      <c r="H22" s="242"/>
      <c r="I22" s="221"/>
      <c r="J22" s="220" t="s">
        <v>152</v>
      </c>
      <c r="K22" s="100"/>
      <c r="L22" s="181" t="s">
        <v>41</v>
      </c>
      <c r="O22" s="98"/>
    </row>
    <row r="23" spans="1:15" s="62" customFormat="1" ht="18" customHeight="1" x14ac:dyDescent="0.25">
      <c r="A23" s="215"/>
      <c r="B23" s="277"/>
      <c r="C23" s="216"/>
      <c r="D23" s="181"/>
      <c r="E23" s="181"/>
      <c r="F23" s="217"/>
      <c r="G23" s="181"/>
      <c r="H23" s="242"/>
      <c r="I23" s="221"/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15"/>
      <c r="B24" s="277"/>
      <c r="C24" s="216"/>
      <c r="D24" s="181"/>
      <c r="E24" s="181"/>
      <c r="F24" s="217"/>
      <c r="G24" s="181"/>
      <c r="H24" s="242"/>
      <c r="I24" s="221"/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240"/>
      <c r="B25" s="207"/>
      <c r="C25" s="100"/>
      <c r="D25" s="100"/>
      <c r="E25" s="100"/>
      <c r="F25" s="241"/>
      <c r="G25" s="218"/>
      <c r="H25" s="242"/>
      <c r="I25" s="221"/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240"/>
      <c r="B26" s="207"/>
      <c r="C26" s="100"/>
      <c r="D26" s="100"/>
      <c r="E26" s="100"/>
      <c r="F26" s="241"/>
      <c r="G26" s="100"/>
      <c r="H26" s="242"/>
      <c r="I26" s="221"/>
      <c r="J26" s="220" t="s">
        <v>152</v>
      </c>
      <c r="K26" s="100"/>
      <c r="L26" s="181" t="s">
        <v>41</v>
      </c>
      <c r="O26" s="98"/>
    </row>
    <row r="27" spans="1:15" s="62" customFormat="1" x14ac:dyDescent="0.25">
      <c r="A27" s="240"/>
      <c r="B27" s="100"/>
      <c r="C27" s="216"/>
      <c r="D27" s="100"/>
      <c r="E27" s="100"/>
      <c r="F27" s="241"/>
      <c r="G27" s="100"/>
      <c r="H27" s="140"/>
      <c r="I27" s="221"/>
      <c r="J27" s="216"/>
      <c r="K27" s="100"/>
      <c r="L27" s="100"/>
      <c r="O27" s="98"/>
    </row>
    <row r="28" spans="1:15" x14ac:dyDescent="0.25">
      <c r="I28" s="28"/>
      <c r="J28" s="28"/>
    </row>
    <row r="29" spans="1:15" x14ac:dyDescent="0.25">
      <c r="I29" s="63" t="s">
        <v>19</v>
      </c>
      <c r="J29" s="28"/>
      <c r="K29" s="326"/>
      <c r="L29" s="30"/>
    </row>
    <row r="30" spans="1:15" x14ac:dyDescent="0.25">
      <c r="I30" s="28" t="s">
        <v>109</v>
      </c>
      <c r="J30" s="28"/>
      <c r="K30" s="357" t="s">
        <v>1501</v>
      </c>
      <c r="L30" s="276"/>
    </row>
    <row r="31" spans="1:15" x14ac:dyDescent="0.25">
      <c r="B31" t="s">
        <v>20</v>
      </c>
      <c r="E31" t="s">
        <v>21</v>
      </c>
      <c r="I31" s="28" t="s">
        <v>110</v>
      </c>
      <c r="J31" s="132"/>
      <c r="K31" s="328" t="s">
        <v>1502</v>
      </c>
      <c r="L31" s="69">
        <v>1000</v>
      </c>
    </row>
    <row r="32" spans="1:15" x14ac:dyDescent="0.25">
      <c r="I32" s="28" t="s">
        <v>149</v>
      </c>
      <c r="J32" s="132"/>
      <c r="K32" t="s">
        <v>138</v>
      </c>
      <c r="L32" s="287">
        <v>61600</v>
      </c>
    </row>
    <row r="33" spans="2:12" x14ac:dyDescent="0.25">
      <c r="I33" s="28" t="s">
        <v>601</v>
      </c>
      <c r="J33" s="132"/>
      <c r="K33" s="274"/>
      <c r="L33" s="69"/>
    </row>
    <row r="34" spans="2:12" x14ac:dyDescent="0.25">
      <c r="I34" s="28" t="s">
        <v>111</v>
      </c>
      <c r="J34" s="130"/>
      <c r="K34" s="274"/>
      <c r="L34" s="287"/>
    </row>
    <row r="35" spans="2:12" x14ac:dyDescent="0.25">
      <c r="B35" s="29"/>
      <c r="E35" s="251"/>
      <c r="F35" s="251"/>
      <c r="G35" s="251"/>
      <c r="H35" s="251"/>
      <c r="I35" s="28" t="s">
        <v>113</v>
      </c>
      <c r="J35" s="132"/>
      <c r="L35" s="69"/>
    </row>
    <row r="36" spans="2:12" x14ac:dyDescent="0.25">
      <c r="B36" s="267" t="s">
        <v>966</v>
      </c>
      <c r="C36" s="267"/>
      <c r="D36" s="267"/>
      <c r="E36" s="268" t="s">
        <v>157</v>
      </c>
      <c r="F36" s="252"/>
      <c r="G36" s="252"/>
      <c r="H36" s="252"/>
      <c r="I36" s="28" t="s">
        <v>114</v>
      </c>
      <c r="J36" s="130"/>
      <c r="L36" s="69"/>
    </row>
    <row r="37" spans="2:12" x14ac:dyDescent="0.25">
      <c r="B37" t="s">
        <v>967</v>
      </c>
      <c r="E37" t="s">
        <v>158</v>
      </c>
      <c r="I37" s="28" t="s">
        <v>22</v>
      </c>
      <c r="J37" s="131"/>
    </row>
    <row r="38" spans="2:12" x14ac:dyDescent="0.25">
      <c r="I38" s="3" t="s">
        <v>115</v>
      </c>
      <c r="J38" s="132"/>
      <c r="L38" s="30"/>
    </row>
    <row r="39" spans="2:12" x14ac:dyDescent="0.25">
      <c r="I39" s="3" t="s">
        <v>87</v>
      </c>
      <c r="J39" s="132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05618-9240-4E83-A271-0ED13F3C7521}">
  <sheetPr>
    <tabColor theme="5"/>
  </sheetPr>
  <dimension ref="A1:U349"/>
  <sheetViews>
    <sheetView view="pageBreakPreview" topLeftCell="A100" zoomScale="106" zoomScaleNormal="100" zoomScaleSheetLayoutView="106" workbookViewId="0">
      <selection activeCell="H111" sqref="H111"/>
    </sheetView>
  </sheetViews>
  <sheetFormatPr defaultRowHeight="15" x14ac:dyDescent="0.25"/>
  <cols>
    <col min="1" max="1" width="4.7109375" style="331" customWidth="1"/>
    <col min="2" max="2" width="15" style="331" customWidth="1"/>
    <col min="3" max="3" width="18" style="62" customWidth="1"/>
    <col min="4" max="4" width="7.28515625" style="62" customWidth="1"/>
    <col min="5" max="5" width="17.7109375" style="62" customWidth="1"/>
    <col min="6" max="6" width="14.5703125" style="62" customWidth="1"/>
    <col min="7" max="7" width="14.28515625" style="62" customWidth="1"/>
    <col min="8" max="8" width="14" style="62" customWidth="1"/>
    <col min="9" max="9" width="16.42578125" style="62" customWidth="1"/>
    <col min="10" max="10" width="16.85546875" style="122" customWidth="1"/>
    <col min="11" max="11" width="9.5703125" style="62" customWidth="1"/>
    <col min="12" max="12" width="17.85546875" style="62" customWidth="1"/>
    <col min="16" max="16" width="4.5703125" customWidth="1"/>
    <col min="17" max="17" width="14.28515625" customWidth="1"/>
    <col min="18" max="18" width="12.42578125" customWidth="1"/>
  </cols>
  <sheetData>
    <row r="1" spans="1:20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  <c r="L1" s="619"/>
    </row>
    <row r="2" spans="1:20" ht="18" x14ac:dyDescent="0.25">
      <c r="A2" s="620" t="s">
        <v>1266</v>
      </c>
      <c r="B2" s="620"/>
      <c r="C2" s="621"/>
      <c r="D2" s="621"/>
      <c r="E2" s="621"/>
      <c r="F2" s="621"/>
      <c r="G2" s="621"/>
      <c r="H2" s="621"/>
      <c r="I2" s="621"/>
      <c r="J2" s="621"/>
      <c r="K2" s="621"/>
      <c r="L2" s="621"/>
    </row>
    <row r="3" spans="1:20" x14ac:dyDescent="0.25">
      <c r="C3" s="102"/>
      <c r="D3" s="78"/>
      <c r="E3" s="102"/>
      <c r="F3" s="102"/>
      <c r="H3" s="78"/>
      <c r="I3" s="83"/>
      <c r="J3" s="103"/>
      <c r="K3" s="104" t="s">
        <v>1557</v>
      </c>
      <c r="L3" s="105"/>
    </row>
    <row r="4" spans="1:20" x14ac:dyDescent="0.25">
      <c r="C4" s="102"/>
      <c r="D4" s="78"/>
      <c r="E4" s="102"/>
      <c r="F4" s="102"/>
      <c r="H4" s="78"/>
      <c r="I4" s="83"/>
      <c r="J4" s="106"/>
      <c r="K4" s="95" t="s">
        <v>89</v>
      </c>
      <c r="L4" s="126">
        <v>80</v>
      </c>
    </row>
    <row r="5" spans="1:20" x14ac:dyDescent="0.25">
      <c r="C5" s="102"/>
      <c r="D5" s="78"/>
      <c r="E5" s="102"/>
      <c r="F5" s="107"/>
      <c r="H5" s="78"/>
      <c r="I5" s="83"/>
      <c r="J5" s="106"/>
      <c r="K5" s="95" t="s">
        <v>91</v>
      </c>
      <c r="L5" s="126">
        <v>15</v>
      </c>
    </row>
    <row r="6" spans="1:20" x14ac:dyDescent="0.25">
      <c r="A6" s="622" t="s">
        <v>117</v>
      </c>
      <c r="B6" s="622"/>
      <c r="C6" s="622"/>
      <c r="D6" s="79"/>
      <c r="E6" s="107"/>
      <c r="F6" s="108"/>
      <c r="G6" s="60"/>
      <c r="H6" s="79"/>
      <c r="I6" s="84"/>
      <c r="J6" s="103"/>
      <c r="K6" s="101" t="s">
        <v>1558</v>
      </c>
      <c r="L6" s="109"/>
    </row>
    <row r="7" spans="1:20" x14ac:dyDescent="0.25">
      <c r="A7" s="110"/>
      <c r="B7" s="347"/>
      <c r="C7" s="111"/>
      <c r="D7" s="80"/>
      <c r="E7" s="169"/>
      <c r="F7" s="169"/>
      <c r="G7" s="613" t="s">
        <v>1</v>
      </c>
      <c r="H7" s="623"/>
      <c r="I7" s="614"/>
      <c r="J7" s="112"/>
      <c r="K7" s="624" t="s">
        <v>2</v>
      </c>
      <c r="L7" s="625"/>
      <c r="Q7" s="30"/>
    </row>
    <row r="8" spans="1:20" x14ac:dyDescent="0.25">
      <c r="A8" s="629" t="s">
        <v>3</v>
      </c>
      <c r="B8" s="629"/>
      <c r="C8" s="630"/>
      <c r="D8" s="18" t="s">
        <v>4</v>
      </c>
      <c r="E8" s="332" t="s">
        <v>5</v>
      </c>
      <c r="F8" s="73" t="s">
        <v>6</v>
      </c>
      <c r="G8" s="11" t="s">
        <v>7</v>
      </c>
      <c r="H8" s="81"/>
      <c r="I8" s="12" t="s">
        <v>8</v>
      </c>
      <c r="J8" s="74" t="s">
        <v>9</v>
      </c>
      <c r="K8" s="96"/>
      <c r="L8" s="113"/>
      <c r="Q8" s="214"/>
    </row>
    <row r="9" spans="1:20" x14ac:dyDescent="0.25">
      <c r="A9" s="114"/>
      <c r="B9" s="348"/>
      <c r="C9" s="115"/>
      <c r="D9" s="81"/>
      <c r="E9" s="116"/>
      <c r="F9" s="115"/>
      <c r="G9" s="17" t="s">
        <v>10</v>
      </c>
      <c r="H9" s="18" t="s">
        <v>11</v>
      </c>
      <c r="I9" s="12" t="s">
        <v>12</v>
      </c>
      <c r="J9" s="117"/>
      <c r="K9" s="332" t="s">
        <v>13</v>
      </c>
      <c r="L9" s="332" t="s">
        <v>14</v>
      </c>
      <c r="Q9" s="214"/>
    </row>
    <row r="10" spans="1:20" x14ac:dyDescent="0.25">
      <c r="A10" s="118"/>
      <c r="B10" s="349"/>
      <c r="C10" s="119"/>
      <c r="D10" s="82"/>
      <c r="E10" s="170"/>
      <c r="F10" s="170"/>
      <c r="G10" s="22"/>
      <c r="H10" s="85"/>
      <c r="I10" s="86" t="s">
        <v>15</v>
      </c>
      <c r="J10" s="120"/>
      <c r="K10" s="22"/>
      <c r="L10" s="51" t="s">
        <v>16</v>
      </c>
      <c r="Q10" s="214"/>
    </row>
    <row r="11" spans="1:20" x14ac:dyDescent="0.25">
      <c r="A11" s="142" t="s">
        <v>17</v>
      </c>
      <c r="B11" s="142"/>
      <c r="C11" s="59"/>
      <c r="D11" s="59"/>
      <c r="E11" s="59"/>
      <c r="F11" s="59"/>
      <c r="G11" s="59"/>
      <c r="H11" s="59"/>
      <c r="I11" s="59"/>
      <c r="J11" s="75"/>
      <c r="K11" s="59"/>
      <c r="L11" s="59"/>
      <c r="Q11" s="272" t="s">
        <v>1428</v>
      </c>
      <c r="S11" t="s">
        <v>160</v>
      </c>
      <c r="T11" t="s">
        <v>163</v>
      </c>
    </row>
    <row r="12" spans="1:20" x14ac:dyDescent="0.25">
      <c r="A12" s="228">
        <v>1</v>
      </c>
      <c r="B12" s="351" t="s">
        <v>1273</v>
      </c>
      <c r="C12" s="230" t="s">
        <v>1274</v>
      </c>
      <c r="D12" s="230" t="s">
        <v>160</v>
      </c>
      <c r="E12" s="230" t="s">
        <v>1008</v>
      </c>
      <c r="F12" s="230" t="s">
        <v>56</v>
      </c>
      <c r="G12" s="231" t="s">
        <v>1267</v>
      </c>
      <c r="H12" s="233" t="s">
        <v>40</v>
      </c>
      <c r="I12" s="232">
        <v>500</v>
      </c>
      <c r="J12" s="229">
        <v>100</v>
      </c>
      <c r="K12" s="224" t="s">
        <v>147</v>
      </c>
      <c r="L12" s="224" t="s">
        <v>41</v>
      </c>
      <c r="N12">
        <f>I12/5</f>
        <v>100</v>
      </c>
      <c r="P12" s="30"/>
      <c r="Q12" s="320" t="s">
        <v>138</v>
      </c>
      <c r="R12" s="27">
        <f>SUM(I12:I71,I73:I74,I76)</f>
        <v>163250</v>
      </c>
      <c r="S12" s="320">
        <v>42</v>
      </c>
      <c r="T12">
        <v>13</v>
      </c>
    </row>
    <row r="13" spans="1:20" x14ac:dyDescent="0.25">
      <c r="A13" s="228">
        <v>1</v>
      </c>
      <c r="B13" s="351" t="s">
        <v>1276</v>
      </c>
      <c r="C13" s="230" t="s">
        <v>1275</v>
      </c>
      <c r="D13" s="230" t="s">
        <v>160</v>
      </c>
      <c r="E13" s="230" t="s">
        <v>1173</v>
      </c>
      <c r="F13" s="230" t="s">
        <v>48</v>
      </c>
      <c r="G13" s="231" t="s">
        <v>1268</v>
      </c>
      <c r="H13" s="233" t="s">
        <v>40</v>
      </c>
      <c r="I13" s="232">
        <v>1000</v>
      </c>
      <c r="J13" s="229">
        <v>200</v>
      </c>
      <c r="K13" s="224" t="s">
        <v>147</v>
      </c>
      <c r="L13" s="224" t="s">
        <v>41</v>
      </c>
      <c r="N13">
        <f t="shared" ref="N13:N162" si="0">I13/5</f>
        <v>200</v>
      </c>
      <c r="P13" s="30"/>
      <c r="Q13" s="321" t="s">
        <v>1420</v>
      </c>
      <c r="R13" s="27">
        <f>SUM(I72,I75)</f>
        <v>150</v>
      </c>
      <c r="S13" s="320">
        <v>2</v>
      </c>
    </row>
    <row r="14" spans="1:20" x14ac:dyDescent="0.25">
      <c r="A14" s="228">
        <v>1</v>
      </c>
      <c r="B14" s="351" t="s">
        <v>1278</v>
      </c>
      <c r="C14" s="230" t="s">
        <v>1277</v>
      </c>
      <c r="D14" s="269" t="s">
        <v>163</v>
      </c>
      <c r="E14" s="230" t="s">
        <v>754</v>
      </c>
      <c r="F14" s="230" t="s">
        <v>42</v>
      </c>
      <c r="G14" s="231" t="s">
        <v>1269</v>
      </c>
      <c r="H14" s="233" t="s">
        <v>40</v>
      </c>
      <c r="I14" s="232">
        <v>1000</v>
      </c>
      <c r="J14" s="229">
        <v>200</v>
      </c>
      <c r="K14" s="224" t="s">
        <v>147</v>
      </c>
      <c r="L14" s="224" t="s">
        <v>41</v>
      </c>
      <c r="N14">
        <f t="shared" si="0"/>
        <v>200</v>
      </c>
      <c r="P14" s="30"/>
      <c r="Q14" s="272" t="s">
        <v>1453</v>
      </c>
      <c r="R14" s="322"/>
      <c r="S14" s="320"/>
    </row>
    <row r="15" spans="1:20" x14ac:dyDescent="0.25">
      <c r="A15" s="228">
        <v>1</v>
      </c>
      <c r="B15" s="351" t="s">
        <v>1278</v>
      </c>
      <c r="C15" s="230" t="s">
        <v>1277</v>
      </c>
      <c r="D15" s="269" t="s">
        <v>163</v>
      </c>
      <c r="E15" s="230" t="s">
        <v>754</v>
      </c>
      <c r="F15" s="230" t="s">
        <v>42</v>
      </c>
      <c r="G15" s="231" t="s">
        <v>1269</v>
      </c>
      <c r="H15" s="346" t="s">
        <v>377</v>
      </c>
      <c r="I15" s="232">
        <v>1100</v>
      </c>
      <c r="J15" s="229">
        <v>220</v>
      </c>
      <c r="K15" s="224" t="s">
        <v>147</v>
      </c>
      <c r="L15" s="224" t="s">
        <v>41</v>
      </c>
      <c r="N15">
        <f t="shared" si="0"/>
        <v>220</v>
      </c>
      <c r="Q15" s="320" t="s">
        <v>138</v>
      </c>
      <c r="R15" s="322">
        <f>SUM(I77:I85)</f>
        <v>28800</v>
      </c>
      <c r="S15" s="320">
        <v>7</v>
      </c>
      <c r="T15">
        <v>2</v>
      </c>
    </row>
    <row r="16" spans="1:20" x14ac:dyDescent="0.25">
      <c r="A16" s="228">
        <v>1</v>
      </c>
      <c r="B16" s="351" t="s">
        <v>1280</v>
      </c>
      <c r="C16" s="230" t="s">
        <v>1279</v>
      </c>
      <c r="D16" s="269" t="s">
        <v>163</v>
      </c>
      <c r="E16" s="230" t="s">
        <v>430</v>
      </c>
      <c r="F16" s="230" t="s">
        <v>46</v>
      </c>
      <c r="G16" s="231" t="s">
        <v>1270</v>
      </c>
      <c r="H16" s="233" t="s">
        <v>40</v>
      </c>
      <c r="I16" s="232">
        <v>7000</v>
      </c>
      <c r="J16" s="229">
        <v>1400</v>
      </c>
      <c r="K16" s="224" t="s">
        <v>147</v>
      </c>
      <c r="L16" s="224" t="s">
        <v>41</v>
      </c>
      <c r="N16">
        <f t="shared" si="0"/>
        <v>1400</v>
      </c>
      <c r="Q16" s="272" t="s">
        <v>1499</v>
      </c>
      <c r="R16" s="322"/>
      <c r="S16" s="320"/>
    </row>
    <row r="17" spans="1:21" x14ac:dyDescent="0.25">
      <c r="A17" s="228">
        <v>1</v>
      </c>
      <c r="B17" s="351" t="s">
        <v>1282</v>
      </c>
      <c r="C17" s="230" t="s">
        <v>1281</v>
      </c>
      <c r="D17" s="269" t="s">
        <v>163</v>
      </c>
      <c r="E17" s="230" t="s">
        <v>1271</v>
      </c>
      <c r="F17" s="230" t="s">
        <v>43</v>
      </c>
      <c r="G17" s="231" t="s">
        <v>1272</v>
      </c>
      <c r="H17" s="233" t="s">
        <v>40</v>
      </c>
      <c r="I17" s="232">
        <v>1000</v>
      </c>
      <c r="J17" s="229">
        <v>200</v>
      </c>
      <c r="K17" s="224" t="s">
        <v>147</v>
      </c>
      <c r="L17" s="224" t="s">
        <v>41</v>
      </c>
      <c r="N17">
        <f t="shared" si="0"/>
        <v>200</v>
      </c>
      <c r="P17" s="69"/>
      <c r="Q17" s="320" t="s">
        <v>138</v>
      </c>
      <c r="R17" s="322">
        <f>SUM(I86:I95,I97:I98)</f>
        <v>21100</v>
      </c>
      <c r="S17" s="60">
        <v>12</v>
      </c>
      <c r="U17" t="s">
        <v>1500</v>
      </c>
    </row>
    <row r="18" spans="1:21" x14ac:dyDescent="0.25">
      <c r="A18" s="228">
        <v>1</v>
      </c>
      <c r="B18" s="351" t="s">
        <v>1284</v>
      </c>
      <c r="C18" s="230" t="s">
        <v>1283</v>
      </c>
      <c r="D18" s="230" t="s">
        <v>160</v>
      </c>
      <c r="E18" s="230" t="s">
        <v>180</v>
      </c>
      <c r="F18" s="230" t="s">
        <v>54</v>
      </c>
      <c r="G18" s="231" t="s">
        <v>1246</v>
      </c>
      <c r="H18" s="233" t="s">
        <v>40</v>
      </c>
      <c r="I18" s="232">
        <v>1000</v>
      </c>
      <c r="J18" s="229">
        <v>200</v>
      </c>
      <c r="K18" s="224" t="s">
        <v>147</v>
      </c>
      <c r="L18" s="224" t="s">
        <v>41</v>
      </c>
      <c r="N18">
        <f t="shared" si="0"/>
        <v>200</v>
      </c>
      <c r="Q18" s="293" t="s">
        <v>1420</v>
      </c>
      <c r="R18" s="27">
        <v>1200</v>
      </c>
      <c r="S18" s="60">
        <v>1</v>
      </c>
    </row>
    <row r="19" spans="1:21" x14ac:dyDescent="0.25">
      <c r="A19" s="228">
        <v>1</v>
      </c>
      <c r="B19" s="351" t="s">
        <v>1285</v>
      </c>
      <c r="C19" s="230" t="s">
        <v>1286</v>
      </c>
      <c r="D19" s="230" t="s">
        <v>160</v>
      </c>
      <c r="E19" s="230" t="s">
        <v>194</v>
      </c>
      <c r="F19" s="230" t="s">
        <v>43</v>
      </c>
      <c r="G19" s="231" t="s">
        <v>1287</v>
      </c>
      <c r="H19" s="233" t="s">
        <v>40</v>
      </c>
      <c r="I19" s="232">
        <v>300</v>
      </c>
      <c r="J19" s="229">
        <v>60</v>
      </c>
      <c r="K19" s="224" t="s">
        <v>147</v>
      </c>
      <c r="L19" s="224" t="s">
        <v>41</v>
      </c>
      <c r="N19">
        <f t="shared" si="0"/>
        <v>60</v>
      </c>
      <c r="P19" s="30"/>
      <c r="Q19" s="272" t="s">
        <v>1556</v>
      </c>
      <c r="R19" s="322"/>
      <c r="S19" s="320"/>
    </row>
    <row r="20" spans="1:21" s="62" customFormat="1" x14ac:dyDescent="0.25">
      <c r="A20" s="228">
        <v>1</v>
      </c>
      <c r="B20" s="351" t="s">
        <v>1288</v>
      </c>
      <c r="C20" s="230" t="s">
        <v>1289</v>
      </c>
      <c r="D20" s="269" t="s">
        <v>163</v>
      </c>
      <c r="E20" s="230" t="s">
        <v>164</v>
      </c>
      <c r="F20" s="230" t="s">
        <v>44</v>
      </c>
      <c r="G20" s="231" t="s">
        <v>1290</v>
      </c>
      <c r="H20" s="233" t="s">
        <v>40</v>
      </c>
      <c r="I20" s="232">
        <v>10000</v>
      </c>
      <c r="J20" s="229">
        <v>2000</v>
      </c>
      <c r="K20" s="224" t="s">
        <v>147</v>
      </c>
      <c r="L20" s="224" t="s">
        <v>41</v>
      </c>
      <c r="N20" s="62">
        <f t="shared" si="0"/>
        <v>2000</v>
      </c>
      <c r="Q20" s="320" t="s">
        <v>138</v>
      </c>
      <c r="R20" s="98">
        <f>SUM(I99:I100,I102,I104:I105,I106:I110,I112:I115,I117,I119)</f>
        <v>44300</v>
      </c>
      <c r="S20" s="60">
        <v>15</v>
      </c>
    </row>
    <row r="21" spans="1:21" x14ac:dyDescent="0.25">
      <c r="A21" s="228">
        <v>1</v>
      </c>
      <c r="B21" s="351" t="s">
        <v>1291</v>
      </c>
      <c r="C21" s="230" t="s">
        <v>1292</v>
      </c>
      <c r="D21" s="230" t="s">
        <v>160</v>
      </c>
      <c r="E21" s="230" t="s">
        <v>1293</v>
      </c>
      <c r="F21" s="230" t="s">
        <v>42</v>
      </c>
      <c r="G21" s="231" t="s">
        <v>1294</v>
      </c>
      <c r="H21" s="233" t="s">
        <v>40</v>
      </c>
      <c r="I21" s="232">
        <v>4750</v>
      </c>
      <c r="J21" s="229" t="s">
        <v>152</v>
      </c>
      <c r="K21" s="224" t="s">
        <v>147</v>
      </c>
      <c r="L21" s="224" t="s">
        <v>41</v>
      </c>
      <c r="N21">
        <f t="shared" si="0"/>
        <v>950</v>
      </c>
      <c r="Q21" s="293" t="s">
        <v>1420</v>
      </c>
      <c r="R21" s="30">
        <f>SUM(I101,I103,I111,I116,I118,I120)</f>
        <v>4600</v>
      </c>
      <c r="S21" s="60">
        <v>6</v>
      </c>
    </row>
    <row r="22" spans="1:21" x14ac:dyDescent="0.25">
      <c r="A22" s="228">
        <v>1</v>
      </c>
      <c r="B22" s="351" t="s">
        <v>1295</v>
      </c>
      <c r="C22" s="230" t="s">
        <v>1296</v>
      </c>
      <c r="D22" s="230" t="s">
        <v>160</v>
      </c>
      <c r="E22" s="230" t="s">
        <v>1297</v>
      </c>
      <c r="F22" s="230" t="s">
        <v>62</v>
      </c>
      <c r="G22" s="231" t="s">
        <v>1298</v>
      </c>
      <c r="H22" s="233" t="s">
        <v>40</v>
      </c>
      <c r="I22" s="232">
        <v>200</v>
      </c>
      <c r="J22" s="229" t="s">
        <v>152</v>
      </c>
      <c r="K22" s="224" t="s">
        <v>147</v>
      </c>
      <c r="L22" s="224" t="s">
        <v>41</v>
      </c>
      <c r="N22">
        <f t="shared" si="0"/>
        <v>40</v>
      </c>
      <c r="R22" s="30"/>
    </row>
    <row r="23" spans="1:21" x14ac:dyDescent="0.25">
      <c r="A23" s="228">
        <v>1</v>
      </c>
      <c r="B23" s="351" t="s">
        <v>1299</v>
      </c>
      <c r="C23" s="230" t="s">
        <v>1300</v>
      </c>
      <c r="D23" s="230" t="s">
        <v>160</v>
      </c>
      <c r="E23" s="230" t="s">
        <v>1301</v>
      </c>
      <c r="F23" s="230" t="s">
        <v>68</v>
      </c>
      <c r="G23" s="231" t="s">
        <v>1302</v>
      </c>
      <c r="H23" s="233" t="s">
        <v>40</v>
      </c>
      <c r="I23" s="232">
        <v>500</v>
      </c>
      <c r="J23" s="229" t="s">
        <v>152</v>
      </c>
      <c r="K23" s="224" t="s">
        <v>147</v>
      </c>
      <c r="L23" s="224" t="s">
        <v>41</v>
      </c>
      <c r="N23">
        <f t="shared" si="0"/>
        <v>100</v>
      </c>
    </row>
    <row r="24" spans="1:21" x14ac:dyDescent="0.25">
      <c r="A24" s="228">
        <v>1</v>
      </c>
      <c r="B24" s="351" t="s">
        <v>1299</v>
      </c>
      <c r="C24" s="230" t="s">
        <v>1300</v>
      </c>
      <c r="D24" s="230" t="s">
        <v>160</v>
      </c>
      <c r="E24" s="230" t="s">
        <v>1301</v>
      </c>
      <c r="F24" s="230" t="s">
        <v>68</v>
      </c>
      <c r="G24" s="231" t="s">
        <v>1302</v>
      </c>
      <c r="H24" s="233" t="s">
        <v>40</v>
      </c>
      <c r="I24" s="232">
        <v>2000</v>
      </c>
      <c r="J24" s="229">
        <v>400</v>
      </c>
      <c r="K24" s="224" t="s">
        <v>147</v>
      </c>
      <c r="L24" s="224" t="s">
        <v>41</v>
      </c>
      <c r="N24">
        <f t="shared" si="0"/>
        <v>400</v>
      </c>
      <c r="Q24" s="30"/>
    </row>
    <row r="25" spans="1:21" x14ac:dyDescent="0.25">
      <c r="A25" s="228">
        <v>1</v>
      </c>
      <c r="B25" s="351" t="s">
        <v>1303</v>
      </c>
      <c r="C25" s="230" t="s">
        <v>1304</v>
      </c>
      <c r="D25" s="269" t="s">
        <v>163</v>
      </c>
      <c r="E25" s="230" t="s">
        <v>194</v>
      </c>
      <c r="F25" s="230" t="s">
        <v>43</v>
      </c>
      <c r="G25" s="231"/>
      <c r="H25" s="233" t="s">
        <v>40</v>
      </c>
      <c r="I25" s="232">
        <v>2000</v>
      </c>
      <c r="J25" s="229">
        <v>400</v>
      </c>
      <c r="K25" s="224" t="s">
        <v>147</v>
      </c>
      <c r="L25" s="224" t="s">
        <v>41</v>
      </c>
      <c r="N25">
        <f t="shared" si="0"/>
        <v>400</v>
      </c>
      <c r="Q25" s="30"/>
    </row>
    <row r="26" spans="1:21" x14ac:dyDescent="0.25">
      <c r="A26" s="228">
        <v>1</v>
      </c>
      <c r="B26" s="351" t="s">
        <v>1305</v>
      </c>
      <c r="C26" s="230" t="s">
        <v>1306</v>
      </c>
      <c r="D26" s="230" t="s">
        <v>160</v>
      </c>
      <c r="E26" s="230" t="s">
        <v>60</v>
      </c>
      <c r="F26" s="230" t="s">
        <v>54</v>
      </c>
      <c r="G26" s="231"/>
      <c r="H26" s="233" t="s">
        <v>40</v>
      </c>
      <c r="I26" s="232">
        <v>1000</v>
      </c>
      <c r="J26" s="229">
        <v>200</v>
      </c>
      <c r="K26" s="224" t="s">
        <v>147</v>
      </c>
      <c r="L26" s="224" t="s">
        <v>41</v>
      </c>
      <c r="N26">
        <f t="shared" si="0"/>
        <v>200</v>
      </c>
      <c r="Q26" s="30"/>
      <c r="R26" s="30"/>
    </row>
    <row r="27" spans="1:21" x14ac:dyDescent="0.25">
      <c r="A27" s="228">
        <v>1</v>
      </c>
      <c r="B27" s="351" t="s">
        <v>1307</v>
      </c>
      <c r="C27" s="230" t="s">
        <v>1308</v>
      </c>
      <c r="D27" s="269" t="s">
        <v>163</v>
      </c>
      <c r="E27" s="230" t="s">
        <v>299</v>
      </c>
      <c r="F27" s="230" t="s">
        <v>42</v>
      </c>
      <c r="G27" s="231"/>
      <c r="H27" s="233" t="s">
        <v>40</v>
      </c>
      <c r="I27" s="232">
        <v>1500</v>
      </c>
      <c r="J27" s="229" t="s">
        <v>152</v>
      </c>
      <c r="K27" s="224" t="s">
        <v>147</v>
      </c>
      <c r="L27" s="224" t="s">
        <v>41</v>
      </c>
      <c r="N27">
        <f t="shared" si="0"/>
        <v>300</v>
      </c>
      <c r="R27" s="69"/>
    </row>
    <row r="28" spans="1:21" x14ac:dyDescent="0.25">
      <c r="A28" s="228">
        <v>1</v>
      </c>
      <c r="B28" s="351" t="s">
        <v>1309</v>
      </c>
      <c r="C28" s="230" t="s">
        <v>1310</v>
      </c>
      <c r="D28" s="230" t="s">
        <v>160</v>
      </c>
      <c r="E28" s="230" t="s">
        <v>430</v>
      </c>
      <c r="F28" s="230" t="s">
        <v>46</v>
      </c>
      <c r="G28" s="231"/>
      <c r="H28" s="233" t="s">
        <v>40</v>
      </c>
      <c r="I28" s="232">
        <v>3600</v>
      </c>
      <c r="J28" s="229">
        <v>720</v>
      </c>
      <c r="K28" s="224" t="s">
        <v>147</v>
      </c>
      <c r="L28" s="224" t="s">
        <v>41</v>
      </c>
      <c r="N28">
        <f t="shared" si="0"/>
        <v>720</v>
      </c>
      <c r="Q28" s="30"/>
    </row>
    <row r="29" spans="1:21" x14ac:dyDescent="0.25">
      <c r="A29" s="228">
        <v>2</v>
      </c>
      <c r="B29" s="351" t="s">
        <v>1311</v>
      </c>
      <c r="C29" s="230" t="s">
        <v>1312</v>
      </c>
      <c r="D29" s="230" t="s">
        <v>160</v>
      </c>
      <c r="E29" s="230" t="s">
        <v>267</v>
      </c>
      <c r="F29" s="230" t="s">
        <v>44</v>
      </c>
      <c r="G29" s="231" t="s">
        <v>1313</v>
      </c>
      <c r="H29" s="233" t="s">
        <v>40</v>
      </c>
      <c r="I29" s="232">
        <v>20000</v>
      </c>
      <c r="J29" s="229">
        <v>4000</v>
      </c>
      <c r="K29" s="224" t="s">
        <v>147</v>
      </c>
      <c r="L29" s="224" t="s">
        <v>41</v>
      </c>
      <c r="N29">
        <f t="shared" si="0"/>
        <v>4000</v>
      </c>
    </row>
    <row r="30" spans="1:21" x14ac:dyDescent="0.25">
      <c r="A30" s="228">
        <v>2</v>
      </c>
      <c r="B30" s="351" t="s">
        <v>1311</v>
      </c>
      <c r="C30" s="230" t="s">
        <v>1312</v>
      </c>
      <c r="D30" s="230" t="s">
        <v>160</v>
      </c>
      <c r="E30" s="230" t="s">
        <v>267</v>
      </c>
      <c r="F30" s="230" t="s">
        <v>44</v>
      </c>
      <c r="G30" s="231"/>
      <c r="H30" s="346" t="s">
        <v>377</v>
      </c>
      <c r="I30" s="232">
        <v>6000</v>
      </c>
      <c r="J30" s="229">
        <v>1200</v>
      </c>
      <c r="K30" s="224" t="s">
        <v>147</v>
      </c>
      <c r="L30" s="224" t="s">
        <v>41</v>
      </c>
      <c r="N30">
        <f t="shared" si="0"/>
        <v>1200</v>
      </c>
    </row>
    <row r="31" spans="1:21" x14ac:dyDescent="0.25">
      <c r="A31" s="228">
        <v>2</v>
      </c>
      <c r="B31" s="351" t="s">
        <v>1314</v>
      </c>
      <c r="C31" s="230" t="s">
        <v>1315</v>
      </c>
      <c r="D31" s="230" t="s">
        <v>160</v>
      </c>
      <c r="E31" s="230" t="s">
        <v>1316</v>
      </c>
      <c r="F31" s="230" t="s">
        <v>60</v>
      </c>
      <c r="G31" s="231"/>
      <c r="H31" s="233" t="s">
        <v>40</v>
      </c>
      <c r="I31" s="232">
        <v>1500</v>
      </c>
      <c r="J31" s="229">
        <v>300</v>
      </c>
      <c r="K31" s="224" t="s">
        <v>147</v>
      </c>
      <c r="L31" s="224" t="s">
        <v>41</v>
      </c>
      <c r="N31">
        <f t="shared" si="0"/>
        <v>300</v>
      </c>
    </row>
    <row r="32" spans="1:21" x14ac:dyDescent="0.25">
      <c r="A32" s="228">
        <v>2</v>
      </c>
      <c r="B32" s="351" t="s">
        <v>1317</v>
      </c>
      <c r="C32" s="230" t="s">
        <v>1318</v>
      </c>
      <c r="D32" s="230" t="s">
        <v>160</v>
      </c>
      <c r="E32" s="230" t="s">
        <v>538</v>
      </c>
      <c r="F32" s="230" t="s">
        <v>49</v>
      </c>
      <c r="G32" s="231"/>
      <c r="H32" s="233" t="s">
        <v>40</v>
      </c>
      <c r="I32" s="232">
        <v>1500</v>
      </c>
      <c r="J32" s="229">
        <v>300</v>
      </c>
      <c r="K32" s="224" t="s">
        <v>147</v>
      </c>
      <c r="L32" s="224" t="s">
        <v>41</v>
      </c>
      <c r="N32">
        <f t="shared" si="0"/>
        <v>300</v>
      </c>
    </row>
    <row r="33" spans="1:18" x14ac:dyDescent="0.25">
      <c r="A33" s="228">
        <v>2</v>
      </c>
      <c r="B33" s="351" t="s">
        <v>1319</v>
      </c>
      <c r="C33" s="230" t="s">
        <v>1320</v>
      </c>
      <c r="D33" s="269" t="s">
        <v>163</v>
      </c>
      <c r="E33" s="230" t="s">
        <v>180</v>
      </c>
      <c r="F33" s="230" t="s">
        <v>69</v>
      </c>
      <c r="G33" s="231" t="s">
        <v>1321</v>
      </c>
      <c r="H33" s="233" t="s">
        <v>40</v>
      </c>
      <c r="I33" s="232">
        <v>5000</v>
      </c>
      <c r="J33" s="229" t="s">
        <v>152</v>
      </c>
      <c r="K33" s="224" t="s">
        <v>147</v>
      </c>
      <c r="L33" s="224" t="s">
        <v>41</v>
      </c>
      <c r="N33">
        <f t="shared" si="0"/>
        <v>1000</v>
      </c>
    </row>
    <row r="34" spans="1:18" x14ac:dyDescent="0.25">
      <c r="A34" s="228">
        <v>3</v>
      </c>
      <c r="B34" s="351" t="s">
        <v>1322</v>
      </c>
      <c r="C34" s="230" t="s">
        <v>1323</v>
      </c>
      <c r="D34" s="230" t="s">
        <v>160</v>
      </c>
      <c r="E34" s="230" t="s">
        <v>189</v>
      </c>
      <c r="F34" s="230" t="s">
        <v>42</v>
      </c>
      <c r="G34" s="231" t="s">
        <v>1324</v>
      </c>
      <c r="H34" s="233" t="s">
        <v>40</v>
      </c>
      <c r="I34" s="232">
        <v>5000</v>
      </c>
      <c r="J34" s="229">
        <v>1000</v>
      </c>
      <c r="K34" s="224" t="s">
        <v>147</v>
      </c>
      <c r="L34" s="224" t="s">
        <v>41</v>
      </c>
      <c r="N34">
        <f t="shared" si="0"/>
        <v>1000</v>
      </c>
    </row>
    <row r="35" spans="1:18" x14ac:dyDescent="0.25">
      <c r="A35" s="228">
        <v>3</v>
      </c>
      <c r="B35" s="351" t="s">
        <v>1325</v>
      </c>
      <c r="C35" s="230" t="s">
        <v>1326</v>
      </c>
      <c r="D35" s="230" t="s">
        <v>160</v>
      </c>
      <c r="E35" s="230" t="s">
        <v>1327</v>
      </c>
      <c r="F35" s="230" t="s">
        <v>46</v>
      </c>
      <c r="G35" s="231"/>
      <c r="H35" s="233" t="s">
        <v>40</v>
      </c>
      <c r="I35" s="232">
        <v>2500</v>
      </c>
      <c r="J35" s="229">
        <v>500</v>
      </c>
      <c r="K35" s="224" t="s">
        <v>147</v>
      </c>
      <c r="L35" s="224" t="s">
        <v>41</v>
      </c>
      <c r="N35">
        <f t="shared" si="0"/>
        <v>500</v>
      </c>
    </row>
    <row r="36" spans="1:18" x14ac:dyDescent="0.25">
      <c r="A36" s="228">
        <v>3</v>
      </c>
      <c r="B36" s="351" t="s">
        <v>1328</v>
      </c>
      <c r="C36" s="230" t="s">
        <v>1329</v>
      </c>
      <c r="D36" s="230" t="s">
        <v>160</v>
      </c>
      <c r="E36" s="230" t="s">
        <v>907</v>
      </c>
      <c r="F36" s="230" t="s">
        <v>47</v>
      </c>
      <c r="G36" s="231" t="s">
        <v>1330</v>
      </c>
      <c r="H36" s="233" t="s">
        <v>40</v>
      </c>
      <c r="I36" s="232">
        <v>2000</v>
      </c>
      <c r="J36" s="229">
        <v>400</v>
      </c>
      <c r="K36" s="224" t="s">
        <v>147</v>
      </c>
      <c r="L36" s="224" t="s">
        <v>41</v>
      </c>
      <c r="N36">
        <f t="shared" si="0"/>
        <v>400</v>
      </c>
    </row>
    <row r="37" spans="1:18" x14ac:dyDescent="0.25">
      <c r="A37" s="228">
        <v>3</v>
      </c>
      <c r="B37" s="351" t="s">
        <v>1331</v>
      </c>
      <c r="C37" s="230" t="s">
        <v>1332</v>
      </c>
      <c r="D37" s="230" t="s">
        <v>160</v>
      </c>
      <c r="E37" s="230" t="s">
        <v>1005</v>
      </c>
      <c r="F37" s="230" t="s">
        <v>45</v>
      </c>
      <c r="G37" s="231"/>
      <c r="H37" s="233" t="s">
        <v>40</v>
      </c>
      <c r="I37" s="232">
        <v>2000</v>
      </c>
      <c r="J37" s="229">
        <v>400</v>
      </c>
      <c r="K37" s="224" t="s">
        <v>147</v>
      </c>
      <c r="L37" s="224" t="s">
        <v>41</v>
      </c>
      <c r="N37">
        <f t="shared" si="0"/>
        <v>400</v>
      </c>
    </row>
    <row r="38" spans="1:18" x14ac:dyDescent="0.25">
      <c r="A38" s="228">
        <v>3</v>
      </c>
      <c r="B38" s="351" t="s">
        <v>1333</v>
      </c>
      <c r="C38" s="230" t="s">
        <v>1334</v>
      </c>
      <c r="D38" s="230" t="s">
        <v>160</v>
      </c>
      <c r="E38" s="230" t="s">
        <v>1335</v>
      </c>
      <c r="F38" s="230" t="s">
        <v>47</v>
      </c>
      <c r="G38" s="231"/>
      <c r="H38" s="233" t="s">
        <v>40</v>
      </c>
      <c r="I38" s="236">
        <v>500</v>
      </c>
      <c r="J38" s="271">
        <v>100</v>
      </c>
      <c r="K38" s="224" t="s">
        <v>147</v>
      </c>
      <c r="L38" s="224" t="s">
        <v>41</v>
      </c>
      <c r="N38">
        <f t="shared" si="0"/>
        <v>100</v>
      </c>
    </row>
    <row r="39" spans="1:18" x14ac:dyDescent="0.25">
      <c r="A39" s="228">
        <v>3</v>
      </c>
      <c r="B39" s="351" t="s">
        <v>1284</v>
      </c>
      <c r="C39" s="230" t="s">
        <v>1336</v>
      </c>
      <c r="D39" s="230" t="s">
        <v>160</v>
      </c>
      <c r="E39" s="230" t="s">
        <v>618</v>
      </c>
      <c r="F39" s="230" t="s">
        <v>43</v>
      </c>
      <c r="G39" s="231"/>
      <c r="H39" s="230" t="s">
        <v>40</v>
      </c>
      <c r="I39" s="236">
        <v>2500</v>
      </c>
      <c r="J39" s="271">
        <v>500</v>
      </c>
      <c r="K39" s="224" t="s">
        <v>147</v>
      </c>
      <c r="L39" s="224" t="s">
        <v>41</v>
      </c>
      <c r="N39">
        <f t="shared" si="0"/>
        <v>500</v>
      </c>
    </row>
    <row r="40" spans="1:18" x14ac:dyDescent="0.25">
      <c r="A40" s="228">
        <v>3</v>
      </c>
      <c r="B40" s="351" t="s">
        <v>1337</v>
      </c>
      <c r="C40" s="230" t="s">
        <v>1338</v>
      </c>
      <c r="D40" s="230" t="s">
        <v>160</v>
      </c>
      <c r="E40" s="230" t="s">
        <v>1339</v>
      </c>
      <c r="F40" s="230" t="s">
        <v>73</v>
      </c>
      <c r="G40" s="231" t="s">
        <v>1340</v>
      </c>
      <c r="H40" s="233" t="s">
        <v>40</v>
      </c>
      <c r="I40" s="236">
        <v>1500</v>
      </c>
      <c r="J40" s="271">
        <v>300</v>
      </c>
      <c r="K40" s="224" t="s">
        <v>147</v>
      </c>
      <c r="L40" s="224" t="s">
        <v>41</v>
      </c>
      <c r="N40">
        <f t="shared" si="0"/>
        <v>300</v>
      </c>
    </row>
    <row r="41" spans="1:18" x14ac:dyDescent="0.25">
      <c r="A41" s="228">
        <v>3</v>
      </c>
      <c r="B41" s="351" t="s">
        <v>1341</v>
      </c>
      <c r="C41" s="230" t="s">
        <v>1342</v>
      </c>
      <c r="D41" s="230" t="s">
        <v>160</v>
      </c>
      <c r="E41" s="230" t="s">
        <v>873</v>
      </c>
      <c r="F41" s="230" t="s">
        <v>48</v>
      </c>
      <c r="G41" s="231" t="s">
        <v>1343</v>
      </c>
      <c r="H41" s="233" t="s">
        <v>40</v>
      </c>
      <c r="I41" s="236">
        <v>5000</v>
      </c>
      <c r="J41" s="271">
        <v>1000</v>
      </c>
      <c r="K41" s="224" t="s">
        <v>147</v>
      </c>
      <c r="L41" s="224" t="s">
        <v>41</v>
      </c>
      <c r="N41">
        <f t="shared" si="0"/>
        <v>1000</v>
      </c>
    </row>
    <row r="42" spans="1:18" s="62" customFormat="1" x14ac:dyDescent="0.25">
      <c r="A42" s="228">
        <v>5</v>
      </c>
      <c r="B42" s="351" t="s">
        <v>1344</v>
      </c>
      <c r="C42" s="230" t="s">
        <v>1345</v>
      </c>
      <c r="D42" s="230" t="s">
        <v>160</v>
      </c>
      <c r="E42" s="230" t="s">
        <v>827</v>
      </c>
      <c r="F42" s="230" t="s">
        <v>69</v>
      </c>
      <c r="G42" s="231" t="s">
        <v>1346</v>
      </c>
      <c r="H42" s="230" t="s">
        <v>40</v>
      </c>
      <c r="I42" s="236">
        <v>4500</v>
      </c>
      <c r="J42" s="271" t="s">
        <v>152</v>
      </c>
      <c r="K42" s="224" t="s">
        <v>147</v>
      </c>
      <c r="L42" s="224" t="s">
        <v>41</v>
      </c>
      <c r="N42" s="62">
        <f t="shared" si="0"/>
        <v>900</v>
      </c>
    </row>
    <row r="43" spans="1:18" s="62" customFormat="1" x14ac:dyDescent="0.25">
      <c r="A43" s="228">
        <v>5</v>
      </c>
      <c r="B43" s="351" t="s">
        <v>1344</v>
      </c>
      <c r="C43" s="230" t="s">
        <v>1347</v>
      </c>
      <c r="D43" s="230" t="s">
        <v>160</v>
      </c>
      <c r="E43" s="230" t="s">
        <v>827</v>
      </c>
      <c r="F43" s="230" t="s">
        <v>69</v>
      </c>
      <c r="G43" s="231" t="s">
        <v>1346</v>
      </c>
      <c r="H43" s="230" t="s">
        <v>40</v>
      </c>
      <c r="I43" s="236">
        <v>2100</v>
      </c>
      <c r="J43" s="271" t="s">
        <v>152</v>
      </c>
      <c r="K43" s="224" t="s">
        <v>147</v>
      </c>
      <c r="L43" s="224" t="s">
        <v>41</v>
      </c>
      <c r="N43" s="62">
        <f t="shared" si="0"/>
        <v>420</v>
      </c>
      <c r="R43" s="325"/>
    </row>
    <row r="44" spans="1:18" s="62" customFormat="1" x14ac:dyDescent="0.25">
      <c r="A44" s="228">
        <v>5</v>
      </c>
      <c r="B44" s="351" t="s">
        <v>1348</v>
      </c>
      <c r="C44" s="230" t="s">
        <v>1349</v>
      </c>
      <c r="D44" s="230" t="s">
        <v>160</v>
      </c>
      <c r="E44" s="230" t="s">
        <v>1350</v>
      </c>
      <c r="F44" s="230" t="s">
        <v>64</v>
      </c>
      <c r="G44" s="231" t="s">
        <v>1351</v>
      </c>
      <c r="H44" s="233" t="s">
        <v>40</v>
      </c>
      <c r="I44" s="236">
        <v>1000</v>
      </c>
      <c r="J44" s="271" t="s">
        <v>152</v>
      </c>
      <c r="K44" s="224" t="s">
        <v>147</v>
      </c>
      <c r="L44" s="224" t="s">
        <v>41</v>
      </c>
      <c r="N44" s="62">
        <f t="shared" si="0"/>
        <v>200</v>
      </c>
    </row>
    <row r="45" spans="1:18" s="62" customFormat="1" x14ac:dyDescent="0.25">
      <c r="A45" s="228">
        <v>5</v>
      </c>
      <c r="B45" s="351" t="s">
        <v>1352</v>
      </c>
      <c r="C45" s="230" t="s">
        <v>1353</v>
      </c>
      <c r="D45" s="230" t="s">
        <v>160</v>
      </c>
      <c r="E45" s="230" t="s">
        <v>529</v>
      </c>
      <c r="F45" s="230" t="s">
        <v>64</v>
      </c>
      <c r="G45" s="231" t="s">
        <v>1354</v>
      </c>
      <c r="H45" s="230" t="s">
        <v>40</v>
      </c>
      <c r="I45" s="236">
        <v>1000</v>
      </c>
      <c r="J45" s="271" t="s">
        <v>152</v>
      </c>
      <c r="K45" s="224" t="s">
        <v>147</v>
      </c>
      <c r="L45" s="224" t="s">
        <v>41</v>
      </c>
      <c r="N45" s="62">
        <f t="shared" si="0"/>
        <v>200</v>
      </c>
    </row>
    <row r="46" spans="1:18" s="62" customFormat="1" x14ac:dyDescent="0.25">
      <c r="A46" s="228">
        <v>8</v>
      </c>
      <c r="B46" s="351" t="s">
        <v>1355</v>
      </c>
      <c r="C46" s="230" t="s">
        <v>1356</v>
      </c>
      <c r="D46" s="269" t="s">
        <v>163</v>
      </c>
      <c r="E46" s="230" t="s">
        <v>523</v>
      </c>
      <c r="F46" s="230" t="s">
        <v>42</v>
      </c>
      <c r="G46" s="231" t="s">
        <v>1357</v>
      </c>
      <c r="H46" s="230" t="s">
        <v>40</v>
      </c>
      <c r="I46" s="236">
        <v>4500</v>
      </c>
      <c r="J46" s="271" t="s">
        <v>152</v>
      </c>
      <c r="K46" s="224" t="s">
        <v>147</v>
      </c>
      <c r="L46" s="224" t="s">
        <v>41</v>
      </c>
      <c r="N46" s="62">
        <f t="shared" si="0"/>
        <v>900</v>
      </c>
    </row>
    <row r="47" spans="1:18" s="62" customFormat="1" x14ac:dyDescent="0.25">
      <c r="A47" s="228">
        <v>11</v>
      </c>
      <c r="B47" s="351" t="s">
        <v>1358</v>
      </c>
      <c r="C47" s="230" t="s">
        <v>1359</v>
      </c>
      <c r="D47" s="230" t="s">
        <v>160</v>
      </c>
      <c r="E47" s="230" t="s">
        <v>1360</v>
      </c>
      <c r="F47" s="230" t="s">
        <v>83</v>
      </c>
      <c r="G47" s="231" t="s">
        <v>1361</v>
      </c>
      <c r="H47" s="230" t="s">
        <v>40</v>
      </c>
      <c r="I47" s="236">
        <v>500</v>
      </c>
      <c r="J47" s="271">
        <v>100</v>
      </c>
      <c r="K47" s="224" t="s">
        <v>147</v>
      </c>
      <c r="L47" s="224" t="s">
        <v>41</v>
      </c>
      <c r="N47" s="62">
        <f t="shared" si="0"/>
        <v>100</v>
      </c>
    </row>
    <row r="48" spans="1:18" s="62" customFormat="1" x14ac:dyDescent="0.25">
      <c r="A48" s="228">
        <v>11</v>
      </c>
      <c r="B48" s="351" t="s">
        <v>1362</v>
      </c>
      <c r="C48" s="230" t="s">
        <v>1363</v>
      </c>
      <c r="D48" s="269" t="s">
        <v>163</v>
      </c>
      <c r="E48" s="230" t="s">
        <v>744</v>
      </c>
      <c r="F48" s="230" t="s">
        <v>56</v>
      </c>
      <c r="G48" s="231"/>
      <c r="H48" s="230" t="s">
        <v>40</v>
      </c>
      <c r="I48" s="236">
        <v>200</v>
      </c>
      <c r="J48" s="271">
        <v>40</v>
      </c>
      <c r="K48" s="224" t="s">
        <v>147</v>
      </c>
      <c r="L48" s="224" t="s">
        <v>41</v>
      </c>
      <c r="N48" s="62">
        <f t="shared" si="0"/>
        <v>40</v>
      </c>
    </row>
    <row r="49" spans="1:18" s="62" customFormat="1" x14ac:dyDescent="0.25">
      <c r="A49" s="228">
        <v>11</v>
      </c>
      <c r="B49" s="351" t="s">
        <v>1364</v>
      </c>
      <c r="C49" s="230" t="s">
        <v>1365</v>
      </c>
      <c r="D49" s="230" t="s">
        <v>160</v>
      </c>
      <c r="E49" s="230" t="s">
        <v>854</v>
      </c>
      <c r="F49" s="230" t="s">
        <v>57</v>
      </c>
      <c r="G49" s="231" t="s">
        <v>1366</v>
      </c>
      <c r="H49" s="230" t="s">
        <v>40</v>
      </c>
      <c r="I49" s="236">
        <v>5000</v>
      </c>
      <c r="J49" s="271">
        <v>1000</v>
      </c>
      <c r="K49" s="224" t="s">
        <v>147</v>
      </c>
      <c r="L49" s="224" t="s">
        <v>41</v>
      </c>
      <c r="N49" s="62">
        <f t="shared" si="0"/>
        <v>1000</v>
      </c>
    </row>
    <row r="50" spans="1:18" s="62" customFormat="1" x14ac:dyDescent="0.25">
      <c r="A50" s="228">
        <v>11</v>
      </c>
      <c r="B50" s="351" t="s">
        <v>1367</v>
      </c>
      <c r="C50" s="230" t="s">
        <v>1368</v>
      </c>
      <c r="D50" s="230" t="s">
        <v>160</v>
      </c>
      <c r="E50" s="230" t="s">
        <v>529</v>
      </c>
      <c r="F50" s="230" t="s">
        <v>64</v>
      </c>
      <c r="G50" s="231"/>
      <c r="H50" s="233" t="s">
        <v>40</v>
      </c>
      <c r="I50" s="236">
        <v>5000</v>
      </c>
      <c r="J50" s="271">
        <v>1000</v>
      </c>
      <c r="K50" s="224" t="s">
        <v>147</v>
      </c>
      <c r="L50" s="224" t="s">
        <v>41</v>
      </c>
      <c r="N50" s="62">
        <f t="shared" si="0"/>
        <v>1000</v>
      </c>
      <c r="R50" s="98"/>
    </row>
    <row r="51" spans="1:18" s="62" customFormat="1" x14ac:dyDescent="0.25">
      <c r="A51" s="228">
        <v>11</v>
      </c>
      <c r="B51" s="351" t="s">
        <v>1367</v>
      </c>
      <c r="C51" s="230" t="s">
        <v>1368</v>
      </c>
      <c r="D51" s="230" t="s">
        <v>160</v>
      </c>
      <c r="E51" s="230" t="s">
        <v>529</v>
      </c>
      <c r="F51" s="230" t="s">
        <v>64</v>
      </c>
      <c r="G51" s="231"/>
      <c r="H51" s="230" t="s">
        <v>40</v>
      </c>
      <c r="I51" s="236">
        <v>1000</v>
      </c>
      <c r="J51" s="271" t="s">
        <v>152</v>
      </c>
      <c r="K51" s="224" t="s">
        <v>147</v>
      </c>
      <c r="L51" s="224" t="s">
        <v>41</v>
      </c>
      <c r="N51" s="62">
        <f t="shared" si="0"/>
        <v>200</v>
      </c>
    </row>
    <row r="52" spans="1:18" s="62" customFormat="1" x14ac:dyDescent="0.25">
      <c r="A52" s="228">
        <v>11</v>
      </c>
      <c r="B52" s="351" t="s">
        <v>1369</v>
      </c>
      <c r="C52" s="230" t="s">
        <v>1370</v>
      </c>
      <c r="D52" s="230" t="s">
        <v>160</v>
      </c>
      <c r="E52" s="230" t="s">
        <v>1371</v>
      </c>
      <c r="F52" s="230" t="s">
        <v>64</v>
      </c>
      <c r="G52" s="231" t="s">
        <v>1372</v>
      </c>
      <c r="H52" s="233" t="s">
        <v>40</v>
      </c>
      <c r="I52" s="236">
        <v>1000</v>
      </c>
      <c r="J52" s="271">
        <v>200</v>
      </c>
      <c r="K52" s="224" t="s">
        <v>147</v>
      </c>
      <c r="L52" s="224" t="s">
        <v>41</v>
      </c>
      <c r="N52" s="62">
        <f t="shared" si="0"/>
        <v>200</v>
      </c>
    </row>
    <row r="53" spans="1:18" s="62" customFormat="1" x14ac:dyDescent="0.25">
      <c r="A53" s="228">
        <v>11</v>
      </c>
      <c r="B53" s="351" t="s">
        <v>1369</v>
      </c>
      <c r="C53" s="230" t="s">
        <v>1370</v>
      </c>
      <c r="D53" s="230" t="s">
        <v>160</v>
      </c>
      <c r="E53" s="230" t="s">
        <v>1371</v>
      </c>
      <c r="F53" s="230" t="s">
        <v>64</v>
      </c>
      <c r="G53" s="231" t="s">
        <v>1372</v>
      </c>
      <c r="H53" s="233" t="s">
        <v>40</v>
      </c>
      <c r="I53" s="236">
        <v>1000</v>
      </c>
      <c r="J53" s="271" t="s">
        <v>152</v>
      </c>
      <c r="K53" s="224" t="s">
        <v>147</v>
      </c>
      <c r="L53" s="224" t="s">
        <v>41</v>
      </c>
      <c r="N53" s="62">
        <f t="shared" si="0"/>
        <v>200</v>
      </c>
    </row>
    <row r="54" spans="1:18" s="62" customFormat="1" x14ac:dyDescent="0.25">
      <c r="A54" s="228">
        <v>11</v>
      </c>
      <c r="B54" s="351" t="s">
        <v>1503</v>
      </c>
      <c r="C54" s="230" t="s">
        <v>1373</v>
      </c>
      <c r="D54" s="230" t="s">
        <v>160</v>
      </c>
      <c r="E54" s="230" t="s">
        <v>180</v>
      </c>
      <c r="F54" s="230" t="s">
        <v>64</v>
      </c>
      <c r="G54" s="231" t="s">
        <v>1374</v>
      </c>
      <c r="H54" s="230" t="s">
        <v>40</v>
      </c>
      <c r="I54" s="236">
        <v>1000</v>
      </c>
      <c r="J54" s="271" t="s">
        <v>152</v>
      </c>
      <c r="K54" s="224" t="s">
        <v>147</v>
      </c>
      <c r="L54" s="224" t="s">
        <v>41</v>
      </c>
      <c r="N54" s="62">
        <f t="shared" si="0"/>
        <v>200</v>
      </c>
    </row>
    <row r="55" spans="1:18" s="62" customFormat="1" x14ac:dyDescent="0.25">
      <c r="A55" s="228">
        <v>11</v>
      </c>
      <c r="B55" s="351" t="s">
        <v>1503</v>
      </c>
      <c r="C55" s="230" t="s">
        <v>1373</v>
      </c>
      <c r="D55" s="230" t="s">
        <v>160</v>
      </c>
      <c r="E55" s="230" t="s">
        <v>180</v>
      </c>
      <c r="F55" s="230" t="s">
        <v>64</v>
      </c>
      <c r="G55" s="231" t="s">
        <v>1374</v>
      </c>
      <c r="H55" s="346" t="s">
        <v>377</v>
      </c>
      <c r="I55" s="236">
        <v>1000</v>
      </c>
      <c r="J55" s="271">
        <v>200</v>
      </c>
      <c r="K55" s="224" t="s">
        <v>147</v>
      </c>
      <c r="L55" s="224" t="s">
        <v>41</v>
      </c>
      <c r="N55" s="62">
        <f t="shared" si="0"/>
        <v>200</v>
      </c>
    </row>
    <row r="56" spans="1:18" s="62" customFormat="1" x14ac:dyDescent="0.25">
      <c r="A56" s="228">
        <v>11</v>
      </c>
      <c r="B56" s="351" t="s">
        <v>1375</v>
      </c>
      <c r="C56" s="230" t="s">
        <v>1376</v>
      </c>
      <c r="D56" s="230" t="s">
        <v>160</v>
      </c>
      <c r="E56" s="230" t="s">
        <v>180</v>
      </c>
      <c r="F56" s="230" t="s">
        <v>64</v>
      </c>
      <c r="G56" s="231" t="s">
        <v>1377</v>
      </c>
      <c r="H56" s="233" t="s">
        <v>40</v>
      </c>
      <c r="I56" s="236">
        <v>1000</v>
      </c>
      <c r="J56" s="271" t="s">
        <v>152</v>
      </c>
      <c r="K56" s="224" t="s">
        <v>147</v>
      </c>
      <c r="L56" s="224" t="s">
        <v>41</v>
      </c>
      <c r="N56" s="62">
        <f t="shared" si="0"/>
        <v>200</v>
      </c>
    </row>
    <row r="57" spans="1:18" s="62" customFormat="1" x14ac:dyDescent="0.25">
      <c r="A57" s="228">
        <v>11</v>
      </c>
      <c r="B57" s="351" t="s">
        <v>1375</v>
      </c>
      <c r="C57" s="230" t="s">
        <v>1376</v>
      </c>
      <c r="D57" s="230" t="s">
        <v>160</v>
      </c>
      <c r="E57" s="230" t="s">
        <v>180</v>
      </c>
      <c r="F57" s="230" t="s">
        <v>64</v>
      </c>
      <c r="G57" s="231" t="s">
        <v>1377</v>
      </c>
      <c r="H57" s="346" t="s">
        <v>377</v>
      </c>
      <c r="I57" s="236">
        <v>1000</v>
      </c>
      <c r="J57" s="271">
        <v>200</v>
      </c>
      <c r="K57" s="224" t="s">
        <v>147</v>
      </c>
      <c r="L57" s="224" t="s">
        <v>41</v>
      </c>
      <c r="N57" s="62">
        <f t="shared" si="0"/>
        <v>200</v>
      </c>
    </row>
    <row r="58" spans="1:18" s="62" customFormat="1" x14ac:dyDescent="0.25">
      <c r="A58" s="228">
        <v>11</v>
      </c>
      <c r="B58" s="351" t="s">
        <v>1378</v>
      </c>
      <c r="C58" s="230" t="s">
        <v>1379</v>
      </c>
      <c r="D58" s="230" t="s">
        <v>160</v>
      </c>
      <c r="E58" s="230" t="s">
        <v>1380</v>
      </c>
      <c r="F58" s="230" t="s">
        <v>44</v>
      </c>
      <c r="G58" s="231" t="s">
        <v>1381</v>
      </c>
      <c r="H58" s="230" t="s">
        <v>40</v>
      </c>
      <c r="I58" s="236">
        <v>3300</v>
      </c>
      <c r="J58" s="271">
        <v>660</v>
      </c>
      <c r="K58" s="224" t="s">
        <v>147</v>
      </c>
      <c r="L58" s="224" t="s">
        <v>41</v>
      </c>
      <c r="N58" s="62">
        <f t="shared" si="0"/>
        <v>660</v>
      </c>
    </row>
    <row r="59" spans="1:18" s="62" customFormat="1" x14ac:dyDescent="0.25">
      <c r="A59" s="228">
        <v>11</v>
      </c>
      <c r="B59" s="351" t="s">
        <v>1382</v>
      </c>
      <c r="C59" s="230" t="s">
        <v>1383</v>
      </c>
      <c r="D59" s="269" t="s">
        <v>163</v>
      </c>
      <c r="E59" s="230" t="s">
        <v>1001</v>
      </c>
      <c r="F59" s="230" t="s">
        <v>42</v>
      </c>
      <c r="G59" s="231" t="s">
        <v>1236</v>
      </c>
      <c r="H59" s="230" t="s">
        <v>40</v>
      </c>
      <c r="I59" s="236">
        <v>200</v>
      </c>
      <c r="J59" s="271">
        <v>40</v>
      </c>
      <c r="K59" s="224" t="s">
        <v>147</v>
      </c>
      <c r="L59" s="224" t="s">
        <v>41</v>
      </c>
      <c r="N59" s="62">
        <f t="shared" si="0"/>
        <v>40</v>
      </c>
    </row>
    <row r="60" spans="1:18" s="62" customFormat="1" x14ac:dyDescent="0.25">
      <c r="A60" s="228">
        <v>11</v>
      </c>
      <c r="B60" s="351" t="s">
        <v>1384</v>
      </c>
      <c r="C60" s="230" t="s">
        <v>1385</v>
      </c>
      <c r="D60" s="230" t="s">
        <v>160</v>
      </c>
      <c r="E60" s="230" t="s">
        <v>1154</v>
      </c>
      <c r="F60" s="230" t="s">
        <v>47</v>
      </c>
      <c r="G60" s="231" t="s">
        <v>1386</v>
      </c>
      <c r="H60" s="230" t="s">
        <v>40</v>
      </c>
      <c r="I60" s="236">
        <v>1000</v>
      </c>
      <c r="J60" s="271">
        <v>200</v>
      </c>
      <c r="K60" s="224" t="s">
        <v>147</v>
      </c>
      <c r="L60" s="224" t="s">
        <v>41</v>
      </c>
      <c r="N60" s="62">
        <f t="shared" si="0"/>
        <v>200</v>
      </c>
    </row>
    <row r="61" spans="1:18" s="62" customFormat="1" x14ac:dyDescent="0.25">
      <c r="A61" s="228">
        <v>11</v>
      </c>
      <c r="B61" s="351" t="s">
        <v>1387</v>
      </c>
      <c r="C61" s="230" t="s">
        <v>1388</v>
      </c>
      <c r="D61" s="230" t="s">
        <v>160</v>
      </c>
      <c r="E61" s="230" t="s">
        <v>164</v>
      </c>
      <c r="F61" s="230" t="s">
        <v>44</v>
      </c>
      <c r="G61" s="231" t="s">
        <v>1389</v>
      </c>
      <c r="H61" s="233" t="s">
        <v>40</v>
      </c>
      <c r="I61" s="236">
        <v>2000</v>
      </c>
      <c r="J61" s="271">
        <v>400</v>
      </c>
      <c r="K61" s="224" t="s">
        <v>147</v>
      </c>
      <c r="L61" s="224" t="s">
        <v>41</v>
      </c>
      <c r="N61" s="62">
        <f t="shared" si="0"/>
        <v>400</v>
      </c>
    </row>
    <row r="62" spans="1:18" x14ac:dyDescent="0.25">
      <c r="A62" s="228">
        <v>11</v>
      </c>
      <c r="B62" s="351" t="s">
        <v>1390</v>
      </c>
      <c r="C62" s="230" t="s">
        <v>1391</v>
      </c>
      <c r="D62" s="230" t="s">
        <v>160</v>
      </c>
      <c r="E62" s="230" t="s">
        <v>189</v>
      </c>
      <c r="F62" s="230" t="s">
        <v>42</v>
      </c>
      <c r="G62" s="231" t="s">
        <v>1392</v>
      </c>
      <c r="H62" s="230" t="s">
        <v>40</v>
      </c>
      <c r="I62" s="236">
        <v>300</v>
      </c>
      <c r="J62" s="271">
        <v>60</v>
      </c>
      <c r="K62" s="224" t="s">
        <v>147</v>
      </c>
      <c r="L62" s="224" t="s">
        <v>41</v>
      </c>
      <c r="N62">
        <f t="shared" si="0"/>
        <v>60</v>
      </c>
    </row>
    <row r="63" spans="1:18" x14ac:dyDescent="0.25">
      <c r="A63" s="228">
        <v>11</v>
      </c>
      <c r="B63" s="351" t="s">
        <v>1393</v>
      </c>
      <c r="C63" s="233" t="s">
        <v>1394</v>
      </c>
      <c r="D63" s="230" t="s">
        <v>160</v>
      </c>
      <c r="E63" s="230" t="s">
        <v>365</v>
      </c>
      <c r="F63" s="230" t="s">
        <v>44</v>
      </c>
      <c r="G63" s="231" t="s">
        <v>1395</v>
      </c>
      <c r="H63" s="230" t="s">
        <v>40</v>
      </c>
      <c r="I63" s="236">
        <v>6000</v>
      </c>
      <c r="J63" s="271">
        <v>1200</v>
      </c>
      <c r="K63" s="224" t="s">
        <v>147</v>
      </c>
      <c r="L63" s="224" t="s">
        <v>41</v>
      </c>
      <c r="N63">
        <f t="shared" si="0"/>
        <v>1200</v>
      </c>
    </row>
    <row r="64" spans="1:18" x14ac:dyDescent="0.25">
      <c r="A64" s="246">
        <v>11</v>
      </c>
      <c r="B64" s="352" t="s">
        <v>1396</v>
      </c>
      <c r="C64" s="233" t="s">
        <v>1397</v>
      </c>
      <c r="D64" s="230" t="s">
        <v>160</v>
      </c>
      <c r="E64" s="230"/>
      <c r="F64" s="230" t="s">
        <v>79</v>
      </c>
      <c r="G64" s="231" t="s">
        <v>1398</v>
      </c>
      <c r="H64" s="230" t="s">
        <v>40</v>
      </c>
      <c r="I64" s="236">
        <v>500</v>
      </c>
      <c r="J64" s="271">
        <v>100</v>
      </c>
      <c r="K64" s="224" t="s">
        <v>147</v>
      </c>
      <c r="L64" s="224" t="s">
        <v>41</v>
      </c>
      <c r="N64">
        <f t="shared" si="0"/>
        <v>100</v>
      </c>
    </row>
    <row r="65" spans="1:14" x14ac:dyDescent="0.25">
      <c r="A65" s="246">
        <v>11</v>
      </c>
      <c r="B65" s="352" t="s">
        <v>1396</v>
      </c>
      <c r="C65" s="233" t="s">
        <v>1397</v>
      </c>
      <c r="D65" s="230" t="s">
        <v>160</v>
      </c>
      <c r="E65" s="230"/>
      <c r="F65" s="230" t="s">
        <v>79</v>
      </c>
      <c r="G65" s="231" t="s">
        <v>1398</v>
      </c>
      <c r="H65" s="346" t="s">
        <v>377</v>
      </c>
      <c r="I65" s="236">
        <v>500</v>
      </c>
      <c r="J65" s="271">
        <v>100</v>
      </c>
      <c r="K65" s="230" t="s">
        <v>147</v>
      </c>
      <c r="L65" s="230" t="s">
        <v>41</v>
      </c>
      <c r="N65">
        <f t="shared" si="0"/>
        <v>100</v>
      </c>
    </row>
    <row r="66" spans="1:14" x14ac:dyDescent="0.25">
      <c r="A66" s="246">
        <v>11</v>
      </c>
      <c r="B66" s="352" t="s">
        <v>1399</v>
      </c>
      <c r="C66" s="233" t="s">
        <v>1400</v>
      </c>
      <c r="D66" s="269" t="s">
        <v>163</v>
      </c>
      <c r="E66" s="230" t="s">
        <v>262</v>
      </c>
      <c r="F66" s="230" t="s">
        <v>69</v>
      </c>
      <c r="G66" s="231" t="s">
        <v>1401</v>
      </c>
      <c r="H66" s="230" t="s">
        <v>40</v>
      </c>
      <c r="I66" s="236">
        <v>400</v>
      </c>
      <c r="J66" s="271">
        <v>80</v>
      </c>
      <c r="K66" s="224" t="s">
        <v>147</v>
      </c>
      <c r="L66" s="224" t="s">
        <v>41</v>
      </c>
      <c r="N66">
        <f t="shared" si="0"/>
        <v>80</v>
      </c>
    </row>
    <row r="67" spans="1:14" x14ac:dyDescent="0.25">
      <c r="A67" s="246">
        <v>11</v>
      </c>
      <c r="B67" s="352" t="s">
        <v>1402</v>
      </c>
      <c r="C67" s="233" t="s">
        <v>1403</v>
      </c>
      <c r="D67" s="269" t="s">
        <v>163</v>
      </c>
      <c r="E67" s="230" t="s">
        <v>189</v>
      </c>
      <c r="F67" s="230" t="s">
        <v>54</v>
      </c>
      <c r="G67" s="231" t="s">
        <v>1404</v>
      </c>
      <c r="H67" s="230" t="s">
        <v>40</v>
      </c>
      <c r="I67" s="236">
        <v>5000</v>
      </c>
      <c r="J67" s="271">
        <v>1000</v>
      </c>
      <c r="K67" s="224" t="s">
        <v>147</v>
      </c>
      <c r="L67" s="224" t="s">
        <v>41</v>
      </c>
      <c r="N67">
        <f t="shared" si="0"/>
        <v>1000</v>
      </c>
    </row>
    <row r="68" spans="1:14" x14ac:dyDescent="0.25">
      <c r="A68" s="246">
        <v>11</v>
      </c>
      <c r="B68" s="352" t="s">
        <v>1405</v>
      </c>
      <c r="C68" s="233" t="s">
        <v>1406</v>
      </c>
      <c r="D68" s="230" t="s">
        <v>160</v>
      </c>
      <c r="E68" s="230" t="s">
        <v>262</v>
      </c>
      <c r="F68" s="230" t="s">
        <v>69</v>
      </c>
      <c r="G68" s="231" t="s">
        <v>1407</v>
      </c>
      <c r="H68" s="230" t="s">
        <v>40</v>
      </c>
      <c r="I68" s="236">
        <v>7000</v>
      </c>
      <c r="J68" s="271" t="s">
        <v>152</v>
      </c>
      <c r="K68" s="224" t="s">
        <v>147</v>
      </c>
      <c r="L68" s="224" t="s">
        <v>41</v>
      </c>
      <c r="N68">
        <f t="shared" si="0"/>
        <v>1400</v>
      </c>
    </row>
    <row r="69" spans="1:14" x14ac:dyDescent="0.25">
      <c r="A69" s="246">
        <v>11</v>
      </c>
      <c r="B69" s="352" t="s">
        <v>1408</v>
      </c>
      <c r="C69" s="233" t="s">
        <v>1409</v>
      </c>
      <c r="D69" s="230" t="s">
        <v>160</v>
      </c>
      <c r="E69" s="230" t="s">
        <v>259</v>
      </c>
      <c r="F69" s="230" t="s">
        <v>49</v>
      </c>
      <c r="G69" s="231" t="s">
        <v>1410</v>
      </c>
      <c r="H69" s="346" t="s">
        <v>377</v>
      </c>
      <c r="I69" s="236">
        <v>200</v>
      </c>
      <c r="J69" s="271">
        <v>40</v>
      </c>
      <c r="K69" s="224" t="s">
        <v>147</v>
      </c>
      <c r="L69" s="224" t="s">
        <v>41</v>
      </c>
      <c r="N69">
        <f t="shared" si="0"/>
        <v>40</v>
      </c>
    </row>
    <row r="70" spans="1:14" x14ac:dyDescent="0.25">
      <c r="A70" s="246">
        <v>11</v>
      </c>
      <c r="B70" s="352" t="s">
        <v>1411</v>
      </c>
      <c r="C70" s="233" t="s">
        <v>1412</v>
      </c>
      <c r="D70" s="230" t="s">
        <v>160</v>
      </c>
      <c r="E70" s="230" t="s">
        <v>180</v>
      </c>
      <c r="F70" s="230" t="s">
        <v>54</v>
      </c>
      <c r="G70" s="231" t="s">
        <v>1413</v>
      </c>
      <c r="H70" s="230" t="s">
        <v>40</v>
      </c>
      <c r="I70" s="236">
        <v>600</v>
      </c>
      <c r="J70" s="271">
        <v>120</v>
      </c>
      <c r="K70" s="224" t="s">
        <v>147</v>
      </c>
      <c r="L70" s="224" t="s">
        <v>41</v>
      </c>
      <c r="N70">
        <f t="shared" si="0"/>
        <v>120</v>
      </c>
    </row>
    <row r="71" spans="1:14" x14ac:dyDescent="0.25">
      <c r="A71" s="246">
        <v>11</v>
      </c>
      <c r="B71" s="352" t="s">
        <v>1414</v>
      </c>
      <c r="C71" s="233" t="s">
        <v>1415</v>
      </c>
      <c r="D71" s="230" t="s">
        <v>160</v>
      </c>
      <c r="E71" s="230" t="s">
        <v>1416</v>
      </c>
      <c r="F71" s="230" t="s">
        <v>47</v>
      </c>
      <c r="G71" s="231"/>
      <c r="H71" s="230" t="s">
        <v>40</v>
      </c>
      <c r="I71" s="236">
        <v>1500</v>
      </c>
      <c r="J71" s="271">
        <v>450</v>
      </c>
      <c r="K71" s="224" t="s">
        <v>147</v>
      </c>
      <c r="L71" s="224" t="s">
        <v>41</v>
      </c>
      <c r="N71">
        <f t="shared" si="0"/>
        <v>300</v>
      </c>
    </row>
    <row r="72" spans="1:14" x14ac:dyDescent="0.25">
      <c r="A72" s="246">
        <v>11</v>
      </c>
      <c r="B72" s="352" t="s">
        <v>1417</v>
      </c>
      <c r="C72" s="233" t="s">
        <v>1418</v>
      </c>
      <c r="D72" s="230" t="s">
        <v>160</v>
      </c>
      <c r="E72" s="230" t="s">
        <v>180</v>
      </c>
      <c r="F72" s="230" t="s">
        <v>54</v>
      </c>
      <c r="G72" s="231" t="s">
        <v>1419</v>
      </c>
      <c r="H72" s="354" t="s">
        <v>1420</v>
      </c>
      <c r="I72" s="236">
        <v>100</v>
      </c>
      <c r="J72" s="271">
        <v>50</v>
      </c>
      <c r="K72" s="224" t="s">
        <v>147</v>
      </c>
      <c r="L72" s="224" t="s">
        <v>41</v>
      </c>
      <c r="N72">
        <f t="shared" si="0"/>
        <v>20</v>
      </c>
    </row>
    <row r="73" spans="1:14" x14ac:dyDescent="0.25">
      <c r="A73" s="246">
        <v>11</v>
      </c>
      <c r="B73" s="352" t="s">
        <v>1417</v>
      </c>
      <c r="C73" s="233" t="s">
        <v>1418</v>
      </c>
      <c r="D73" s="230" t="s">
        <v>160</v>
      </c>
      <c r="E73" s="230" t="s">
        <v>180</v>
      </c>
      <c r="F73" s="230" t="s">
        <v>54</v>
      </c>
      <c r="G73" s="231" t="s">
        <v>1419</v>
      </c>
      <c r="H73" s="230" t="s">
        <v>40</v>
      </c>
      <c r="I73" s="236">
        <v>5000</v>
      </c>
      <c r="J73" s="271" t="s">
        <v>152</v>
      </c>
      <c r="K73" s="224" t="s">
        <v>147</v>
      </c>
      <c r="L73" s="224" t="s">
        <v>41</v>
      </c>
      <c r="N73">
        <f t="shared" si="0"/>
        <v>1000</v>
      </c>
    </row>
    <row r="74" spans="1:14" x14ac:dyDescent="0.25">
      <c r="A74" s="246">
        <v>11</v>
      </c>
      <c r="B74" s="352" t="s">
        <v>1421</v>
      </c>
      <c r="C74" s="233" t="s">
        <v>1422</v>
      </c>
      <c r="D74" s="230" t="s">
        <v>160</v>
      </c>
      <c r="E74" s="230" t="s">
        <v>196</v>
      </c>
      <c r="F74" s="230" t="s">
        <v>56</v>
      </c>
      <c r="G74" s="231" t="s">
        <v>1423</v>
      </c>
      <c r="H74" s="233" t="s">
        <v>40</v>
      </c>
      <c r="I74" s="236">
        <v>3000</v>
      </c>
      <c r="J74" s="271">
        <v>600</v>
      </c>
      <c r="K74" s="224" t="s">
        <v>147</v>
      </c>
      <c r="L74" s="224" t="s">
        <v>41</v>
      </c>
      <c r="N74">
        <f t="shared" si="0"/>
        <v>600</v>
      </c>
    </row>
    <row r="75" spans="1:14" x14ac:dyDescent="0.25">
      <c r="A75" s="246">
        <v>11</v>
      </c>
      <c r="B75" s="352" t="s">
        <v>1424</v>
      </c>
      <c r="C75" s="233" t="s">
        <v>1425</v>
      </c>
      <c r="D75" s="230" t="s">
        <v>160</v>
      </c>
      <c r="E75" s="230" t="s">
        <v>196</v>
      </c>
      <c r="F75" s="230" t="s">
        <v>56</v>
      </c>
      <c r="G75" s="231"/>
      <c r="H75" s="354" t="s">
        <v>1420</v>
      </c>
      <c r="I75" s="236">
        <v>50</v>
      </c>
      <c r="J75" s="271">
        <v>25</v>
      </c>
      <c r="K75" s="224" t="s">
        <v>147</v>
      </c>
      <c r="L75" s="224" t="s">
        <v>41</v>
      </c>
      <c r="N75">
        <f t="shared" si="0"/>
        <v>10</v>
      </c>
    </row>
    <row r="76" spans="1:14" x14ac:dyDescent="0.25">
      <c r="A76" s="273">
        <v>11</v>
      </c>
      <c r="B76" s="352" t="s">
        <v>1405</v>
      </c>
      <c r="C76" s="233" t="s">
        <v>1426</v>
      </c>
      <c r="D76" s="269" t="s">
        <v>163</v>
      </c>
      <c r="E76" s="230" t="s">
        <v>262</v>
      </c>
      <c r="F76" s="230" t="s">
        <v>69</v>
      </c>
      <c r="G76" s="231" t="s">
        <v>1427</v>
      </c>
      <c r="H76" s="230" t="s">
        <v>40</v>
      </c>
      <c r="I76" s="236">
        <v>2500</v>
      </c>
      <c r="J76" s="271" t="s">
        <v>152</v>
      </c>
      <c r="K76" s="224" t="s">
        <v>147</v>
      </c>
      <c r="L76" s="224" t="s">
        <v>41</v>
      </c>
      <c r="N76">
        <f t="shared" si="0"/>
        <v>500</v>
      </c>
    </row>
    <row r="77" spans="1:14" x14ac:dyDescent="0.25">
      <c r="A77" s="246">
        <v>12</v>
      </c>
      <c r="B77" s="352" t="s">
        <v>1429</v>
      </c>
      <c r="C77" s="233" t="s">
        <v>1430</v>
      </c>
      <c r="D77" s="269" t="s">
        <v>163</v>
      </c>
      <c r="E77" s="230" t="s">
        <v>666</v>
      </c>
      <c r="F77" s="230" t="s">
        <v>69</v>
      </c>
      <c r="G77" s="231" t="s">
        <v>1431</v>
      </c>
      <c r="H77" s="230" t="s">
        <v>40</v>
      </c>
      <c r="I77" s="236">
        <v>10000</v>
      </c>
      <c r="J77" s="271" t="s">
        <v>152</v>
      </c>
      <c r="K77" s="224" t="s">
        <v>147</v>
      </c>
      <c r="L77" s="224" t="s">
        <v>41</v>
      </c>
      <c r="N77">
        <f t="shared" si="0"/>
        <v>2000</v>
      </c>
    </row>
    <row r="78" spans="1:14" x14ac:dyDescent="0.25">
      <c r="A78" s="246">
        <v>15</v>
      </c>
      <c r="B78" s="352" t="s">
        <v>1432</v>
      </c>
      <c r="C78" s="233" t="s">
        <v>1433</v>
      </c>
      <c r="D78" s="269" t="s">
        <v>163</v>
      </c>
      <c r="E78" s="230" t="s">
        <v>404</v>
      </c>
      <c r="F78" s="230" t="s">
        <v>54</v>
      </c>
      <c r="G78" s="231" t="s">
        <v>1434</v>
      </c>
      <c r="H78" s="230" t="s">
        <v>40</v>
      </c>
      <c r="I78" s="236">
        <v>2000</v>
      </c>
      <c r="J78" s="271">
        <v>400</v>
      </c>
      <c r="K78" s="224" t="s">
        <v>147</v>
      </c>
      <c r="L78" s="224" t="s">
        <v>41</v>
      </c>
      <c r="N78">
        <f t="shared" si="0"/>
        <v>400</v>
      </c>
    </row>
    <row r="79" spans="1:14" x14ac:dyDescent="0.25">
      <c r="A79" s="246">
        <v>15</v>
      </c>
      <c r="B79" s="352" t="s">
        <v>1435</v>
      </c>
      <c r="C79" s="233" t="s">
        <v>1436</v>
      </c>
      <c r="D79" s="230" t="s">
        <v>160</v>
      </c>
      <c r="E79" s="230" t="s">
        <v>814</v>
      </c>
      <c r="F79" s="230" t="s">
        <v>47</v>
      </c>
      <c r="G79" s="231"/>
      <c r="H79" s="230" t="s">
        <v>40</v>
      </c>
      <c r="I79" s="236">
        <v>100</v>
      </c>
      <c r="J79" s="271">
        <v>20</v>
      </c>
      <c r="K79" s="224" t="s">
        <v>147</v>
      </c>
      <c r="L79" s="224" t="s">
        <v>41</v>
      </c>
      <c r="N79">
        <f t="shared" si="0"/>
        <v>20</v>
      </c>
    </row>
    <row r="80" spans="1:14" x14ac:dyDescent="0.25">
      <c r="A80" s="246">
        <v>15</v>
      </c>
      <c r="B80" s="352" t="s">
        <v>1437</v>
      </c>
      <c r="C80" s="233" t="s">
        <v>1438</v>
      </c>
      <c r="D80" s="230" t="s">
        <v>160</v>
      </c>
      <c r="E80" s="230" t="s">
        <v>290</v>
      </c>
      <c r="F80" s="230" t="s">
        <v>49</v>
      </c>
      <c r="G80" s="231" t="s">
        <v>1439</v>
      </c>
      <c r="H80" s="230" t="s">
        <v>40</v>
      </c>
      <c r="I80" s="236">
        <v>5000</v>
      </c>
      <c r="J80" s="271">
        <v>1000</v>
      </c>
      <c r="K80" s="224" t="s">
        <v>147</v>
      </c>
      <c r="L80" s="224" t="s">
        <v>41</v>
      </c>
      <c r="N80">
        <f t="shared" si="0"/>
        <v>1000</v>
      </c>
    </row>
    <row r="81" spans="1:14" x14ac:dyDescent="0.25">
      <c r="A81" s="246">
        <v>15</v>
      </c>
      <c r="B81" s="352" t="s">
        <v>1440</v>
      </c>
      <c r="C81" s="233" t="s">
        <v>1441</v>
      </c>
      <c r="D81" s="230" t="s">
        <v>160</v>
      </c>
      <c r="E81" s="230" t="s">
        <v>954</v>
      </c>
      <c r="F81" s="230" t="s">
        <v>43</v>
      </c>
      <c r="G81" s="231" t="s">
        <v>955</v>
      </c>
      <c r="H81" s="230" t="s">
        <v>40</v>
      </c>
      <c r="I81" s="236">
        <v>5000</v>
      </c>
      <c r="J81" s="271">
        <v>1000</v>
      </c>
      <c r="K81" s="224" t="s">
        <v>147</v>
      </c>
      <c r="L81" s="224" t="s">
        <v>41</v>
      </c>
      <c r="N81">
        <f t="shared" si="0"/>
        <v>1000</v>
      </c>
    </row>
    <row r="82" spans="1:14" x14ac:dyDescent="0.25">
      <c r="A82" s="246">
        <v>15</v>
      </c>
      <c r="B82" s="352" t="s">
        <v>1442</v>
      </c>
      <c r="C82" s="233" t="s">
        <v>1443</v>
      </c>
      <c r="D82" s="230" t="s">
        <v>160</v>
      </c>
      <c r="E82" s="230" t="s">
        <v>1444</v>
      </c>
      <c r="F82" s="230" t="s">
        <v>72</v>
      </c>
      <c r="G82" s="231" t="s">
        <v>1445</v>
      </c>
      <c r="H82" s="230" t="s">
        <v>40</v>
      </c>
      <c r="I82" s="236">
        <v>1000</v>
      </c>
      <c r="J82" s="271">
        <v>200</v>
      </c>
      <c r="K82" s="224" t="s">
        <v>147</v>
      </c>
      <c r="L82" s="224" t="s">
        <v>41</v>
      </c>
      <c r="N82">
        <f t="shared" si="0"/>
        <v>200</v>
      </c>
    </row>
    <row r="83" spans="1:14" x14ac:dyDescent="0.25">
      <c r="A83" s="246">
        <v>15</v>
      </c>
      <c r="B83" s="352" t="s">
        <v>1446</v>
      </c>
      <c r="C83" s="233" t="s">
        <v>1447</v>
      </c>
      <c r="D83" s="230" t="s">
        <v>160</v>
      </c>
      <c r="E83" s="230" t="s">
        <v>1200</v>
      </c>
      <c r="F83" s="230" t="s">
        <v>69</v>
      </c>
      <c r="G83" s="231"/>
      <c r="H83" s="230" t="s">
        <v>40</v>
      </c>
      <c r="I83" s="236">
        <v>2500</v>
      </c>
      <c r="J83" s="271">
        <v>500</v>
      </c>
      <c r="K83" s="224" t="s">
        <v>147</v>
      </c>
      <c r="L83" s="224" t="s">
        <v>41</v>
      </c>
      <c r="N83">
        <f t="shared" si="0"/>
        <v>500</v>
      </c>
    </row>
    <row r="84" spans="1:14" x14ac:dyDescent="0.25">
      <c r="A84" s="246">
        <v>15</v>
      </c>
      <c r="B84" s="352" t="s">
        <v>1448</v>
      </c>
      <c r="C84" s="233" t="s">
        <v>1449</v>
      </c>
      <c r="D84" s="230" t="s">
        <v>160</v>
      </c>
      <c r="E84" s="230" t="s">
        <v>1157</v>
      </c>
      <c r="F84" s="230" t="s">
        <v>43</v>
      </c>
      <c r="G84" s="231" t="s">
        <v>1450</v>
      </c>
      <c r="H84" s="230" t="s">
        <v>40</v>
      </c>
      <c r="I84" s="236">
        <v>200</v>
      </c>
      <c r="J84" s="271">
        <v>40</v>
      </c>
      <c r="K84" s="224" t="s">
        <v>147</v>
      </c>
      <c r="L84" s="224" t="s">
        <v>41</v>
      </c>
      <c r="N84">
        <f t="shared" si="0"/>
        <v>40</v>
      </c>
    </row>
    <row r="85" spans="1:14" x14ac:dyDescent="0.25">
      <c r="A85" s="273">
        <v>15</v>
      </c>
      <c r="B85" s="352" t="s">
        <v>1451</v>
      </c>
      <c r="C85" s="233" t="s">
        <v>1452</v>
      </c>
      <c r="D85" s="230" t="s">
        <v>160</v>
      </c>
      <c r="E85" s="230" t="s">
        <v>161</v>
      </c>
      <c r="F85" s="230" t="s">
        <v>54</v>
      </c>
      <c r="G85" s="231"/>
      <c r="H85" s="230" t="s">
        <v>40</v>
      </c>
      <c r="I85" s="236">
        <v>3000</v>
      </c>
      <c r="J85" s="271">
        <v>600</v>
      </c>
      <c r="K85" s="224" t="s">
        <v>147</v>
      </c>
      <c r="L85" s="224" t="s">
        <v>41</v>
      </c>
      <c r="N85">
        <f t="shared" si="0"/>
        <v>600</v>
      </c>
    </row>
    <row r="86" spans="1:14" x14ac:dyDescent="0.25">
      <c r="A86" s="246">
        <v>16</v>
      </c>
      <c r="B86" s="352" t="s">
        <v>1454</v>
      </c>
      <c r="C86" s="233" t="s">
        <v>1422</v>
      </c>
      <c r="D86" s="230" t="s">
        <v>160</v>
      </c>
      <c r="E86" s="230" t="s">
        <v>1455</v>
      </c>
      <c r="F86" s="230" t="s">
        <v>64</v>
      </c>
      <c r="G86" s="231" t="s">
        <v>1456</v>
      </c>
      <c r="H86" s="230" t="s">
        <v>40</v>
      </c>
      <c r="I86" s="236">
        <v>1000</v>
      </c>
      <c r="J86" s="271">
        <v>200</v>
      </c>
      <c r="K86" s="224" t="s">
        <v>147</v>
      </c>
      <c r="L86" s="224" t="s">
        <v>41</v>
      </c>
      <c r="N86">
        <f t="shared" si="0"/>
        <v>200</v>
      </c>
    </row>
    <row r="87" spans="1:14" x14ac:dyDescent="0.25">
      <c r="A87" s="246">
        <v>16</v>
      </c>
      <c r="B87" s="352" t="s">
        <v>1457</v>
      </c>
      <c r="C87" s="233" t="s">
        <v>1458</v>
      </c>
      <c r="D87" s="230" t="s">
        <v>160</v>
      </c>
      <c r="E87" s="230" t="s">
        <v>64</v>
      </c>
      <c r="F87" s="230" t="s">
        <v>57</v>
      </c>
      <c r="G87" s="231" t="s">
        <v>1459</v>
      </c>
      <c r="H87" s="230" t="s">
        <v>40</v>
      </c>
      <c r="I87" s="236">
        <v>1800</v>
      </c>
      <c r="J87" s="271">
        <v>540</v>
      </c>
      <c r="K87" s="224" t="s">
        <v>147</v>
      </c>
      <c r="L87" s="224" t="s">
        <v>41</v>
      </c>
      <c r="N87">
        <f t="shared" si="0"/>
        <v>360</v>
      </c>
    </row>
    <row r="88" spans="1:14" x14ac:dyDescent="0.25">
      <c r="A88" s="246">
        <v>16</v>
      </c>
      <c r="B88" s="352" t="s">
        <v>1460</v>
      </c>
      <c r="C88" s="233" t="s">
        <v>1461</v>
      </c>
      <c r="D88" s="230" t="s">
        <v>160</v>
      </c>
      <c r="E88" s="230" t="s">
        <v>1462</v>
      </c>
      <c r="F88" s="230" t="s">
        <v>56</v>
      </c>
      <c r="G88" s="231"/>
      <c r="H88" s="230" t="s">
        <v>40</v>
      </c>
      <c r="I88" s="236">
        <v>800</v>
      </c>
      <c r="J88" s="271">
        <v>160</v>
      </c>
      <c r="K88" s="224" t="s">
        <v>147</v>
      </c>
      <c r="L88" s="224" t="s">
        <v>41</v>
      </c>
      <c r="N88">
        <f t="shared" si="0"/>
        <v>160</v>
      </c>
    </row>
    <row r="89" spans="1:14" x14ac:dyDescent="0.25">
      <c r="A89" s="246">
        <v>16</v>
      </c>
      <c r="B89" s="352" t="s">
        <v>1463</v>
      </c>
      <c r="C89" s="233" t="s">
        <v>1464</v>
      </c>
      <c r="D89" s="230" t="s">
        <v>160</v>
      </c>
      <c r="E89" s="230" t="s">
        <v>167</v>
      </c>
      <c r="F89" s="230" t="s">
        <v>43</v>
      </c>
      <c r="G89" s="231"/>
      <c r="H89" s="230" t="s">
        <v>40</v>
      </c>
      <c r="I89" s="236">
        <v>500</v>
      </c>
      <c r="J89" s="271">
        <v>140</v>
      </c>
      <c r="K89" s="224" t="s">
        <v>147</v>
      </c>
      <c r="L89" s="224" t="s">
        <v>41</v>
      </c>
      <c r="N89">
        <f t="shared" si="0"/>
        <v>100</v>
      </c>
    </row>
    <row r="90" spans="1:14" x14ac:dyDescent="0.25">
      <c r="A90" s="246">
        <v>16</v>
      </c>
      <c r="B90" s="352" t="s">
        <v>1465</v>
      </c>
      <c r="C90" s="233" t="s">
        <v>1466</v>
      </c>
      <c r="D90" s="230" t="s">
        <v>160</v>
      </c>
      <c r="E90" s="230" t="s">
        <v>180</v>
      </c>
      <c r="F90" s="230" t="s">
        <v>54</v>
      </c>
      <c r="G90" s="231" t="s">
        <v>1467</v>
      </c>
      <c r="H90" s="230" t="s">
        <v>40</v>
      </c>
      <c r="I90" s="236">
        <v>4000</v>
      </c>
      <c r="J90" s="271">
        <v>800</v>
      </c>
      <c r="K90" s="224" t="s">
        <v>147</v>
      </c>
      <c r="L90" s="224" t="s">
        <v>41</v>
      </c>
      <c r="N90">
        <f t="shared" si="0"/>
        <v>800</v>
      </c>
    </row>
    <row r="91" spans="1:14" x14ac:dyDescent="0.25">
      <c r="A91" s="246">
        <v>17</v>
      </c>
      <c r="B91" s="352" t="s">
        <v>1468</v>
      </c>
      <c r="C91" s="233" t="s">
        <v>1469</v>
      </c>
      <c r="D91" s="230" t="s">
        <v>160</v>
      </c>
      <c r="E91" s="230" t="s">
        <v>430</v>
      </c>
      <c r="F91" s="230" t="s">
        <v>46</v>
      </c>
      <c r="G91" s="231" t="s">
        <v>1470</v>
      </c>
      <c r="H91" s="230" t="s">
        <v>40</v>
      </c>
      <c r="I91" s="236">
        <v>3000</v>
      </c>
      <c r="J91" s="271">
        <v>600</v>
      </c>
      <c r="K91" s="224" t="s">
        <v>147</v>
      </c>
      <c r="L91" s="224" t="s">
        <v>41</v>
      </c>
      <c r="N91">
        <f t="shared" si="0"/>
        <v>600</v>
      </c>
    </row>
    <row r="92" spans="1:14" x14ac:dyDescent="0.25">
      <c r="A92" s="246">
        <v>17</v>
      </c>
      <c r="B92" s="352" t="s">
        <v>1471</v>
      </c>
      <c r="C92" s="233" t="s">
        <v>1472</v>
      </c>
      <c r="D92" s="230" t="s">
        <v>160</v>
      </c>
      <c r="E92" s="230" t="s">
        <v>911</v>
      </c>
      <c r="F92" s="230" t="s">
        <v>49</v>
      </c>
      <c r="G92" s="231" t="s">
        <v>1473</v>
      </c>
      <c r="H92" s="230" t="s">
        <v>40</v>
      </c>
      <c r="I92" s="236">
        <v>2000</v>
      </c>
      <c r="J92" s="271">
        <v>400</v>
      </c>
      <c r="K92" s="224" t="s">
        <v>147</v>
      </c>
      <c r="L92" s="224" t="s">
        <v>41</v>
      </c>
      <c r="N92">
        <f t="shared" si="0"/>
        <v>400</v>
      </c>
    </row>
    <row r="93" spans="1:14" x14ac:dyDescent="0.25">
      <c r="A93" s="246">
        <v>17</v>
      </c>
      <c r="B93" s="352" t="s">
        <v>1479</v>
      </c>
      <c r="C93" s="233" t="s">
        <v>1480</v>
      </c>
      <c r="D93" s="230" t="s">
        <v>160</v>
      </c>
      <c r="E93" s="230" t="s">
        <v>180</v>
      </c>
      <c r="F93" s="230" t="s">
        <v>60</v>
      </c>
      <c r="G93" s="231"/>
      <c r="H93" s="230" t="s">
        <v>40</v>
      </c>
      <c r="I93" s="236">
        <v>3000</v>
      </c>
      <c r="J93" s="271" t="s">
        <v>152</v>
      </c>
      <c r="K93" s="224" t="s">
        <v>147</v>
      </c>
      <c r="L93" s="224" t="s">
        <v>41</v>
      </c>
      <c r="N93">
        <f t="shared" si="0"/>
        <v>600</v>
      </c>
    </row>
    <row r="94" spans="1:14" x14ac:dyDescent="0.25">
      <c r="A94" s="246">
        <v>18</v>
      </c>
      <c r="B94" s="352" t="s">
        <v>1481</v>
      </c>
      <c r="C94" s="233" t="s">
        <v>1482</v>
      </c>
      <c r="D94" s="230" t="s">
        <v>160</v>
      </c>
      <c r="E94" s="230" t="s">
        <v>1483</v>
      </c>
      <c r="F94" s="230" t="s">
        <v>67</v>
      </c>
      <c r="G94" s="231" t="s">
        <v>1484</v>
      </c>
      <c r="H94" s="230" t="s">
        <v>40</v>
      </c>
      <c r="I94" s="236">
        <v>2500</v>
      </c>
      <c r="J94" s="271">
        <v>500</v>
      </c>
      <c r="K94" s="224" t="s">
        <v>147</v>
      </c>
      <c r="L94" s="224" t="s">
        <v>41</v>
      </c>
      <c r="N94">
        <f t="shared" si="0"/>
        <v>500</v>
      </c>
    </row>
    <row r="95" spans="1:14" x14ac:dyDescent="0.25">
      <c r="A95" s="246">
        <v>18</v>
      </c>
      <c r="B95" s="352" t="s">
        <v>1485</v>
      </c>
      <c r="C95" s="233" t="s">
        <v>1359</v>
      </c>
      <c r="D95" s="230" t="s">
        <v>160</v>
      </c>
      <c r="E95" s="230" t="s">
        <v>180</v>
      </c>
      <c r="F95" s="230" t="s">
        <v>54</v>
      </c>
      <c r="G95" s="231" t="s">
        <v>1486</v>
      </c>
      <c r="H95" s="230" t="s">
        <v>40</v>
      </c>
      <c r="I95" s="236">
        <v>1500</v>
      </c>
      <c r="J95" s="271">
        <v>300</v>
      </c>
      <c r="K95" s="224" t="s">
        <v>147</v>
      </c>
      <c r="L95" s="224" t="s">
        <v>41</v>
      </c>
      <c r="N95">
        <f t="shared" si="0"/>
        <v>300</v>
      </c>
    </row>
    <row r="96" spans="1:14" x14ac:dyDescent="0.25">
      <c r="A96" s="246">
        <v>18</v>
      </c>
      <c r="B96" s="352" t="s">
        <v>1487</v>
      </c>
      <c r="C96" s="233" t="s">
        <v>1488</v>
      </c>
      <c r="D96" s="230" t="s">
        <v>160</v>
      </c>
      <c r="E96" s="230" t="s">
        <v>60</v>
      </c>
      <c r="F96" s="230" t="s">
        <v>84</v>
      </c>
      <c r="G96" s="231" t="s">
        <v>1489</v>
      </c>
      <c r="H96" s="354" t="s">
        <v>1420</v>
      </c>
      <c r="I96" s="236">
        <v>1200</v>
      </c>
      <c r="J96" s="271">
        <v>600</v>
      </c>
      <c r="K96" s="224" t="s">
        <v>147</v>
      </c>
      <c r="L96" s="224" t="s">
        <v>41</v>
      </c>
      <c r="N96">
        <f t="shared" si="0"/>
        <v>240</v>
      </c>
    </row>
    <row r="97" spans="1:17" x14ac:dyDescent="0.25">
      <c r="A97" s="246">
        <v>19</v>
      </c>
      <c r="B97" s="352" t="s">
        <v>1494</v>
      </c>
      <c r="C97" s="233" t="s">
        <v>1495</v>
      </c>
      <c r="D97" s="230" t="s">
        <v>160</v>
      </c>
      <c r="E97" s="230" t="s">
        <v>388</v>
      </c>
      <c r="F97" s="230" t="s">
        <v>61</v>
      </c>
      <c r="G97" s="231" t="s">
        <v>1496</v>
      </c>
      <c r="H97" s="230" t="s">
        <v>40</v>
      </c>
      <c r="I97" s="236">
        <v>500</v>
      </c>
      <c r="J97" s="271" t="s">
        <v>152</v>
      </c>
      <c r="K97" s="224" t="s">
        <v>147</v>
      </c>
      <c r="L97" s="224" t="s">
        <v>41</v>
      </c>
      <c r="N97">
        <f t="shared" si="0"/>
        <v>100</v>
      </c>
    </row>
    <row r="98" spans="1:17" x14ac:dyDescent="0.25">
      <c r="A98" s="273">
        <v>19</v>
      </c>
      <c r="B98" s="352" t="s">
        <v>1494</v>
      </c>
      <c r="C98" s="233" t="s">
        <v>1497</v>
      </c>
      <c r="D98" s="230" t="s">
        <v>160</v>
      </c>
      <c r="E98" s="230" t="s">
        <v>388</v>
      </c>
      <c r="F98" s="230" t="s">
        <v>61</v>
      </c>
      <c r="G98" s="231" t="s">
        <v>1498</v>
      </c>
      <c r="H98" s="230" t="s">
        <v>40</v>
      </c>
      <c r="I98" s="236">
        <v>500</v>
      </c>
      <c r="J98" s="271" t="s">
        <v>152</v>
      </c>
      <c r="K98" s="224" t="s">
        <v>147</v>
      </c>
      <c r="L98" s="224" t="s">
        <v>41</v>
      </c>
      <c r="N98">
        <f t="shared" si="0"/>
        <v>100</v>
      </c>
    </row>
    <row r="99" spans="1:17" x14ac:dyDescent="0.25">
      <c r="A99" s="246">
        <v>22</v>
      </c>
      <c r="B99" s="352" t="s">
        <v>1504</v>
      </c>
      <c r="C99" s="233" t="s">
        <v>1505</v>
      </c>
      <c r="D99" s="230" t="s">
        <v>160</v>
      </c>
      <c r="E99" s="230" t="s">
        <v>1506</v>
      </c>
      <c r="F99" s="230" t="s">
        <v>43</v>
      </c>
      <c r="G99" s="231" t="s">
        <v>1507</v>
      </c>
      <c r="H99" s="230" t="s">
        <v>40</v>
      </c>
      <c r="I99" s="236">
        <v>10000</v>
      </c>
      <c r="J99" s="271">
        <v>2000</v>
      </c>
      <c r="K99" s="224" t="s">
        <v>147</v>
      </c>
      <c r="L99" s="224" t="s">
        <v>41</v>
      </c>
      <c r="N99">
        <f t="shared" si="0"/>
        <v>2000</v>
      </c>
    </row>
    <row r="100" spans="1:17" x14ac:dyDescent="0.25">
      <c r="A100" s="246">
        <v>22</v>
      </c>
      <c r="B100" s="352" t="s">
        <v>1508</v>
      </c>
      <c r="C100" s="233" t="s">
        <v>1509</v>
      </c>
      <c r="D100" s="230" t="s">
        <v>160</v>
      </c>
      <c r="E100" s="230" t="s">
        <v>388</v>
      </c>
      <c r="F100" s="230" t="s">
        <v>61</v>
      </c>
      <c r="G100" s="231" t="s">
        <v>1510</v>
      </c>
      <c r="H100" s="230" t="s">
        <v>40</v>
      </c>
      <c r="I100" s="236">
        <v>500</v>
      </c>
      <c r="J100" s="271" t="s">
        <v>152</v>
      </c>
      <c r="K100" s="224" t="s">
        <v>147</v>
      </c>
      <c r="L100" s="224" t="s">
        <v>41</v>
      </c>
      <c r="N100">
        <f t="shared" si="0"/>
        <v>100</v>
      </c>
    </row>
    <row r="101" spans="1:17" x14ac:dyDescent="0.25">
      <c r="A101" s="246">
        <v>22</v>
      </c>
      <c r="B101" s="352" t="s">
        <v>1508</v>
      </c>
      <c r="C101" s="233" t="s">
        <v>1509</v>
      </c>
      <c r="D101" s="230" t="s">
        <v>160</v>
      </c>
      <c r="E101" s="230" t="s">
        <v>388</v>
      </c>
      <c r="F101" s="230" t="s">
        <v>61</v>
      </c>
      <c r="G101" s="231" t="s">
        <v>1510</v>
      </c>
      <c r="H101" s="354" t="s">
        <v>1420</v>
      </c>
      <c r="I101" s="236">
        <v>400</v>
      </c>
      <c r="J101" s="271">
        <v>200</v>
      </c>
      <c r="K101" s="224" t="s">
        <v>147</v>
      </c>
      <c r="L101" s="224" t="s">
        <v>41</v>
      </c>
      <c r="N101">
        <f t="shared" si="0"/>
        <v>80</v>
      </c>
    </row>
    <row r="102" spans="1:17" x14ac:dyDescent="0.25">
      <c r="A102" s="246">
        <v>22</v>
      </c>
      <c r="B102" s="352" t="s">
        <v>1508</v>
      </c>
      <c r="C102" s="233" t="s">
        <v>1511</v>
      </c>
      <c r="D102" s="230" t="s">
        <v>160</v>
      </c>
      <c r="E102" s="230" t="s">
        <v>388</v>
      </c>
      <c r="F102" s="230" t="s">
        <v>61</v>
      </c>
      <c r="G102" s="231" t="s">
        <v>1512</v>
      </c>
      <c r="H102" s="230" t="s">
        <v>40</v>
      </c>
      <c r="I102" s="236">
        <v>500</v>
      </c>
      <c r="J102" s="271" t="s">
        <v>152</v>
      </c>
      <c r="K102" s="224" t="s">
        <v>147</v>
      </c>
      <c r="L102" s="224" t="s">
        <v>41</v>
      </c>
      <c r="N102">
        <f t="shared" si="0"/>
        <v>100</v>
      </c>
    </row>
    <row r="103" spans="1:17" x14ac:dyDescent="0.25">
      <c r="A103" s="246">
        <v>22</v>
      </c>
      <c r="B103" s="352" t="s">
        <v>1513</v>
      </c>
      <c r="C103" s="233" t="s">
        <v>1514</v>
      </c>
      <c r="D103" s="230" t="s">
        <v>160</v>
      </c>
      <c r="E103" s="230" t="s">
        <v>66</v>
      </c>
      <c r="F103" s="230" t="s">
        <v>1515</v>
      </c>
      <c r="G103" s="231" t="s">
        <v>1516</v>
      </c>
      <c r="H103" s="354" t="s">
        <v>1420</v>
      </c>
      <c r="I103" s="236">
        <v>2000</v>
      </c>
      <c r="J103" s="271">
        <v>1000</v>
      </c>
      <c r="K103" s="224" t="s">
        <v>147</v>
      </c>
      <c r="L103" s="224" t="s">
        <v>41</v>
      </c>
      <c r="N103">
        <f t="shared" si="0"/>
        <v>400</v>
      </c>
    </row>
    <row r="104" spans="1:17" x14ac:dyDescent="0.25">
      <c r="A104" s="246">
        <v>22</v>
      </c>
      <c r="B104" s="352" t="s">
        <v>1517</v>
      </c>
      <c r="C104" s="233" t="s">
        <v>1518</v>
      </c>
      <c r="D104" s="230" t="s">
        <v>160</v>
      </c>
      <c r="E104" s="230" t="s">
        <v>344</v>
      </c>
      <c r="F104" s="230" t="s">
        <v>54</v>
      </c>
      <c r="G104" s="231" t="s">
        <v>1519</v>
      </c>
      <c r="H104" s="230" t="s">
        <v>40</v>
      </c>
      <c r="I104" s="236">
        <v>6000</v>
      </c>
      <c r="J104" s="271">
        <v>1800</v>
      </c>
      <c r="K104" s="224" t="s">
        <v>147</v>
      </c>
      <c r="L104" s="224" t="s">
        <v>41</v>
      </c>
      <c r="N104">
        <f t="shared" si="0"/>
        <v>1200</v>
      </c>
    </row>
    <row r="105" spans="1:17" x14ac:dyDescent="0.25">
      <c r="A105" s="246">
        <v>22</v>
      </c>
      <c r="B105" s="352" t="s">
        <v>1520</v>
      </c>
      <c r="C105" s="233" t="s">
        <v>1521</v>
      </c>
      <c r="D105" s="230" t="s">
        <v>160</v>
      </c>
      <c r="E105" s="230" t="s">
        <v>1522</v>
      </c>
      <c r="F105" s="230" t="s">
        <v>62</v>
      </c>
      <c r="G105" s="231" t="s">
        <v>1523</v>
      </c>
      <c r="H105" s="230" t="s">
        <v>40</v>
      </c>
      <c r="I105" s="236">
        <v>3500</v>
      </c>
      <c r="J105" s="271">
        <v>1050</v>
      </c>
      <c r="K105" s="224" t="s">
        <v>147</v>
      </c>
      <c r="L105" s="224" t="s">
        <v>41</v>
      </c>
      <c r="N105">
        <f t="shared" si="0"/>
        <v>700</v>
      </c>
      <c r="Q105" s="30"/>
    </row>
    <row r="106" spans="1:17" x14ac:dyDescent="0.25">
      <c r="A106" s="246">
        <v>22</v>
      </c>
      <c r="B106" s="352" t="s">
        <v>1520</v>
      </c>
      <c r="C106" s="233" t="s">
        <v>1521</v>
      </c>
      <c r="D106" s="230" t="s">
        <v>160</v>
      </c>
      <c r="E106" s="230" t="s">
        <v>1522</v>
      </c>
      <c r="F106" s="230" t="s">
        <v>62</v>
      </c>
      <c r="G106" s="231" t="s">
        <v>1523</v>
      </c>
      <c r="H106" s="346" t="s">
        <v>377</v>
      </c>
      <c r="I106" s="236">
        <v>1000</v>
      </c>
      <c r="J106" s="271">
        <v>200</v>
      </c>
      <c r="K106" s="224" t="s">
        <v>147</v>
      </c>
      <c r="L106" s="224" t="s">
        <v>41</v>
      </c>
      <c r="N106">
        <f t="shared" si="0"/>
        <v>200</v>
      </c>
    </row>
    <row r="107" spans="1:17" x14ac:dyDescent="0.25">
      <c r="A107" s="246">
        <v>22</v>
      </c>
      <c r="B107" s="352" t="s">
        <v>1524</v>
      </c>
      <c r="C107" s="233" t="s">
        <v>1525</v>
      </c>
      <c r="D107" s="230" t="s">
        <v>160</v>
      </c>
      <c r="E107" s="230" t="s">
        <v>523</v>
      </c>
      <c r="F107" s="230" t="s">
        <v>42</v>
      </c>
      <c r="G107" s="231" t="s">
        <v>1526</v>
      </c>
      <c r="H107" s="230" t="s">
        <v>40</v>
      </c>
      <c r="I107" s="236">
        <v>1000</v>
      </c>
      <c r="J107" s="271">
        <v>300</v>
      </c>
      <c r="K107" s="224" t="s">
        <v>147</v>
      </c>
      <c r="L107" s="224" t="s">
        <v>41</v>
      </c>
      <c r="N107">
        <f t="shared" si="0"/>
        <v>200</v>
      </c>
    </row>
    <row r="108" spans="1:17" x14ac:dyDescent="0.25">
      <c r="A108" s="246">
        <v>22</v>
      </c>
      <c r="B108" s="352" t="s">
        <v>1527</v>
      </c>
      <c r="C108" s="233" t="s">
        <v>1528</v>
      </c>
      <c r="D108" s="230" t="s">
        <v>160</v>
      </c>
      <c r="E108" s="230" t="s">
        <v>226</v>
      </c>
      <c r="F108" s="230" t="s">
        <v>43</v>
      </c>
      <c r="G108" s="231"/>
      <c r="H108" s="230" t="s">
        <v>40</v>
      </c>
      <c r="I108" s="236">
        <v>2000</v>
      </c>
      <c r="J108" s="271">
        <v>600</v>
      </c>
      <c r="K108" s="224" t="s">
        <v>147</v>
      </c>
      <c r="L108" s="224" t="s">
        <v>41</v>
      </c>
      <c r="N108">
        <f t="shared" si="0"/>
        <v>400</v>
      </c>
    </row>
    <row r="109" spans="1:17" x14ac:dyDescent="0.25">
      <c r="A109" s="246">
        <v>22</v>
      </c>
      <c r="B109" s="352" t="s">
        <v>1529</v>
      </c>
      <c r="C109" s="233" t="s">
        <v>1530</v>
      </c>
      <c r="D109" s="230" t="s">
        <v>160</v>
      </c>
      <c r="E109" s="230" t="s">
        <v>1531</v>
      </c>
      <c r="F109" s="230" t="s">
        <v>49</v>
      </c>
      <c r="G109" s="231" t="s">
        <v>1532</v>
      </c>
      <c r="H109" s="233" t="s">
        <v>40</v>
      </c>
      <c r="I109" s="236">
        <v>1000</v>
      </c>
      <c r="J109" s="271">
        <v>300</v>
      </c>
      <c r="K109" s="224" t="s">
        <v>147</v>
      </c>
      <c r="L109" s="224" t="s">
        <v>41</v>
      </c>
      <c r="N109">
        <f t="shared" si="0"/>
        <v>200</v>
      </c>
    </row>
    <row r="110" spans="1:17" x14ac:dyDescent="0.25">
      <c r="A110" s="246">
        <v>22</v>
      </c>
      <c r="B110" s="352" t="s">
        <v>1533</v>
      </c>
      <c r="C110" s="233" t="s">
        <v>1534</v>
      </c>
      <c r="D110" s="230" t="s">
        <v>160</v>
      </c>
      <c r="E110" s="230" t="s">
        <v>1073</v>
      </c>
      <c r="F110" s="230" t="s">
        <v>47</v>
      </c>
      <c r="G110" s="231" t="s">
        <v>1535</v>
      </c>
      <c r="H110" s="230" t="s">
        <v>40</v>
      </c>
      <c r="I110" s="236">
        <v>10000</v>
      </c>
      <c r="J110" s="271">
        <v>3000</v>
      </c>
      <c r="K110" s="224" t="s">
        <v>147</v>
      </c>
      <c r="L110" s="224" t="s">
        <v>41</v>
      </c>
      <c r="N110">
        <f t="shared" si="0"/>
        <v>2000</v>
      </c>
    </row>
    <row r="111" spans="1:17" x14ac:dyDescent="0.25">
      <c r="A111" s="246">
        <v>22</v>
      </c>
      <c r="B111" s="352" t="s">
        <v>1533</v>
      </c>
      <c r="C111" s="233" t="s">
        <v>1534</v>
      </c>
      <c r="D111" s="230" t="s">
        <v>160</v>
      </c>
      <c r="E111" s="230" t="s">
        <v>1073</v>
      </c>
      <c r="F111" s="230" t="s">
        <v>47</v>
      </c>
      <c r="G111" s="231" t="s">
        <v>1535</v>
      </c>
      <c r="H111" s="354" t="s">
        <v>1420</v>
      </c>
      <c r="I111" s="236">
        <v>500</v>
      </c>
      <c r="J111" s="271">
        <v>250</v>
      </c>
      <c r="K111" s="224" t="s">
        <v>147</v>
      </c>
      <c r="L111" s="224" t="s">
        <v>41</v>
      </c>
      <c r="N111">
        <f t="shared" si="0"/>
        <v>100</v>
      </c>
    </row>
    <row r="112" spans="1:17" x14ac:dyDescent="0.25">
      <c r="A112" s="246">
        <v>22</v>
      </c>
      <c r="B112" s="352" t="s">
        <v>1536</v>
      </c>
      <c r="C112" s="233" t="s">
        <v>1537</v>
      </c>
      <c r="D112" s="230" t="s">
        <v>160</v>
      </c>
      <c r="E112" s="230" t="s">
        <v>290</v>
      </c>
      <c r="F112" s="230" t="s">
        <v>49</v>
      </c>
      <c r="G112" s="231" t="s">
        <v>1538</v>
      </c>
      <c r="H112" s="230" t="s">
        <v>40</v>
      </c>
      <c r="I112" s="236">
        <v>1000</v>
      </c>
      <c r="J112" s="271">
        <v>300</v>
      </c>
      <c r="K112" s="224" t="s">
        <v>147</v>
      </c>
      <c r="L112" s="224" t="s">
        <v>41</v>
      </c>
      <c r="N112">
        <f t="shared" si="0"/>
        <v>200</v>
      </c>
    </row>
    <row r="113" spans="1:14" x14ac:dyDescent="0.25">
      <c r="A113" s="246">
        <v>22</v>
      </c>
      <c r="B113" s="352" t="s">
        <v>1539</v>
      </c>
      <c r="C113" s="233" t="s">
        <v>1540</v>
      </c>
      <c r="D113" s="230" t="s">
        <v>160</v>
      </c>
      <c r="E113" s="230" t="s">
        <v>857</v>
      </c>
      <c r="F113" s="230" t="s">
        <v>56</v>
      </c>
      <c r="G113" s="231" t="s">
        <v>1541</v>
      </c>
      <c r="H113" s="230" t="s">
        <v>40</v>
      </c>
      <c r="I113" s="236">
        <v>100</v>
      </c>
      <c r="J113" s="271">
        <v>30</v>
      </c>
      <c r="K113" s="224" t="s">
        <v>147</v>
      </c>
      <c r="L113" s="224" t="s">
        <v>41</v>
      </c>
      <c r="N113">
        <f t="shared" si="0"/>
        <v>20</v>
      </c>
    </row>
    <row r="114" spans="1:14" x14ac:dyDescent="0.25">
      <c r="A114" s="246">
        <v>22</v>
      </c>
      <c r="B114" s="352" t="s">
        <v>1542</v>
      </c>
      <c r="C114" s="233" t="s">
        <v>1543</v>
      </c>
      <c r="D114" s="230" t="s">
        <v>160</v>
      </c>
      <c r="E114" s="230" t="s">
        <v>557</v>
      </c>
      <c r="F114" s="230" t="s">
        <v>61</v>
      </c>
      <c r="G114" s="231" t="s">
        <v>1544</v>
      </c>
      <c r="H114" s="230" t="s">
        <v>40</v>
      </c>
      <c r="I114" s="236">
        <v>1100</v>
      </c>
      <c r="J114" s="271">
        <v>220</v>
      </c>
      <c r="K114" s="224" t="s">
        <v>147</v>
      </c>
      <c r="L114" s="224" t="s">
        <v>41</v>
      </c>
      <c r="N114">
        <f t="shared" si="0"/>
        <v>220</v>
      </c>
    </row>
    <row r="115" spans="1:14" x14ac:dyDescent="0.25">
      <c r="A115" s="246">
        <v>24</v>
      </c>
      <c r="B115" s="352" t="s">
        <v>1545</v>
      </c>
      <c r="C115" s="233" t="s">
        <v>1546</v>
      </c>
      <c r="D115" s="230" t="s">
        <v>160</v>
      </c>
      <c r="E115" s="230"/>
      <c r="F115" s="230" t="s">
        <v>48</v>
      </c>
      <c r="G115" s="231" t="s">
        <v>1547</v>
      </c>
      <c r="H115" s="230" t="s">
        <v>40</v>
      </c>
      <c r="I115" s="236">
        <v>400</v>
      </c>
      <c r="J115" s="271">
        <v>120</v>
      </c>
      <c r="K115" s="224" t="s">
        <v>147</v>
      </c>
      <c r="L115" s="224" t="s">
        <v>41</v>
      </c>
      <c r="N115">
        <f t="shared" si="0"/>
        <v>80</v>
      </c>
    </row>
    <row r="116" spans="1:14" x14ac:dyDescent="0.25">
      <c r="A116" s="246">
        <v>24</v>
      </c>
      <c r="B116" s="352" t="s">
        <v>1545</v>
      </c>
      <c r="C116" s="233" t="s">
        <v>1546</v>
      </c>
      <c r="D116" s="230" t="s">
        <v>160</v>
      </c>
      <c r="E116" s="230"/>
      <c r="F116" s="230" t="s">
        <v>48</v>
      </c>
      <c r="G116" s="231" t="s">
        <v>1547</v>
      </c>
      <c r="H116" s="354" t="s">
        <v>1420</v>
      </c>
      <c r="I116" s="236">
        <v>200</v>
      </c>
      <c r="J116" s="271">
        <v>100</v>
      </c>
      <c r="K116" s="224" t="s">
        <v>147</v>
      </c>
      <c r="L116" s="224" t="s">
        <v>41</v>
      </c>
      <c r="N116">
        <f t="shared" si="0"/>
        <v>40</v>
      </c>
    </row>
    <row r="117" spans="1:14" x14ac:dyDescent="0.25">
      <c r="A117" s="246">
        <v>24</v>
      </c>
      <c r="B117" s="352" t="s">
        <v>1548</v>
      </c>
      <c r="C117" s="233" t="s">
        <v>1549</v>
      </c>
      <c r="D117" s="230" t="s">
        <v>160</v>
      </c>
      <c r="E117" s="230" t="s">
        <v>1180</v>
      </c>
      <c r="F117" s="230" t="s">
        <v>42</v>
      </c>
      <c r="G117" s="231" t="s">
        <v>1550</v>
      </c>
      <c r="H117" s="230" t="s">
        <v>40</v>
      </c>
      <c r="I117" s="236">
        <v>6000</v>
      </c>
      <c r="J117" s="271">
        <v>1200</v>
      </c>
      <c r="K117" s="224" t="s">
        <v>147</v>
      </c>
      <c r="L117" s="224" t="s">
        <v>41</v>
      </c>
      <c r="N117">
        <f t="shared" si="0"/>
        <v>1200</v>
      </c>
    </row>
    <row r="118" spans="1:14" x14ac:dyDescent="0.25">
      <c r="A118" s="246">
        <v>24</v>
      </c>
      <c r="B118" s="352" t="s">
        <v>1548</v>
      </c>
      <c r="C118" s="233" t="s">
        <v>1549</v>
      </c>
      <c r="D118" s="230" t="s">
        <v>160</v>
      </c>
      <c r="E118" s="230" t="s">
        <v>1180</v>
      </c>
      <c r="F118" s="230" t="s">
        <v>42</v>
      </c>
      <c r="G118" s="231" t="s">
        <v>1550</v>
      </c>
      <c r="H118" s="354" t="s">
        <v>1420</v>
      </c>
      <c r="I118" s="236">
        <v>1000</v>
      </c>
      <c r="J118" s="271">
        <v>500</v>
      </c>
      <c r="K118" s="224" t="s">
        <v>147</v>
      </c>
      <c r="L118" s="224" t="s">
        <v>41</v>
      </c>
      <c r="N118">
        <f t="shared" si="0"/>
        <v>200</v>
      </c>
    </row>
    <row r="119" spans="1:14" x14ac:dyDescent="0.25">
      <c r="A119" s="246">
        <v>24</v>
      </c>
      <c r="B119" s="352" t="s">
        <v>1551</v>
      </c>
      <c r="C119" s="233" t="s">
        <v>1552</v>
      </c>
      <c r="D119" s="230" t="s">
        <v>160</v>
      </c>
      <c r="E119" s="230" t="s">
        <v>382</v>
      </c>
      <c r="F119" s="230" t="s">
        <v>56</v>
      </c>
      <c r="G119" s="231"/>
      <c r="H119" s="230" t="s">
        <v>40</v>
      </c>
      <c r="I119" s="236">
        <v>200</v>
      </c>
      <c r="J119" s="271">
        <v>40</v>
      </c>
      <c r="K119" s="224" t="s">
        <v>147</v>
      </c>
      <c r="L119" s="224" t="s">
        <v>41</v>
      </c>
      <c r="N119">
        <f t="shared" si="0"/>
        <v>40</v>
      </c>
    </row>
    <row r="120" spans="1:14" x14ac:dyDescent="0.25">
      <c r="A120" s="273">
        <v>24</v>
      </c>
      <c r="B120" s="352" t="s">
        <v>1553</v>
      </c>
      <c r="C120" s="233" t="s">
        <v>1554</v>
      </c>
      <c r="D120" s="230" t="s">
        <v>160</v>
      </c>
      <c r="E120" s="230"/>
      <c r="F120" s="230" t="s">
        <v>57</v>
      </c>
      <c r="G120" s="231" t="s">
        <v>1555</v>
      </c>
      <c r="H120" s="354" t="s">
        <v>1420</v>
      </c>
      <c r="I120" s="236">
        <v>500</v>
      </c>
      <c r="J120" s="271">
        <v>250</v>
      </c>
      <c r="K120" s="224" t="s">
        <v>147</v>
      </c>
      <c r="L120" s="224" t="s">
        <v>41</v>
      </c>
      <c r="N120">
        <f t="shared" si="0"/>
        <v>100</v>
      </c>
    </row>
    <row r="121" spans="1:14" x14ac:dyDescent="0.25">
      <c r="A121" s="246"/>
      <c r="B121" s="352"/>
      <c r="C121" s="233"/>
      <c r="D121" s="230"/>
      <c r="E121" s="230"/>
      <c r="F121" s="230"/>
      <c r="G121" s="231"/>
      <c r="H121" s="230"/>
      <c r="I121" s="236"/>
      <c r="J121" s="271"/>
      <c r="K121" s="224" t="s">
        <v>147</v>
      </c>
      <c r="L121" s="224" t="s">
        <v>41</v>
      </c>
      <c r="N121">
        <f t="shared" si="0"/>
        <v>0</v>
      </c>
    </row>
    <row r="122" spans="1:14" x14ac:dyDescent="0.25">
      <c r="A122" s="246"/>
      <c r="B122" s="352"/>
      <c r="C122" s="233"/>
      <c r="D122" s="230"/>
      <c r="E122" s="230"/>
      <c r="F122" s="230"/>
      <c r="G122" s="231"/>
      <c r="H122" s="230"/>
      <c r="I122" s="236"/>
      <c r="J122" s="271"/>
      <c r="K122" s="224" t="s">
        <v>147</v>
      </c>
      <c r="L122" s="224" t="s">
        <v>41</v>
      </c>
      <c r="N122">
        <f t="shared" si="0"/>
        <v>0</v>
      </c>
    </row>
    <row r="123" spans="1:14" x14ac:dyDescent="0.25">
      <c r="A123" s="246"/>
      <c r="B123" s="352"/>
      <c r="C123" s="233"/>
      <c r="D123" s="230"/>
      <c r="E123" s="230"/>
      <c r="F123" s="230"/>
      <c r="G123" s="231"/>
      <c r="H123" s="230"/>
      <c r="I123" s="236"/>
      <c r="J123" s="271"/>
      <c r="K123" s="224" t="s">
        <v>147</v>
      </c>
      <c r="L123" s="224" t="s">
        <v>41</v>
      </c>
      <c r="N123">
        <f t="shared" si="0"/>
        <v>0</v>
      </c>
    </row>
    <row r="124" spans="1:14" x14ac:dyDescent="0.25">
      <c r="A124" s="246"/>
      <c r="B124" s="352"/>
      <c r="C124" s="233"/>
      <c r="D124" s="230"/>
      <c r="E124" s="230"/>
      <c r="F124" s="230"/>
      <c r="G124" s="231"/>
      <c r="H124" s="230"/>
      <c r="I124" s="236"/>
      <c r="J124" s="271"/>
      <c r="K124" s="224" t="s">
        <v>147</v>
      </c>
      <c r="L124" s="224" t="s">
        <v>41</v>
      </c>
      <c r="N124">
        <f t="shared" si="0"/>
        <v>0</v>
      </c>
    </row>
    <row r="125" spans="1:14" x14ac:dyDescent="0.25">
      <c r="A125" s="246"/>
      <c r="B125" s="352"/>
      <c r="C125" s="233"/>
      <c r="D125" s="230"/>
      <c r="E125" s="230"/>
      <c r="F125" s="230"/>
      <c r="G125" s="231"/>
      <c r="H125" s="230"/>
      <c r="I125" s="236"/>
      <c r="J125" s="271"/>
      <c r="K125" s="224" t="s">
        <v>147</v>
      </c>
      <c r="L125" s="224" t="s">
        <v>41</v>
      </c>
      <c r="N125">
        <f t="shared" si="0"/>
        <v>0</v>
      </c>
    </row>
    <row r="126" spans="1:14" x14ac:dyDescent="0.25">
      <c r="A126" s="246"/>
      <c r="B126" s="352"/>
      <c r="C126" s="233"/>
      <c r="D126" s="230"/>
      <c r="E126" s="230"/>
      <c r="F126" s="230"/>
      <c r="G126" s="231"/>
      <c r="H126" s="230"/>
      <c r="I126" s="236"/>
      <c r="J126" s="271"/>
      <c r="K126" s="224" t="s">
        <v>147</v>
      </c>
      <c r="L126" s="224" t="s">
        <v>41</v>
      </c>
      <c r="N126">
        <f t="shared" si="0"/>
        <v>0</v>
      </c>
    </row>
    <row r="127" spans="1:14" x14ac:dyDescent="0.25">
      <c r="A127" s="246"/>
      <c r="B127" s="352"/>
      <c r="C127" s="233"/>
      <c r="D127" s="230"/>
      <c r="E127" s="230"/>
      <c r="F127" s="230"/>
      <c r="G127" s="231"/>
      <c r="H127" s="230"/>
      <c r="I127" s="236"/>
      <c r="J127" s="271"/>
      <c r="K127" s="224" t="s">
        <v>147</v>
      </c>
      <c r="L127" s="224" t="s">
        <v>41</v>
      </c>
      <c r="N127">
        <f t="shared" si="0"/>
        <v>0</v>
      </c>
    </row>
    <row r="128" spans="1:14" x14ac:dyDescent="0.25">
      <c r="A128" s="246"/>
      <c r="B128" s="352"/>
      <c r="C128" s="233"/>
      <c r="D128" s="230"/>
      <c r="E128" s="230"/>
      <c r="F128" s="230"/>
      <c r="G128" s="231"/>
      <c r="H128" s="230"/>
      <c r="I128" s="236"/>
      <c r="J128" s="271"/>
      <c r="K128" s="224" t="s">
        <v>147</v>
      </c>
      <c r="L128" s="224" t="s">
        <v>41</v>
      </c>
      <c r="N128">
        <f t="shared" si="0"/>
        <v>0</v>
      </c>
    </row>
    <row r="129" spans="1:14" x14ac:dyDescent="0.25">
      <c r="A129" s="246"/>
      <c r="B129" s="352"/>
      <c r="C129" s="233"/>
      <c r="D129" s="230"/>
      <c r="E129" s="230"/>
      <c r="F129" s="230"/>
      <c r="G129" s="231"/>
      <c r="H129" s="230"/>
      <c r="I129" s="236"/>
      <c r="J129" s="271"/>
      <c r="K129" s="224" t="s">
        <v>147</v>
      </c>
      <c r="L129" s="224" t="s">
        <v>41</v>
      </c>
      <c r="N129">
        <f t="shared" si="0"/>
        <v>0</v>
      </c>
    </row>
    <row r="130" spans="1:14" x14ac:dyDescent="0.25">
      <c r="A130" s="246"/>
      <c r="B130" s="352"/>
      <c r="C130" s="233"/>
      <c r="D130" s="230"/>
      <c r="E130" s="230"/>
      <c r="F130" s="230"/>
      <c r="G130" s="231"/>
      <c r="H130" s="230"/>
      <c r="I130" s="236"/>
      <c r="J130" s="271"/>
      <c r="K130" s="224" t="s">
        <v>147</v>
      </c>
      <c r="L130" s="224" t="s">
        <v>41</v>
      </c>
      <c r="N130">
        <f t="shared" si="0"/>
        <v>0</v>
      </c>
    </row>
    <row r="131" spans="1:14" x14ac:dyDescent="0.25">
      <c r="A131" s="246"/>
      <c r="B131" s="352"/>
      <c r="C131" s="233"/>
      <c r="D131" s="230"/>
      <c r="E131" s="230"/>
      <c r="F131" s="230"/>
      <c r="G131" s="231"/>
      <c r="H131" s="230"/>
      <c r="I131" s="236"/>
      <c r="J131" s="271"/>
      <c r="K131" s="224" t="s">
        <v>147</v>
      </c>
      <c r="L131" s="224" t="s">
        <v>41</v>
      </c>
      <c r="N131">
        <f t="shared" si="0"/>
        <v>0</v>
      </c>
    </row>
    <row r="132" spans="1:14" x14ac:dyDescent="0.25">
      <c r="A132" s="246"/>
      <c r="B132" s="352"/>
      <c r="C132" s="233"/>
      <c r="D132" s="230"/>
      <c r="E132" s="230"/>
      <c r="F132" s="230"/>
      <c r="G132" s="231"/>
      <c r="H132" s="230"/>
      <c r="I132" s="236"/>
      <c r="J132" s="271"/>
      <c r="K132" s="224" t="s">
        <v>147</v>
      </c>
      <c r="L132" s="224" t="s">
        <v>41</v>
      </c>
      <c r="N132">
        <f t="shared" si="0"/>
        <v>0</v>
      </c>
    </row>
    <row r="133" spans="1:14" x14ac:dyDescent="0.25">
      <c r="A133" s="246"/>
      <c r="B133" s="352"/>
      <c r="C133" s="233"/>
      <c r="D133" s="230"/>
      <c r="E133" s="230"/>
      <c r="F133" s="230"/>
      <c r="G133" s="231"/>
      <c r="H133" s="230"/>
      <c r="I133" s="236"/>
      <c r="J133" s="271"/>
      <c r="K133" s="224" t="s">
        <v>147</v>
      </c>
      <c r="L133" s="224" t="s">
        <v>41</v>
      </c>
      <c r="N133">
        <f t="shared" si="0"/>
        <v>0</v>
      </c>
    </row>
    <row r="134" spans="1:14" x14ac:dyDescent="0.25">
      <c r="A134" s="246"/>
      <c r="B134" s="352"/>
      <c r="C134" s="233"/>
      <c r="D134" s="230"/>
      <c r="E134" s="230"/>
      <c r="F134" s="230"/>
      <c r="G134" s="231"/>
      <c r="H134" s="230"/>
      <c r="I134" s="236"/>
      <c r="J134" s="271"/>
      <c r="K134" s="224" t="s">
        <v>147</v>
      </c>
      <c r="L134" s="224" t="s">
        <v>41</v>
      </c>
      <c r="N134">
        <f t="shared" si="0"/>
        <v>0</v>
      </c>
    </row>
    <row r="135" spans="1:14" x14ac:dyDescent="0.25">
      <c r="A135" s="246"/>
      <c r="B135" s="352"/>
      <c r="C135" s="233"/>
      <c r="D135" s="230"/>
      <c r="E135" s="230"/>
      <c r="F135" s="230"/>
      <c r="G135" s="231"/>
      <c r="H135" s="230"/>
      <c r="I135" s="236"/>
      <c r="J135" s="271"/>
      <c r="K135" s="224" t="s">
        <v>147</v>
      </c>
      <c r="L135" s="224" t="s">
        <v>41</v>
      </c>
      <c r="N135">
        <f t="shared" si="0"/>
        <v>0</v>
      </c>
    </row>
    <row r="136" spans="1:14" x14ac:dyDescent="0.25">
      <c r="A136" s="246"/>
      <c r="B136" s="352"/>
      <c r="C136" s="233"/>
      <c r="D136" s="230"/>
      <c r="E136" s="230"/>
      <c r="F136" s="230"/>
      <c r="G136" s="231"/>
      <c r="H136" s="230"/>
      <c r="I136" s="236"/>
      <c r="J136" s="271"/>
      <c r="K136" s="224" t="s">
        <v>147</v>
      </c>
      <c r="L136" s="224" t="s">
        <v>41</v>
      </c>
      <c r="N136">
        <f t="shared" si="0"/>
        <v>0</v>
      </c>
    </row>
    <row r="137" spans="1:14" x14ac:dyDescent="0.25">
      <c r="A137" s="246"/>
      <c r="B137" s="352"/>
      <c r="C137" s="233"/>
      <c r="D137" s="230"/>
      <c r="E137" s="230"/>
      <c r="F137" s="230"/>
      <c r="G137" s="231"/>
      <c r="H137" s="230"/>
      <c r="I137" s="236"/>
      <c r="J137" s="271"/>
      <c r="K137" s="224" t="s">
        <v>147</v>
      </c>
      <c r="L137" s="224" t="s">
        <v>41</v>
      </c>
      <c r="N137">
        <f t="shared" si="0"/>
        <v>0</v>
      </c>
    </row>
    <row r="138" spans="1:14" x14ac:dyDescent="0.25">
      <c r="A138" s="246"/>
      <c r="B138" s="352"/>
      <c r="C138" s="233"/>
      <c r="D138" s="230"/>
      <c r="E138" s="230"/>
      <c r="F138" s="230"/>
      <c r="G138" s="231"/>
      <c r="H138" s="230"/>
      <c r="I138" s="236"/>
      <c r="J138" s="271"/>
      <c r="K138" s="224" t="s">
        <v>147</v>
      </c>
      <c r="L138" s="224" t="s">
        <v>41</v>
      </c>
      <c r="N138">
        <f t="shared" si="0"/>
        <v>0</v>
      </c>
    </row>
    <row r="139" spans="1:14" x14ac:dyDescent="0.25">
      <c r="A139" s="246"/>
      <c r="B139" s="352"/>
      <c r="C139" s="233"/>
      <c r="D139" s="230"/>
      <c r="E139" s="230"/>
      <c r="F139" s="230"/>
      <c r="G139" s="231"/>
      <c r="H139" s="230"/>
      <c r="I139" s="236"/>
      <c r="J139" s="271"/>
      <c r="K139" s="224" t="s">
        <v>147</v>
      </c>
      <c r="L139" s="224" t="s">
        <v>41</v>
      </c>
      <c r="N139">
        <f t="shared" si="0"/>
        <v>0</v>
      </c>
    </row>
    <row r="140" spans="1:14" x14ac:dyDescent="0.25">
      <c r="A140" s="246"/>
      <c r="B140" s="352"/>
      <c r="C140" s="233"/>
      <c r="D140" s="230"/>
      <c r="E140" s="230"/>
      <c r="F140" s="230"/>
      <c r="G140" s="231"/>
      <c r="H140" s="230"/>
      <c r="I140" s="236"/>
      <c r="J140" s="271"/>
      <c r="K140" s="224" t="s">
        <v>147</v>
      </c>
      <c r="L140" s="224" t="s">
        <v>41</v>
      </c>
      <c r="N140">
        <f t="shared" si="0"/>
        <v>0</v>
      </c>
    </row>
    <row r="141" spans="1:14" x14ac:dyDescent="0.25">
      <c r="A141" s="246"/>
      <c r="B141" s="352"/>
      <c r="C141" s="233"/>
      <c r="D141" s="230"/>
      <c r="E141" s="230"/>
      <c r="F141" s="230"/>
      <c r="G141" s="231"/>
      <c r="H141" s="230"/>
      <c r="I141" s="236"/>
      <c r="J141" s="271"/>
      <c r="K141" s="224" t="s">
        <v>147</v>
      </c>
      <c r="L141" s="224" t="s">
        <v>41</v>
      </c>
      <c r="N141">
        <f t="shared" si="0"/>
        <v>0</v>
      </c>
    </row>
    <row r="142" spans="1:14" x14ac:dyDescent="0.25">
      <c r="A142" s="246"/>
      <c r="B142" s="352"/>
      <c r="C142" s="233"/>
      <c r="D142" s="230"/>
      <c r="E142" s="230"/>
      <c r="F142" s="230"/>
      <c r="G142" s="231"/>
      <c r="H142" s="230"/>
      <c r="I142" s="236"/>
      <c r="J142" s="271"/>
      <c r="K142" s="224" t="s">
        <v>147</v>
      </c>
      <c r="L142" s="224" t="s">
        <v>41</v>
      </c>
      <c r="N142">
        <f t="shared" si="0"/>
        <v>0</v>
      </c>
    </row>
    <row r="143" spans="1:14" x14ac:dyDescent="0.25">
      <c r="A143" s="246"/>
      <c r="B143" s="352"/>
      <c r="C143" s="233"/>
      <c r="D143" s="230"/>
      <c r="E143" s="230"/>
      <c r="F143" s="230"/>
      <c r="G143" s="231"/>
      <c r="H143" s="230"/>
      <c r="I143" s="236"/>
      <c r="J143" s="271"/>
      <c r="K143" s="224" t="s">
        <v>147</v>
      </c>
      <c r="L143" s="224" t="s">
        <v>41</v>
      </c>
      <c r="N143">
        <f t="shared" si="0"/>
        <v>0</v>
      </c>
    </row>
    <row r="144" spans="1:14" x14ac:dyDescent="0.25">
      <c r="A144" s="246"/>
      <c r="B144" s="352"/>
      <c r="C144" s="233"/>
      <c r="D144" s="230"/>
      <c r="E144" s="230"/>
      <c r="F144" s="230"/>
      <c r="G144" s="231"/>
      <c r="H144" s="230"/>
      <c r="I144" s="236"/>
      <c r="J144" s="271"/>
      <c r="K144" s="224" t="s">
        <v>147</v>
      </c>
      <c r="L144" s="224" t="s">
        <v>41</v>
      </c>
      <c r="N144">
        <f t="shared" si="0"/>
        <v>0</v>
      </c>
    </row>
    <row r="145" spans="1:14" x14ac:dyDescent="0.25">
      <c r="A145" s="246"/>
      <c r="B145" s="352"/>
      <c r="C145" s="233"/>
      <c r="D145" s="230"/>
      <c r="E145" s="230"/>
      <c r="F145" s="230"/>
      <c r="G145" s="231"/>
      <c r="H145" s="230"/>
      <c r="I145" s="236"/>
      <c r="J145" s="271"/>
      <c r="K145" s="224" t="s">
        <v>147</v>
      </c>
      <c r="L145" s="224" t="s">
        <v>41</v>
      </c>
      <c r="N145">
        <f t="shared" si="0"/>
        <v>0</v>
      </c>
    </row>
    <row r="146" spans="1:14" x14ac:dyDescent="0.25">
      <c r="A146" s="246"/>
      <c r="B146" s="352"/>
      <c r="C146" s="233"/>
      <c r="D146" s="230"/>
      <c r="E146" s="230"/>
      <c r="F146" s="230"/>
      <c r="G146" s="231"/>
      <c r="H146" s="230"/>
      <c r="I146" s="236"/>
      <c r="J146" s="271"/>
      <c r="K146" s="224" t="s">
        <v>147</v>
      </c>
      <c r="L146" s="224" t="s">
        <v>41</v>
      </c>
      <c r="N146">
        <f t="shared" si="0"/>
        <v>0</v>
      </c>
    </row>
    <row r="147" spans="1:14" x14ac:dyDescent="0.25">
      <c r="A147" s="246"/>
      <c r="B147" s="352"/>
      <c r="C147" s="233"/>
      <c r="D147" s="230"/>
      <c r="E147" s="230"/>
      <c r="F147" s="230"/>
      <c r="G147" s="231"/>
      <c r="H147" s="230"/>
      <c r="I147" s="236"/>
      <c r="J147" s="271"/>
      <c r="K147" s="224" t="s">
        <v>147</v>
      </c>
      <c r="L147" s="224" t="s">
        <v>41</v>
      </c>
      <c r="N147">
        <f t="shared" si="0"/>
        <v>0</v>
      </c>
    </row>
    <row r="148" spans="1:14" x14ac:dyDescent="0.25">
      <c r="A148" s="246"/>
      <c r="B148" s="352"/>
      <c r="C148" s="233"/>
      <c r="D148" s="230"/>
      <c r="E148" s="230"/>
      <c r="F148" s="230"/>
      <c r="G148" s="231"/>
      <c r="H148" s="230"/>
      <c r="I148" s="236"/>
      <c r="J148" s="271"/>
      <c r="K148" s="224" t="s">
        <v>147</v>
      </c>
      <c r="L148" s="224" t="s">
        <v>41</v>
      </c>
      <c r="N148">
        <f t="shared" si="0"/>
        <v>0</v>
      </c>
    </row>
    <row r="149" spans="1:14" x14ac:dyDescent="0.25">
      <c r="A149" s="246"/>
      <c r="B149" s="352"/>
      <c r="C149" s="233"/>
      <c r="D149" s="230"/>
      <c r="E149" s="230"/>
      <c r="F149" s="230"/>
      <c r="G149" s="231"/>
      <c r="H149" s="230"/>
      <c r="I149" s="236"/>
      <c r="J149" s="271"/>
      <c r="K149" s="224" t="s">
        <v>147</v>
      </c>
      <c r="L149" s="224" t="s">
        <v>41</v>
      </c>
      <c r="N149">
        <f t="shared" si="0"/>
        <v>0</v>
      </c>
    </row>
    <row r="150" spans="1:14" x14ac:dyDescent="0.25">
      <c r="A150" s="246"/>
      <c r="B150" s="352"/>
      <c r="C150" s="233"/>
      <c r="D150" s="230"/>
      <c r="E150" s="230"/>
      <c r="F150" s="230"/>
      <c r="G150" s="231"/>
      <c r="H150" s="230"/>
      <c r="I150" s="236"/>
      <c r="J150" s="271"/>
      <c r="K150" s="224" t="s">
        <v>147</v>
      </c>
      <c r="L150" s="224" t="s">
        <v>41</v>
      </c>
      <c r="N150">
        <f t="shared" si="0"/>
        <v>0</v>
      </c>
    </row>
    <row r="151" spans="1:14" x14ac:dyDescent="0.25">
      <c r="A151" s="246"/>
      <c r="B151" s="352"/>
      <c r="C151" s="233"/>
      <c r="D151" s="230"/>
      <c r="E151" s="230"/>
      <c r="F151" s="230"/>
      <c r="G151" s="231"/>
      <c r="H151" s="230"/>
      <c r="I151" s="236"/>
      <c r="J151" s="271"/>
      <c r="K151" s="224" t="s">
        <v>147</v>
      </c>
      <c r="L151" s="224" t="s">
        <v>41</v>
      </c>
      <c r="N151">
        <f t="shared" si="0"/>
        <v>0</v>
      </c>
    </row>
    <row r="152" spans="1:14" x14ac:dyDescent="0.25">
      <c r="A152" s="246"/>
      <c r="B152" s="352"/>
      <c r="C152" s="233"/>
      <c r="D152" s="230"/>
      <c r="E152" s="230"/>
      <c r="F152" s="230"/>
      <c r="G152" s="231"/>
      <c r="H152" s="230"/>
      <c r="I152" s="236"/>
      <c r="J152" s="271"/>
      <c r="K152" s="224" t="s">
        <v>147</v>
      </c>
      <c r="L152" s="224" t="s">
        <v>41</v>
      </c>
      <c r="N152">
        <f t="shared" si="0"/>
        <v>0</v>
      </c>
    </row>
    <row r="153" spans="1:14" x14ac:dyDescent="0.25">
      <c r="A153" s="246"/>
      <c r="B153" s="352"/>
      <c r="C153" s="233"/>
      <c r="D153" s="230"/>
      <c r="E153" s="230"/>
      <c r="F153" s="230"/>
      <c r="G153" s="231"/>
      <c r="H153" s="230"/>
      <c r="I153" s="236"/>
      <c r="J153" s="271"/>
      <c r="K153" s="224" t="s">
        <v>147</v>
      </c>
      <c r="L153" s="224" t="s">
        <v>41</v>
      </c>
      <c r="N153">
        <f t="shared" si="0"/>
        <v>0</v>
      </c>
    </row>
    <row r="154" spans="1:14" x14ac:dyDescent="0.25">
      <c r="A154" s="246"/>
      <c r="B154" s="352"/>
      <c r="C154" s="233"/>
      <c r="D154" s="230"/>
      <c r="E154" s="230"/>
      <c r="F154" s="230"/>
      <c r="G154" s="231"/>
      <c r="H154" s="230"/>
      <c r="I154" s="236"/>
      <c r="J154" s="271"/>
      <c r="K154" s="224" t="s">
        <v>147</v>
      </c>
      <c r="L154" s="224" t="s">
        <v>41</v>
      </c>
      <c r="N154">
        <f t="shared" si="0"/>
        <v>0</v>
      </c>
    </row>
    <row r="155" spans="1:14" x14ac:dyDescent="0.25">
      <c r="A155" s="246"/>
      <c r="B155" s="352"/>
      <c r="C155" s="233"/>
      <c r="D155" s="230"/>
      <c r="E155" s="230"/>
      <c r="F155" s="230"/>
      <c r="G155" s="231"/>
      <c r="H155" s="230"/>
      <c r="I155" s="236"/>
      <c r="J155" s="271"/>
      <c r="K155" s="224" t="s">
        <v>147</v>
      </c>
      <c r="L155" s="224" t="s">
        <v>41</v>
      </c>
      <c r="N155">
        <f t="shared" si="0"/>
        <v>0</v>
      </c>
    </row>
    <row r="156" spans="1:14" x14ac:dyDescent="0.25">
      <c r="A156" s="246"/>
      <c r="B156" s="352"/>
      <c r="C156" s="233"/>
      <c r="D156" s="230"/>
      <c r="E156" s="230"/>
      <c r="F156" s="230"/>
      <c r="G156" s="231"/>
      <c r="H156" s="230"/>
      <c r="I156" s="236"/>
      <c r="J156" s="271"/>
      <c r="K156" s="224" t="s">
        <v>147</v>
      </c>
      <c r="L156" s="224" t="s">
        <v>41</v>
      </c>
      <c r="N156">
        <f t="shared" si="0"/>
        <v>0</v>
      </c>
    </row>
    <row r="157" spans="1:14" x14ac:dyDescent="0.25">
      <c r="A157" s="246"/>
      <c r="B157" s="352"/>
      <c r="C157" s="233"/>
      <c r="D157" s="230"/>
      <c r="E157" s="230"/>
      <c r="F157" s="230"/>
      <c r="G157" s="231"/>
      <c r="H157" s="230"/>
      <c r="I157" s="236"/>
      <c r="J157" s="271"/>
      <c r="K157" s="224" t="s">
        <v>147</v>
      </c>
      <c r="L157" s="224" t="s">
        <v>41</v>
      </c>
      <c r="N157">
        <f t="shared" si="0"/>
        <v>0</v>
      </c>
    </row>
    <row r="158" spans="1:14" x14ac:dyDescent="0.25">
      <c r="A158" s="246"/>
      <c r="B158" s="352"/>
      <c r="C158" s="233"/>
      <c r="D158" s="230"/>
      <c r="E158" s="230"/>
      <c r="F158" s="230"/>
      <c r="G158" s="231"/>
      <c r="H158" s="230"/>
      <c r="I158" s="236"/>
      <c r="J158" s="271"/>
      <c r="K158" s="224" t="s">
        <v>147</v>
      </c>
      <c r="L158" s="224" t="s">
        <v>41</v>
      </c>
      <c r="N158">
        <f t="shared" si="0"/>
        <v>0</v>
      </c>
    </row>
    <row r="159" spans="1:14" x14ac:dyDescent="0.25">
      <c r="A159" s="246"/>
      <c r="B159" s="352"/>
      <c r="C159" s="233"/>
      <c r="D159" s="230"/>
      <c r="E159" s="230"/>
      <c r="F159" s="230"/>
      <c r="G159" s="231"/>
      <c r="H159" s="230"/>
      <c r="I159" s="236"/>
      <c r="J159" s="271"/>
      <c r="K159" s="224" t="s">
        <v>147</v>
      </c>
      <c r="L159" s="224" t="s">
        <v>41</v>
      </c>
      <c r="N159">
        <f t="shared" si="0"/>
        <v>0</v>
      </c>
    </row>
    <row r="160" spans="1:14" x14ac:dyDescent="0.25">
      <c r="A160" s="246"/>
      <c r="B160" s="352"/>
      <c r="C160" s="233"/>
      <c r="D160" s="230"/>
      <c r="E160" s="230"/>
      <c r="F160" s="230"/>
      <c r="G160" s="231"/>
      <c r="H160" s="230"/>
      <c r="I160" s="236"/>
      <c r="J160" s="271"/>
      <c r="K160" s="224" t="s">
        <v>147</v>
      </c>
      <c r="L160" s="224" t="s">
        <v>41</v>
      </c>
      <c r="N160">
        <f t="shared" si="0"/>
        <v>0</v>
      </c>
    </row>
    <row r="161" spans="1:17" x14ac:dyDescent="0.25">
      <c r="A161" s="246"/>
      <c r="B161" s="352"/>
      <c r="C161" s="233"/>
      <c r="D161" s="230"/>
      <c r="E161" s="224"/>
      <c r="F161" s="224"/>
      <c r="G161" s="225"/>
      <c r="H161" s="230"/>
      <c r="I161" s="234"/>
      <c r="J161" s="235"/>
      <c r="K161" s="224" t="s">
        <v>147</v>
      </c>
      <c r="L161" s="224" t="s">
        <v>41</v>
      </c>
      <c r="N161">
        <f t="shared" si="0"/>
        <v>0</v>
      </c>
    </row>
    <row r="162" spans="1:17" x14ac:dyDescent="0.25">
      <c r="A162" s="246"/>
      <c r="B162" s="352"/>
      <c r="C162" s="233"/>
      <c r="D162" s="230"/>
      <c r="E162" s="224"/>
      <c r="F162" s="224"/>
      <c r="G162" s="225"/>
      <c r="H162" s="230"/>
      <c r="I162" s="234"/>
      <c r="J162" s="235"/>
      <c r="K162" s="224" t="s">
        <v>147</v>
      </c>
      <c r="L162" s="224" t="s">
        <v>41</v>
      </c>
      <c r="N162">
        <f t="shared" si="0"/>
        <v>0</v>
      </c>
    </row>
    <row r="163" spans="1:17" x14ac:dyDescent="0.25">
      <c r="A163" s="222"/>
      <c r="B163" s="353"/>
      <c r="C163" s="100"/>
      <c r="D163" s="224"/>
      <c r="E163" s="224"/>
      <c r="F163" s="224"/>
      <c r="G163" s="225"/>
      <c r="H163" s="224"/>
      <c r="I163" s="234"/>
      <c r="J163" s="235"/>
      <c r="K163" s="224"/>
      <c r="L163" s="224"/>
      <c r="N163">
        <f>SUM(N12:N103)</f>
        <v>45580</v>
      </c>
    </row>
    <row r="164" spans="1:17" x14ac:dyDescent="0.25">
      <c r="A164" s="285"/>
      <c r="B164" s="350"/>
      <c r="C164" s="60"/>
      <c r="D164" s="60"/>
      <c r="E164" s="60"/>
      <c r="F164" s="60"/>
      <c r="G164" s="60"/>
      <c r="H164" s="60"/>
      <c r="I164" s="61"/>
      <c r="J164" s="121"/>
      <c r="K164" s="60"/>
    </row>
    <row r="166" spans="1:17" x14ac:dyDescent="0.25">
      <c r="J166" s="123" t="s">
        <v>19</v>
      </c>
      <c r="K166" s="70"/>
    </row>
    <row r="167" spans="1:17" ht="16.5" customHeight="1" x14ac:dyDescent="0.25">
      <c r="C167" s="62" t="s">
        <v>20</v>
      </c>
      <c r="F167" s="62" t="s">
        <v>21</v>
      </c>
      <c r="J167" s="103" t="s">
        <v>109</v>
      </c>
      <c r="K167" s="127"/>
      <c r="Q167" s="30"/>
    </row>
    <row r="168" spans="1:17" x14ac:dyDescent="0.25">
      <c r="J168" s="103" t="s">
        <v>110</v>
      </c>
      <c r="K168" s="127"/>
      <c r="L168" s="98"/>
    </row>
    <row r="169" spans="1:17" x14ac:dyDescent="0.25">
      <c r="J169" s="103" t="s">
        <v>138</v>
      </c>
      <c r="K169" s="128">
        <v>371227</v>
      </c>
    </row>
    <row r="170" spans="1:17" x14ac:dyDescent="0.25">
      <c r="C170" s="124" t="s">
        <v>966</v>
      </c>
      <c r="F170" s="617" t="s">
        <v>157</v>
      </c>
      <c r="G170" s="617"/>
      <c r="H170" s="617"/>
      <c r="I170" s="617"/>
      <c r="J170" s="103" t="s">
        <v>1265</v>
      </c>
      <c r="K170" s="128">
        <v>5000</v>
      </c>
    </row>
    <row r="171" spans="1:17" x14ac:dyDescent="0.25">
      <c r="C171" s="62" t="s">
        <v>967</v>
      </c>
      <c r="F171" s="618" t="s">
        <v>158</v>
      </c>
      <c r="G171" s="618"/>
      <c r="H171" s="618"/>
      <c r="I171" s="618"/>
      <c r="J171" s="103" t="s">
        <v>111</v>
      </c>
      <c r="K171" s="127"/>
    </row>
    <row r="172" spans="1:17" x14ac:dyDescent="0.25">
      <c r="J172" s="103" t="s">
        <v>112</v>
      </c>
      <c r="K172" s="128"/>
    </row>
    <row r="173" spans="1:17" s="62" customFormat="1" x14ac:dyDescent="0.25">
      <c r="A173" s="331"/>
      <c r="B173" s="331"/>
      <c r="J173" s="103" t="s">
        <v>114</v>
      </c>
      <c r="K173" s="288"/>
      <c r="M173"/>
      <c r="N173"/>
      <c r="O173"/>
    </row>
    <row r="174" spans="1:17" s="62" customFormat="1" x14ac:dyDescent="0.25">
      <c r="A174" s="331"/>
      <c r="B174" s="331"/>
      <c r="J174" s="103" t="s">
        <v>22</v>
      </c>
      <c r="K174" s="128"/>
      <c r="M174"/>
      <c r="N174"/>
      <c r="O174"/>
    </row>
    <row r="175" spans="1:17" s="62" customFormat="1" x14ac:dyDescent="0.25">
      <c r="A175" s="331"/>
      <c r="B175" s="331"/>
      <c r="C175" s="99"/>
      <c r="F175" s="99"/>
      <c r="G175" s="99"/>
      <c r="H175" s="99"/>
      <c r="J175" s="125" t="s">
        <v>107</v>
      </c>
      <c r="K175" s="71"/>
      <c r="M175"/>
      <c r="N175"/>
      <c r="O175"/>
    </row>
    <row r="176" spans="1:17" s="62" customFormat="1" x14ac:dyDescent="0.25">
      <c r="A176" s="331"/>
      <c r="B176" s="331"/>
      <c r="J176" s="125" t="s">
        <v>108</v>
      </c>
      <c r="K176" s="70"/>
      <c r="M176"/>
      <c r="N176"/>
      <c r="O176"/>
    </row>
    <row r="177" spans="1:15" s="62" customFormat="1" x14ac:dyDescent="0.25">
      <c r="A177" s="331"/>
      <c r="B177" s="331"/>
      <c r="J177" s="103"/>
      <c r="K177" s="70"/>
      <c r="M177"/>
      <c r="N177"/>
      <c r="O177"/>
    </row>
    <row r="178" spans="1:15" s="62" customFormat="1" x14ac:dyDescent="0.25">
      <c r="A178" s="331"/>
      <c r="B178" s="331"/>
      <c r="J178" s="103"/>
      <c r="K178" s="71"/>
      <c r="M178"/>
      <c r="N178"/>
      <c r="O178"/>
    </row>
    <row r="179" spans="1:15" s="62" customFormat="1" x14ac:dyDescent="0.25">
      <c r="A179" s="331"/>
      <c r="B179" s="331"/>
      <c r="J179" s="103"/>
      <c r="K179" s="71"/>
      <c r="M179"/>
      <c r="N179"/>
      <c r="O179"/>
    </row>
    <row r="199" spans="13:13" x14ac:dyDescent="0.25">
      <c r="M199" s="30"/>
    </row>
    <row r="222" spans="13:13" x14ac:dyDescent="0.25">
      <c r="M222" s="30"/>
    </row>
    <row r="349" spans="13:13" x14ac:dyDescent="0.25">
      <c r="M349" s="30"/>
    </row>
  </sheetData>
  <mergeCells count="8">
    <mergeCell ref="F170:I170"/>
    <mergeCell ref="F171:I171"/>
    <mergeCell ref="A1:L1"/>
    <mergeCell ref="A2:L2"/>
    <mergeCell ref="A6:C6"/>
    <mergeCell ref="G7:I7"/>
    <mergeCell ref="K7:L7"/>
    <mergeCell ref="A8:C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BB15-17E2-452B-B17B-534C66B2904F}">
  <sheetPr>
    <tabColor theme="5"/>
  </sheetPr>
  <dimension ref="A1:O39"/>
  <sheetViews>
    <sheetView view="pageBreakPreview" zoomScale="96" zoomScaleNormal="100" zoomScaleSheetLayoutView="96" workbookViewId="0">
      <selection activeCell="D18" sqref="D18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1.71093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792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982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>
        <v>7</v>
      </c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>
        <v>2</v>
      </c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310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310" t="s">
        <v>13</v>
      </c>
      <c r="L9" s="310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18.75" customHeight="1" x14ac:dyDescent="0.25">
      <c r="A12" s="294">
        <v>1</v>
      </c>
      <c r="B12" s="238" t="s">
        <v>983</v>
      </c>
      <c r="C12" s="57"/>
      <c r="D12" s="56"/>
      <c r="E12" s="238" t="s">
        <v>66</v>
      </c>
      <c r="F12" s="270" t="s">
        <v>984</v>
      </c>
      <c r="G12" s="324" t="s">
        <v>822</v>
      </c>
      <c r="H12" s="238" t="s">
        <v>40</v>
      </c>
      <c r="I12" s="239">
        <v>13750</v>
      </c>
      <c r="J12" s="220" t="s">
        <v>152</v>
      </c>
      <c r="K12" s="100"/>
      <c r="L12" s="181" t="s">
        <v>41</v>
      </c>
    </row>
    <row r="13" spans="1:15" ht="18" customHeight="1" x14ac:dyDescent="0.25">
      <c r="A13" s="294">
        <v>1</v>
      </c>
      <c r="B13" s="238" t="s">
        <v>993</v>
      </c>
      <c r="C13" s="57"/>
      <c r="D13" s="56"/>
      <c r="E13" s="238" t="s">
        <v>67</v>
      </c>
      <c r="F13" s="270" t="s">
        <v>994</v>
      </c>
      <c r="G13" s="238" t="s">
        <v>995</v>
      </c>
      <c r="H13" s="238" t="s">
        <v>40</v>
      </c>
      <c r="I13" s="239">
        <v>1200</v>
      </c>
      <c r="J13" s="220" t="s">
        <v>152</v>
      </c>
      <c r="K13" s="100"/>
      <c r="L13" s="181" t="s">
        <v>41</v>
      </c>
    </row>
    <row r="14" spans="1:15" s="62" customFormat="1" ht="20.25" customHeight="1" x14ac:dyDescent="0.25">
      <c r="A14" s="295">
        <v>4</v>
      </c>
      <c r="B14" s="277" t="s">
        <v>451</v>
      </c>
      <c r="C14" s="216"/>
      <c r="D14" s="181"/>
      <c r="E14" s="181" t="s">
        <v>56</v>
      </c>
      <c r="F14" s="217" t="s">
        <v>909</v>
      </c>
      <c r="G14" s="181" t="s">
        <v>452</v>
      </c>
      <c r="H14" s="218" t="s">
        <v>40</v>
      </c>
      <c r="I14" s="219">
        <v>2500</v>
      </c>
      <c r="J14" s="220" t="s">
        <v>152</v>
      </c>
      <c r="K14" s="100"/>
      <c r="L14" s="181" t="s">
        <v>41</v>
      </c>
      <c r="M14" s="166"/>
    </row>
    <row r="15" spans="1:15" s="62" customFormat="1" ht="16.5" customHeight="1" x14ac:dyDescent="0.25">
      <c r="A15" s="275">
        <v>4</v>
      </c>
      <c r="B15" s="277" t="s">
        <v>389</v>
      </c>
      <c r="C15" s="216"/>
      <c r="D15" s="181"/>
      <c r="E15" s="181" t="s">
        <v>57</v>
      </c>
      <c r="F15" s="217" t="s">
        <v>1025</v>
      </c>
      <c r="G15" s="181" t="s">
        <v>1026</v>
      </c>
      <c r="H15" s="218" t="s">
        <v>40</v>
      </c>
      <c r="I15" s="221">
        <v>25000</v>
      </c>
      <c r="J15" s="220" t="s">
        <v>152</v>
      </c>
      <c r="K15" s="100"/>
      <c r="L15" s="181" t="s">
        <v>41</v>
      </c>
      <c r="M15" s="166"/>
      <c r="O15" s="98"/>
    </row>
    <row r="16" spans="1:15" s="62" customFormat="1" ht="17.25" customHeight="1" x14ac:dyDescent="0.25">
      <c r="A16" s="295">
        <v>9</v>
      </c>
      <c r="B16" s="238" t="s">
        <v>1064</v>
      </c>
      <c r="C16" s="216"/>
      <c r="D16" s="181"/>
      <c r="E16" s="181" t="s">
        <v>64</v>
      </c>
      <c r="F16" s="217" t="s">
        <v>1065</v>
      </c>
      <c r="G16" s="181" t="s">
        <v>1066</v>
      </c>
      <c r="H16" s="242" t="s">
        <v>40</v>
      </c>
      <c r="I16" s="221">
        <v>50000</v>
      </c>
      <c r="J16" s="220" t="s">
        <v>152</v>
      </c>
      <c r="K16" s="100" t="s">
        <v>901</v>
      </c>
      <c r="L16" s="181" t="s">
        <v>41</v>
      </c>
      <c r="O16" s="98"/>
    </row>
    <row r="17" spans="1:15" s="62" customFormat="1" ht="18" customHeight="1" x14ac:dyDescent="0.25">
      <c r="A17" s="295">
        <v>11</v>
      </c>
      <c r="B17" s="277" t="s">
        <v>1095</v>
      </c>
      <c r="C17" s="216"/>
      <c r="D17" s="181"/>
      <c r="E17" s="181" t="s">
        <v>60</v>
      </c>
      <c r="F17" s="217" t="s">
        <v>1096</v>
      </c>
      <c r="G17" s="181" t="s">
        <v>1097</v>
      </c>
      <c r="H17" s="242" t="s">
        <v>40</v>
      </c>
      <c r="I17" s="221">
        <v>15000</v>
      </c>
      <c r="J17" s="220" t="s">
        <v>152</v>
      </c>
      <c r="K17" s="100"/>
      <c r="L17" s="181" t="s">
        <v>41</v>
      </c>
      <c r="O17" s="98"/>
    </row>
    <row r="18" spans="1:15" s="62" customFormat="1" ht="18" customHeight="1" x14ac:dyDescent="0.25">
      <c r="A18" s="295">
        <v>11</v>
      </c>
      <c r="B18" s="277" t="s">
        <v>594</v>
      </c>
      <c r="C18" s="216"/>
      <c r="D18" s="181" t="s">
        <v>305</v>
      </c>
      <c r="E18" s="181" t="s">
        <v>795</v>
      </c>
      <c r="F18" s="217" t="s">
        <v>1118</v>
      </c>
      <c r="G18" s="181" t="s">
        <v>595</v>
      </c>
      <c r="H18" s="242" t="s">
        <v>40</v>
      </c>
      <c r="I18" s="221">
        <v>20000</v>
      </c>
      <c r="J18" s="220" t="s">
        <v>152</v>
      </c>
      <c r="K18" s="100"/>
      <c r="L18" s="181" t="s">
        <v>41</v>
      </c>
      <c r="O18" s="98"/>
    </row>
    <row r="19" spans="1:15" s="62" customFormat="1" ht="18" customHeight="1" x14ac:dyDescent="0.25">
      <c r="A19" s="275">
        <v>11</v>
      </c>
      <c r="B19" s="277" t="s">
        <v>451</v>
      </c>
      <c r="C19" s="216"/>
      <c r="D19" s="181"/>
      <c r="E19" s="181" t="s">
        <v>56</v>
      </c>
      <c r="F19" s="217" t="s">
        <v>909</v>
      </c>
      <c r="G19" s="181" t="s">
        <v>452</v>
      </c>
      <c r="H19" s="242" t="s">
        <v>40</v>
      </c>
      <c r="I19" s="221">
        <v>4000</v>
      </c>
      <c r="J19" s="220" t="s">
        <v>152</v>
      </c>
      <c r="K19" s="100"/>
      <c r="L19" s="181" t="s">
        <v>41</v>
      </c>
      <c r="O19" s="98"/>
    </row>
    <row r="20" spans="1:15" s="62" customFormat="1" ht="18" customHeight="1" x14ac:dyDescent="0.25">
      <c r="A20" s="295">
        <v>21</v>
      </c>
      <c r="B20" s="277" t="s">
        <v>872</v>
      </c>
      <c r="C20" s="216"/>
      <c r="D20" s="181" t="s">
        <v>873</v>
      </c>
      <c r="E20" s="181" t="s">
        <v>48</v>
      </c>
      <c r="F20" s="217"/>
      <c r="G20" s="329" t="s">
        <v>1198</v>
      </c>
      <c r="H20" s="242" t="s">
        <v>377</v>
      </c>
      <c r="I20" s="221">
        <v>12000</v>
      </c>
      <c r="J20" s="220" t="s">
        <v>152</v>
      </c>
      <c r="K20" s="100"/>
      <c r="L20" s="181" t="s">
        <v>41</v>
      </c>
      <c r="O20" s="98"/>
    </row>
    <row r="21" spans="1:15" s="62" customFormat="1" ht="18" customHeight="1" x14ac:dyDescent="0.25">
      <c r="A21" s="295"/>
      <c r="B21" s="277"/>
      <c r="C21" s="216"/>
      <c r="D21" s="181"/>
      <c r="E21" s="181"/>
      <c r="F21" s="217"/>
      <c r="G21" s="181"/>
      <c r="H21" s="242"/>
      <c r="I21" s="221"/>
      <c r="J21" s="220" t="s">
        <v>152</v>
      </c>
      <c r="K21" s="100"/>
      <c r="L21" s="181" t="s">
        <v>41</v>
      </c>
      <c r="O21" s="98"/>
    </row>
    <row r="22" spans="1:15" s="62" customFormat="1" ht="18" customHeight="1" x14ac:dyDescent="0.25">
      <c r="A22" s="295"/>
      <c r="B22" s="277"/>
      <c r="C22" s="216"/>
      <c r="D22" s="181"/>
      <c r="E22" s="181"/>
      <c r="F22" s="217"/>
      <c r="G22" s="181"/>
      <c r="H22" s="242"/>
      <c r="I22" s="221"/>
      <c r="J22" s="220" t="s">
        <v>152</v>
      </c>
      <c r="K22" s="100"/>
      <c r="L22" s="181" t="s">
        <v>41</v>
      </c>
      <c r="O22" s="98"/>
    </row>
    <row r="23" spans="1:15" s="62" customFormat="1" ht="18" customHeight="1" x14ac:dyDescent="0.25">
      <c r="A23" s="215"/>
      <c r="B23" s="277"/>
      <c r="C23" s="216"/>
      <c r="D23" s="181"/>
      <c r="E23" s="181"/>
      <c r="F23" s="217"/>
      <c r="G23" s="181"/>
      <c r="H23" s="242"/>
      <c r="I23" s="221"/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15"/>
      <c r="B24" s="277"/>
      <c r="C24" s="216"/>
      <c r="D24" s="181"/>
      <c r="E24" s="181"/>
      <c r="F24" s="217"/>
      <c r="G24" s="181"/>
      <c r="H24" s="242"/>
      <c r="I24" s="221"/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240"/>
      <c r="B25" s="207"/>
      <c r="C25" s="100"/>
      <c r="D25" s="100"/>
      <c r="E25" s="100"/>
      <c r="F25" s="241"/>
      <c r="G25" s="218"/>
      <c r="H25" s="242"/>
      <c r="I25" s="221"/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240"/>
      <c r="B26" s="207"/>
      <c r="C26" s="100"/>
      <c r="D26" s="100"/>
      <c r="E26" s="100"/>
      <c r="F26" s="241"/>
      <c r="G26" s="100"/>
      <c r="H26" s="242"/>
      <c r="I26" s="221"/>
      <c r="J26" s="220" t="s">
        <v>152</v>
      </c>
      <c r="K26" s="100"/>
      <c r="L26" s="181" t="s">
        <v>41</v>
      </c>
      <c r="O26" s="98"/>
    </row>
    <row r="27" spans="1:15" s="62" customFormat="1" x14ac:dyDescent="0.25">
      <c r="A27" s="240"/>
      <c r="B27" s="100"/>
      <c r="C27" s="216"/>
      <c r="D27" s="100"/>
      <c r="E27" s="100"/>
      <c r="F27" s="241"/>
      <c r="G27" s="100"/>
      <c r="H27" s="140"/>
      <c r="I27" s="221"/>
      <c r="J27" s="216"/>
      <c r="K27" s="100"/>
      <c r="L27" s="100"/>
      <c r="O27" s="98"/>
    </row>
    <row r="28" spans="1:15" x14ac:dyDescent="0.25">
      <c r="I28" s="28"/>
      <c r="J28" s="28"/>
    </row>
    <row r="29" spans="1:15" x14ac:dyDescent="0.25">
      <c r="I29" s="63" t="s">
        <v>19</v>
      </c>
      <c r="J29" s="28"/>
      <c r="K29" s="326" t="s">
        <v>1063</v>
      </c>
      <c r="L29" s="30">
        <f>SUM(I12:I15)</f>
        <v>42450</v>
      </c>
    </row>
    <row r="30" spans="1:15" x14ac:dyDescent="0.25">
      <c r="I30" s="28" t="s">
        <v>109</v>
      </c>
      <c r="J30" s="28"/>
      <c r="K30" s="274" t="s">
        <v>1139</v>
      </c>
      <c r="L30" s="276">
        <f>SUM(I16:I19)</f>
        <v>89000</v>
      </c>
    </row>
    <row r="31" spans="1:15" x14ac:dyDescent="0.25">
      <c r="B31" t="s">
        <v>20</v>
      </c>
      <c r="E31" t="s">
        <v>21</v>
      </c>
      <c r="I31" s="28" t="s">
        <v>110</v>
      </c>
      <c r="J31" s="132"/>
      <c r="K31" s="328">
        <v>45372</v>
      </c>
      <c r="L31" s="69">
        <v>12000</v>
      </c>
    </row>
    <row r="32" spans="1:15" x14ac:dyDescent="0.25">
      <c r="I32" s="28" t="s">
        <v>149</v>
      </c>
      <c r="J32" s="132"/>
    </row>
    <row r="33" spans="2:12" x14ac:dyDescent="0.25">
      <c r="I33" s="28" t="s">
        <v>601</v>
      </c>
      <c r="J33" s="132"/>
      <c r="K33" s="274"/>
      <c r="L33" s="69"/>
    </row>
    <row r="34" spans="2:12" x14ac:dyDescent="0.25">
      <c r="I34" s="28" t="s">
        <v>111</v>
      </c>
      <c r="J34" s="130"/>
      <c r="K34" s="274"/>
      <c r="L34" s="287"/>
    </row>
    <row r="35" spans="2:12" x14ac:dyDescent="0.25">
      <c r="B35" s="29"/>
      <c r="E35" s="251"/>
      <c r="F35" s="251"/>
      <c r="G35" s="251"/>
      <c r="H35" s="251"/>
      <c r="I35" s="28" t="s">
        <v>113</v>
      </c>
      <c r="J35" s="132"/>
      <c r="L35" s="69"/>
    </row>
    <row r="36" spans="2:12" x14ac:dyDescent="0.25">
      <c r="B36" s="267" t="s">
        <v>966</v>
      </c>
      <c r="C36" s="267"/>
      <c r="D36" s="267"/>
      <c r="E36" s="268" t="s">
        <v>157</v>
      </c>
      <c r="F36" s="252"/>
      <c r="G36" s="252"/>
      <c r="H36" s="252"/>
      <c r="I36" s="28" t="s">
        <v>114</v>
      </c>
      <c r="J36" s="130"/>
      <c r="L36" s="69"/>
    </row>
    <row r="37" spans="2:12" x14ac:dyDescent="0.25">
      <c r="B37" t="s">
        <v>967</v>
      </c>
      <c r="E37" t="s">
        <v>158</v>
      </c>
      <c r="I37" s="28" t="s">
        <v>22</v>
      </c>
      <c r="J37" s="131"/>
    </row>
    <row r="38" spans="2:12" x14ac:dyDescent="0.25">
      <c r="I38" s="3" t="s">
        <v>115</v>
      </c>
      <c r="J38" s="132"/>
      <c r="L38" s="30"/>
    </row>
    <row r="39" spans="2:12" x14ac:dyDescent="0.25">
      <c r="I39" s="3" t="s">
        <v>87</v>
      </c>
      <c r="J39" s="132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1492C6-F23E-4C54-83E3-9999DD31D41E}">
  <sheetPr>
    <tabColor theme="5"/>
  </sheetPr>
  <dimension ref="A1:T351"/>
  <sheetViews>
    <sheetView view="pageBreakPreview" topLeftCell="A142" zoomScale="106" zoomScaleNormal="100" zoomScaleSheetLayoutView="106" workbookViewId="0">
      <selection activeCell="B31" sqref="B31"/>
    </sheetView>
  </sheetViews>
  <sheetFormatPr defaultRowHeight="15" x14ac:dyDescent="0.25"/>
  <cols>
    <col min="1" max="1" width="4.7109375" style="296" customWidth="1"/>
    <col min="2" max="2" width="25" style="62" customWidth="1"/>
    <col min="3" max="3" width="7.28515625" style="62" customWidth="1"/>
    <col min="4" max="4" width="17.7109375" style="62" customWidth="1"/>
    <col min="5" max="5" width="14.5703125" style="62" customWidth="1"/>
    <col min="6" max="6" width="14.28515625" style="62" customWidth="1"/>
    <col min="7" max="7" width="14" style="62" customWidth="1"/>
    <col min="8" max="8" width="16.42578125" style="62" customWidth="1"/>
    <col min="9" max="9" width="16.85546875" style="122" customWidth="1"/>
    <col min="10" max="10" width="9.5703125" style="62" customWidth="1"/>
    <col min="11" max="11" width="17.85546875" style="62" customWidth="1"/>
    <col min="15" max="15" width="4.5703125" customWidth="1"/>
    <col min="16" max="16" width="14.28515625" customWidth="1"/>
    <col min="17" max="17" width="12.42578125" customWidth="1"/>
  </cols>
  <sheetData>
    <row r="1" spans="1:20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</row>
    <row r="2" spans="1:20" ht="18" x14ac:dyDescent="0.25">
      <c r="A2" s="620" t="s">
        <v>792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</row>
    <row r="3" spans="1:20" x14ac:dyDescent="0.25">
      <c r="B3" s="102"/>
      <c r="C3" s="78"/>
      <c r="D3" s="102"/>
      <c r="E3" s="102"/>
      <c r="G3" s="78"/>
      <c r="H3" s="83"/>
      <c r="I3" s="103"/>
      <c r="J3" s="104" t="s">
        <v>1263</v>
      </c>
      <c r="K3" s="105"/>
    </row>
    <row r="4" spans="1:20" x14ac:dyDescent="0.25">
      <c r="B4" s="102"/>
      <c r="C4" s="78"/>
      <c r="D4" s="102"/>
      <c r="E4" s="102"/>
      <c r="G4" s="78"/>
      <c r="H4" s="83"/>
      <c r="I4" s="106"/>
      <c r="J4" s="95" t="s">
        <v>89</v>
      </c>
      <c r="K4" s="126">
        <v>118</v>
      </c>
    </row>
    <row r="5" spans="1:20" x14ac:dyDescent="0.25">
      <c r="B5" s="102"/>
      <c r="C5" s="78"/>
      <c r="D5" s="102"/>
      <c r="E5" s="107"/>
      <c r="G5" s="78"/>
      <c r="H5" s="83"/>
      <c r="I5" s="106"/>
      <c r="J5" s="95" t="s">
        <v>91</v>
      </c>
      <c r="K5" s="126">
        <v>22</v>
      </c>
    </row>
    <row r="6" spans="1:20" x14ac:dyDescent="0.25">
      <c r="A6" s="622" t="s">
        <v>117</v>
      </c>
      <c r="B6" s="622"/>
      <c r="C6" s="79"/>
      <c r="D6" s="107"/>
      <c r="E6" s="108"/>
      <c r="F6" s="60"/>
      <c r="G6" s="79"/>
      <c r="H6" s="84"/>
      <c r="I6" s="103"/>
      <c r="J6" s="101" t="s">
        <v>600</v>
      </c>
      <c r="K6" s="109"/>
    </row>
    <row r="7" spans="1:20" x14ac:dyDescent="0.25">
      <c r="A7" s="110"/>
      <c r="B7" s="111"/>
      <c r="C7" s="80"/>
      <c r="D7" s="169"/>
      <c r="E7" s="169"/>
      <c r="F7" s="613" t="s">
        <v>1</v>
      </c>
      <c r="G7" s="623"/>
      <c r="H7" s="614"/>
      <c r="I7" s="112"/>
      <c r="J7" s="624" t="s">
        <v>2</v>
      </c>
      <c r="K7" s="625"/>
      <c r="P7" s="30"/>
    </row>
    <row r="8" spans="1:20" x14ac:dyDescent="0.25">
      <c r="A8" s="629" t="s">
        <v>3</v>
      </c>
      <c r="B8" s="630"/>
      <c r="C8" s="18" t="s">
        <v>4</v>
      </c>
      <c r="D8" s="297" t="s">
        <v>5</v>
      </c>
      <c r="E8" s="73" t="s">
        <v>6</v>
      </c>
      <c r="F8" s="11" t="s">
        <v>7</v>
      </c>
      <c r="G8" s="81"/>
      <c r="H8" s="12" t="s">
        <v>8</v>
      </c>
      <c r="I8" s="74" t="s">
        <v>9</v>
      </c>
      <c r="J8" s="96"/>
      <c r="K8" s="113"/>
      <c r="P8" s="214"/>
    </row>
    <row r="9" spans="1:20" x14ac:dyDescent="0.25">
      <c r="A9" s="114"/>
      <c r="B9" s="115"/>
      <c r="C9" s="81"/>
      <c r="D9" s="116"/>
      <c r="E9" s="115"/>
      <c r="F9" s="17" t="s">
        <v>10</v>
      </c>
      <c r="G9" s="18" t="s">
        <v>11</v>
      </c>
      <c r="H9" s="12" t="s">
        <v>12</v>
      </c>
      <c r="I9" s="117"/>
      <c r="J9" s="297" t="s">
        <v>13</v>
      </c>
      <c r="K9" s="297" t="s">
        <v>14</v>
      </c>
      <c r="P9" s="214"/>
    </row>
    <row r="10" spans="1:20" x14ac:dyDescent="0.25">
      <c r="A10" s="118"/>
      <c r="B10" s="119"/>
      <c r="C10" s="82"/>
      <c r="D10" s="170"/>
      <c r="E10" s="170"/>
      <c r="F10" s="22"/>
      <c r="G10" s="85"/>
      <c r="H10" s="86" t="s">
        <v>15</v>
      </c>
      <c r="I10" s="120"/>
      <c r="J10" s="22"/>
      <c r="K10" s="51" t="s">
        <v>16</v>
      </c>
      <c r="P10" s="214"/>
    </row>
    <row r="11" spans="1:20" x14ac:dyDescent="0.25">
      <c r="A11" s="142" t="s">
        <v>17</v>
      </c>
      <c r="B11" s="59"/>
      <c r="C11" s="59"/>
      <c r="D11" s="59"/>
      <c r="E11" s="59"/>
      <c r="F11" s="59"/>
      <c r="G11" s="59"/>
      <c r="H11" s="59"/>
      <c r="I11" s="75"/>
      <c r="J11" s="59"/>
      <c r="K11" s="59"/>
      <c r="P11" s="272" t="s">
        <v>1061</v>
      </c>
      <c r="R11" t="s">
        <v>160</v>
      </c>
      <c r="S11" t="s">
        <v>163</v>
      </c>
      <c r="T11" t="s">
        <v>309</v>
      </c>
    </row>
    <row r="12" spans="1:20" x14ac:dyDescent="0.25">
      <c r="A12" s="228">
        <v>1</v>
      </c>
      <c r="B12" s="230" t="s">
        <v>969</v>
      </c>
      <c r="C12" s="269" t="s">
        <v>163</v>
      </c>
      <c r="D12" s="230" t="s">
        <v>970</v>
      </c>
      <c r="E12" s="230" t="s">
        <v>43</v>
      </c>
      <c r="F12" s="231" t="s">
        <v>971</v>
      </c>
      <c r="G12" s="233" t="s">
        <v>40</v>
      </c>
      <c r="H12" s="232">
        <v>2000</v>
      </c>
      <c r="I12" s="229">
        <v>400</v>
      </c>
      <c r="J12" s="224" t="s">
        <v>147</v>
      </c>
      <c r="K12" s="224" t="s">
        <v>41</v>
      </c>
      <c r="M12">
        <f>H12/5</f>
        <v>400</v>
      </c>
      <c r="O12" s="30"/>
      <c r="P12" s="320" t="s">
        <v>138</v>
      </c>
      <c r="Q12" s="27">
        <f>SUM(H12:H44,H46:H58)</f>
        <v>148190</v>
      </c>
      <c r="R12" s="320">
        <v>37</v>
      </c>
      <c r="S12">
        <v>5</v>
      </c>
      <c r="T12" t="s">
        <v>1062</v>
      </c>
    </row>
    <row r="13" spans="1:20" x14ac:dyDescent="0.25">
      <c r="A13" s="228">
        <v>1</v>
      </c>
      <c r="B13" s="230" t="s">
        <v>972</v>
      </c>
      <c r="C13" s="230" t="s">
        <v>160</v>
      </c>
      <c r="D13" s="230" t="s">
        <v>973</v>
      </c>
      <c r="E13" s="230" t="s">
        <v>60</v>
      </c>
      <c r="F13" s="231" t="s">
        <v>974</v>
      </c>
      <c r="G13" s="233" t="s">
        <v>40</v>
      </c>
      <c r="H13" s="232">
        <v>6000</v>
      </c>
      <c r="I13" s="229">
        <v>1200</v>
      </c>
      <c r="J13" s="224" t="s">
        <v>147</v>
      </c>
      <c r="K13" s="224" t="s">
        <v>41</v>
      </c>
      <c r="M13">
        <f t="shared" ref="M13:M164" si="0">H13/5</f>
        <v>1200</v>
      </c>
      <c r="O13" s="30"/>
      <c r="P13" s="321" t="s">
        <v>327</v>
      </c>
      <c r="Q13" s="27">
        <f>H45</f>
        <v>5000</v>
      </c>
      <c r="R13" s="320">
        <v>1</v>
      </c>
    </row>
    <row r="14" spans="1:20" x14ac:dyDescent="0.25">
      <c r="A14" s="228">
        <v>1</v>
      </c>
      <c r="B14" s="230" t="s">
        <v>975</v>
      </c>
      <c r="C14" s="230" t="s">
        <v>160</v>
      </c>
      <c r="D14" s="230" t="s">
        <v>299</v>
      </c>
      <c r="E14" s="230" t="s">
        <v>42</v>
      </c>
      <c r="F14" s="231" t="s">
        <v>976</v>
      </c>
      <c r="G14" s="233" t="s">
        <v>40</v>
      </c>
      <c r="H14" s="232">
        <v>2500</v>
      </c>
      <c r="I14" s="229">
        <v>500</v>
      </c>
      <c r="J14" s="224" t="s">
        <v>147</v>
      </c>
      <c r="K14" s="224" t="s">
        <v>41</v>
      </c>
      <c r="M14">
        <f t="shared" si="0"/>
        <v>500</v>
      </c>
      <c r="O14" s="30"/>
      <c r="P14" s="272" t="s">
        <v>1138</v>
      </c>
      <c r="Q14" s="322"/>
      <c r="R14" s="320"/>
    </row>
    <row r="15" spans="1:20" x14ac:dyDescent="0.25">
      <c r="A15" s="228">
        <v>1</v>
      </c>
      <c r="B15" s="230" t="s">
        <v>962</v>
      </c>
      <c r="C15" s="269" t="s">
        <v>163</v>
      </c>
      <c r="D15" s="230" t="s">
        <v>867</v>
      </c>
      <c r="E15" s="230" t="s">
        <v>69</v>
      </c>
      <c r="F15" s="231" t="s">
        <v>977</v>
      </c>
      <c r="G15" s="233" t="s">
        <v>40</v>
      </c>
      <c r="H15" s="232">
        <v>2700</v>
      </c>
      <c r="I15" s="229">
        <v>540</v>
      </c>
      <c r="J15" s="224" t="s">
        <v>147</v>
      </c>
      <c r="K15" s="224" t="s">
        <v>41</v>
      </c>
      <c r="M15">
        <f t="shared" si="0"/>
        <v>540</v>
      </c>
      <c r="P15" s="320" t="s">
        <v>138</v>
      </c>
      <c r="Q15" s="322">
        <f>SUM(H59:H93)</f>
        <v>46287</v>
      </c>
      <c r="R15" s="320">
        <v>29</v>
      </c>
      <c r="S15">
        <v>6</v>
      </c>
      <c r="T15" t="s">
        <v>1264</v>
      </c>
    </row>
    <row r="16" spans="1:20" x14ac:dyDescent="0.25">
      <c r="A16" s="228">
        <v>1</v>
      </c>
      <c r="B16" s="230" t="s">
        <v>902</v>
      </c>
      <c r="C16" s="230" t="s">
        <v>160</v>
      </c>
      <c r="D16" s="230" t="s">
        <v>167</v>
      </c>
      <c r="E16" s="230" t="s">
        <v>43</v>
      </c>
      <c r="F16" s="231"/>
      <c r="G16" s="233" t="s">
        <v>40</v>
      </c>
      <c r="H16" s="232">
        <v>600</v>
      </c>
      <c r="I16" s="229">
        <v>120</v>
      </c>
      <c r="J16" s="224" t="s">
        <v>147</v>
      </c>
      <c r="K16" s="224" t="s">
        <v>41</v>
      </c>
      <c r="M16">
        <f t="shared" si="0"/>
        <v>120</v>
      </c>
      <c r="P16" s="272" t="s">
        <v>1206</v>
      </c>
      <c r="Q16" s="322"/>
      <c r="R16" s="320"/>
    </row>
    <row r="17" spans="1:20" x14ac:dyDescent="0.25">
      <c r="A17" s="228">
        <v>1</v>
      </c>
      <c r="B17" s="230" t="s">
        <v>978</v>
      </c>
      <c r="C17" s="230" t="s">
        <v>160</v>
      </c>
      <c r="D17" s="230" t="s">
        <v>334</v>
      </c>
      <c r="E17" s="230" t="s">
        <v>55</v>
      </c>
      <c r="F17" s="231" t="s">
        <v>979</v>
      </c>
      <c r="G17" s="233" t="s">
        <v>40</v>
      </c>
      <c r="H17" s="232">
        <v>2000</v>
      </c>
      <c r="I17" s="229">
        <v>400</v>
      </c>
      <c r="J17" s="224" t="s">
        <v>147</v>
      </c>
      <c r="K17" s="224" t="s">
        <v>41</v>
      </c>
      <c r="M17">
        <f t="shared" si="0"/>
        <v>400</v>
      </c>
      <c r="O17" s="69"/>
      <c r="P17" s="320" t="s">
        <v>138</v>
      </c>
      <c r="Q17" s="322">
        <f>SUM(H94:H133)</f>
        <v>107550</v>
      </c>
      <c r="R17" s="60">
        <v>31</v>
      </c>
      <c r="S17">
        <v>4</v>
      </c>
      <c r="T17" t="s">
        <v>789</v>
      </c>
    </row>
    <row r="18" spans="1:20" x14ac:dyDescent="0.25">
      <c r="A18" s="228">
        <v>1</v>
      </c>
      <c r="B18" s="230" t="s">
        <v>980</v>
      </c>
      <c r="C18" s="269" t="s">
        <v>163</v>
      </c>
      <c r="D18" s="230" t="s">
        <v>754</v>
      </c>
      <c r="E18" s="230" t="s">
        <v>42</v>
      </c>
      <c r="F18" s="231" t="s">
        <v>981</v>
      </c>
      <c r="G18" s="233" t="s">
        <v>40</v>
      </c>
      <c r="H18" s="232">
        <v>1000</v>
      </c>
      <c r="I18" s="229">
        <v>300</v>
      </c>
      <c r="J18" s="224" t="s">
        <v>147</v>
      </c>
      <c r="K18" s="224" t="s">
        <v>41</v>
      </c>
      <c r="M18">
        <f t="shared" si="0"/>
        <v>200</v>
      </c>
      <c r="P18" s="272" t="s">
        <v>1262</v>
      </c>
      <c r="Q18" s="27"/>
      <c r="R18" s="320"/>
    </row>
    <row r="19" spans="1:20" x14ac:dyDescent="0.25">
      <c r="A19" s="228">
        <v>1</v>
      </c>
      <c r="B19" s="230" t="s">
        <v>985</v>
      </c>
      <c r="C19" s="230" t="s">
        <v>160</v>
      </c>
      <c r="D19" s="230" t="s">
        <v>954</v>
      </c>
      <c r="E19" s="230" t="s">
        <v>43</v>
      </c>
      <c r="F19" s="231"/>
      <c r="G19" s="233" t="s">
        <v>40</v>
      </c>
      <c r="H19" s="232">
        <v>4000</v>
      </c>
      <c r="I19" s="229">
        <v>800</v>
      </c>
      <c r="J19" s="224" t="s">
        <v>147</v>
      </c>
      <c r="K19" s="224" t="s">
        <v>41</v>
      </c>
      <c r="M19">
        <f t="shared" si="0"/>
        <v>800</v>
      </c>
      <c r="O19" s="30"/>
      <c r="P19" s="60" t="s">
        <v>138</v>
      </c>
      <c r="Q19" s="322">
        <f>SUM(H134:H162)</f>
        <v>69200</v>
      </c>
      <c r="R19" s="320">
        <v>21</v>
      </c>
      <c r="S19">
        <v>7</v>
      </c>
    </row>
    <row r="20" spans="1:20" s="62" customFormat="1" x14ac:dyDescent="0.25">
      <c r="A20" s="228">
        <v>1</v>
      </c>
      <c r="B20" s="230" t="s">
        <v>986</v>
      </c>
      <c r="C20" s="230" t="s">
        <v>160</v>
      </c>
      <c r="D20" s="230" t="s">
        <v>987</v>
      </c>
      <c r="E20" s="230" t="s">
        <v>69</v>
      </c>
      <c r="F20" s="231" t="s">
        <v>988</v>
      </c>
      <c r="G20" s="233" t="s">
        <v>40</v>
      </c>
      <c r="H20" s="232">
        <v>1500</v>
      </c>
      <c r="I20" s="229">
        <v>300</v>
      </c>
      <c r="J20" s="224" t="s">
        <v>147</v>
      </c>
      <c r="K20" s="224" t="s">
        <v>41</v>
      </c>
      <c r="M20" s="62">
        <f t="shared" si="0"/>
        <v>300</v>
      </c>
    </row>
    <row r="21" spans="1:20" x14ac:dyDescent="0.25">
      <c r="A21" s="228">
        <v>1</v>
      </c>
      <c r="B21" s="230" t="s">
        <v>986</v>
      </c>
      <c r="C21" s="230" t="s">
        <v>160</v>
      </c>
      <c r="D21" s="230" t="s">
        <v>987</v>
      </c>
      <c r="E21" s="230" t="s">
        <v>69</v>
      </c>
      <c r="F21" s="231" t="s">
        <v>988</v>
      </c>
      <c r="G21" s="233" t="s">
        <v>40</v>
      </c>
      <c r="H21" s="232">
        <v>500</v>
      </c>
      <c r="I21" s="229" t="s">
        <v>152</v>
      </c>
      <c r="J21" s="224" t="s">
        <v>147</v>
      </c>
      <c r="K21" s="224" t="s">
        <v>41</v>
      </c>
      <c r="M21">
        <f t="shared" si="0"/>
        <v>100</v>
      </c>
    </row>
    <row r="22" spans="1:20" x14ac:dyDescent="0.25">
      <c r="A22" s="228">
        <v>1</v>
      </c>
      <c r="B22" s="230" t="s">
        <v>989</v>
      </c>
      <c r="C22" s="269" t="s">
        <v>163</v>
      </c>
      <c r="D22" s="230" t="s">
        <v>621</v>
      </c>
      <c r="E22" s="230" t="s">
        <v>69</v>
      </c>
      <c r="F22" s="231" t="s">
        <v>990</v>
      </c>
      <c r="G22" s="233" t="s">
        <v>40</v>
      </c>
      <c r="H22" s="232">
        <v>20000</v>
      </c>
      <c r="I22" s="229">
        <v>4000</v>
      </c>
      <c r="J22" s="224" t="s">
        <v>147</v>
      </c>
      <c r="K22" s="224" t="s">
        <v>41</v>
      </c>
      <c r="M22">
        <f t="shared" si="0"/>
        <v>4000</v>
      </c>
      <c r="Q22" s="30">
        <f>SUM(Q12,Q15,Q17,Q19)</f>
        <v>371227</v>
      </c>
    </row>
    <row r="23" spans="1:20" x14ac:dyDescent="0.25">
      <c r="A23" s="228">
        <v>1</v>
      </c>
      <c r="B23" s="230" t="s">
        <v>991</v>
      </c>
      <c r="C23" s="230" t="s">
        <v>160</v>
      </c>
      <c r="D23" s="230" t="s">
        <v>827</v>
      </c>
      <c r="E23" s="230" t="s">
        <v>69</v>
      </c>
      <c r="F23" s="231" t="s">
        <v>992</v>
      </c>
      <c r="G23" s="233" t="s">
        <v>40</v>
      </c>
      <c r="H23" s="232">
        <v>1000</v>
      </c>
      <c r="I23" s="229">
        <v>200</v>
      </c>
      <c r="J23" s="224" t="s">
        <v>147</v>
      </c>
      <c r="K23" s="224" t="s">
        <v>41</v>
      </c>
      <c r="M23">
        <f t="shared" si="0"/>
        <v>200</v>
      </c>
    </row>
    <row r="24" spans="1:20" x14ac:dyDescent="0.25">
      <c r="A24" s="228">
        <v>1</v>
      </c>
      <c r="B24" s="230" t="s">
        <v>991</v>
      </c>
      <c r="C24" s="230" t="s">
        <v>160</v>
      </c>
      <c r="D24" s="230" t="s">
        <v>827</v>
      </c>
      <c r="E24" s="230" t="s">
        <v>69</v>
      </c>
      <c r="F24" s="231" t="s">
        <v>992</v>
      </c>
      <c r="G24" s="233" t="s">
        <v>40</v>
      </c>
      <c r="H24" s="232">
        <v>500</v>
      </c>
      <c r="I24" s="229" t="s">
        <v>152</v>
      </c>
      <c r="J24" s="224" t="s">
        <v>147</v>
      </c>
      <c r="K24" s="224" t="s">
        <v>41</v>
      </c>
      <c r="M24">
        <f t="shared" si="0"/>
        <v>100</v>
      </c>
      <c r="P24" s="30"/>
    </row>
    <row r="25" spans="1:20" x14ac:dyDescent="0.25">
      <c r="A25" s="228">
        <v>4</v>
      </c>
      <c r="B25" s="230" t="s">
        <v>333</v>
      </c>
      <c r="C25" s="230" t="s">
        <v>160</v>
      </c>
      <c r="D25" s="230" t="s">
        <v>334</v>
      </c>
      <c r="E25" s="230" t="s">
        <v>55</v>
      </c>
      <c r="F25" s="231" t="s">
        <v>996</v>
      </c>
      <c r="G25" s="233" t="s">
        <v>40</v>
      </c>
      <c r="H25" s="232">
        <v>5000</v>
      </c>
      <c r="I25" s="229">
        <v>1000</v>
      </c>
      <c r="J25" s="224" t="s">
        <v>147</v>
      </c>
      <c r="K25" s="224" t="s">
        <v>41</v>
      </c>
      <c r="M25">
        <f t="shared" si="0"/>
        <v>1000</v>
      </c>
      <c r="P25" s="30"/>
    </row>
    <row r="26" spans="1:20" x14ac:dyDescent="0.25">
      <c r="A26" s="228">
        <v>4</v>
      </c>
      <c r="B26" s="230" t="s">
        <v>997</v>
      </c>
      <c r="C26" s="230" t="s">
        <v>160</v>
      </c>
      <c r="D26" s="230" t="s">
        <v>998</v>
      </c>
      <c r="E26" s="230" t="s">
        <v>88</v>
      </c>
      <c r="F26" s="231" t="s">
        <v>999</v>
      </c>
      <c r="G26" s="233" t="s">
        <v>40</v>
      </c>
      <c r="H26" s="232">
        <v>500</v>
      </c>
      <c r="I26" s="229">
        <v>100</v>
      </c>
      <c r="J26" s="224" t="s">
        <v>147</v>
      </c>
      <c r="K26" s="224" t="s">
        <v>41</v>
      </c>
      <c r="M26">
        <f t="shared" si="0"/>
        <v>100</v>
      </c>
      <c r="P26" s="30"/>
      <c r="Q26" s="30"/>
    </row>
    <row r="27" spans="1:20" x14ac:dyDescent="0.25">
      <c r="A27" s="228">
        <v>4</v>
      </c>
      <c r="B27" s="230" t="s">
        <v>997</v>
      </c>
      <c r="C27" s="230" t="s">
        <v>160</v>
      </c>
      <c r="D27" s="230" t="s">
        <v>998</v>
      </c>
      <c r="E27" s="230" t="s">
        <v>88</v>
      </c>
      <c r="F27" s="231" t="s">
        <v>999</v>
      </c>
      <c r="G27" s="233" t="s">
        <v>40</v>
      </c>
      <c r="H27" s="232">
        <v>500</v>
      </c>
      <c r="I27" s="229">
        <v>150</v>
      </c>
      <c r="J27" s="224" t="s">
        <v>147</v>
      </c>
      <c r="K27" s="224" t="s">
        <v>41</v>
      </c>
      <c r="M27">
        <f t="shared" si="0"/>
        <v>100</v>
      </c>
      <c r="Q27" s="69"/>
    </row>
    <row r="28" spans="1:20" x14ac:dyDescent="0.25">
      <c r="A28" s="228">
        <v>4</v>
      </c>
      <c r="B28" s="230" t="s">
        <v>1000</v>
      </c>
      <c r="C28" s="230" t="s">
        <v>160</v>
      </c>
      <c r="D28" s="230" t="s">
        <v>1001</v>
      </c>
      <c r="E28" s="230" t="s">
        <v>42</v>
      </c>
      <c r="F28" s="231" t="s">
        <v>1002</v>
      </c>
      <c r="G28" s="233" t="s">
        <v>40</v>
      </c>
      <c r="H28" s="232">
        <v>2500</v>
      </c>
      <c r="I28" s="229">
        <v>500</v>
      </c>
      <c r="J28" s="224" t="s">
        <v>147</v>
      </c>
      <c r="K28" s="224" t="s">
        <v>41</v>
      </c>
      <c r="M28">
        <f t="shared" si="0"/>
        <v>500</v>
      </c>
      <c r="P28" s="30"/>
    </row>
    <row r="29" spans="1:20" x14ac:dyDescent="0.25">
      <c r="A29" s="228">
        <v>4</v>
      </c>
      <c r="B29" s="230" t="s">
        <v>1003</v>
      </c>
      <c r="C29" s="230" t="s">
        <v>160</v>
      </c>
      <c r="D29" s="230" t="s">
        <v>618</v>
      </c>
      <c r="E29" s="230" t="s">
        <v>43</v>
      </c>
      <c r="F29" s="231"/>
      <c r="G29" s="233" t="s">
        <v>40</v>
      </c>
      <c r="H29" s="232">
        <v>2000</v>
      </c>
      <c r="I29" s="229">
        <v>400</v>
      </c>
      <c r="J29" s="224" t="s">
        <v>147</v>
      </c>
      <c r="K29" s="224" t="s">
        <v>41</v>
      </c>
      <c r="M29">
        <f t="shared" si="0"/>
        <v>400</v>
      </c>
    </row>
    <row r="30" spans="1:20" x14ac:dyDescent="0.25">
      <c r="A30" s="228">
        <v>4</v>
      </c>
      <c r="B30" s="230" t="s">
        <v>1004</v>
      </c>
      <c r="C30" s="230" t="s">
        <v>160</v>
      </c>
      <c r="D30" s="230" t="s">
        <v>1005</v>
      </c>
      <c r="E30" s="230" t="s">
        <v>45</v>
      </c>
      <c r="F30" s="231" t="s">
        <v>1006</v>
      </c>
      <c r="G30" s="233" t="s">
        <v>40</v>
      </c>
      <c r="H30" s="232">
        <v>2000</v>
      </c>
      <c r="I30" s="229">
        <v>400</v>
      </c>
      <c r="J30" s="224" t="s">
        <v>147</v>
      </c>
      <c r="K30" s="224" t="s">
        <v>41</v>
      </c>
      <c r="M30">
        <f t="shared" si="0"/>
        <v>400</v>
      </c>
    </row>
    <row r="31" spans="1:20" x14ac:dyDescent="0.25">
      <c r="A31" s="228">
        <v>4</v>
      </c>
      <c r="B31" s="230" t="s">
        <v>1007</v>
      </c>
      <c r="C31" s="230" t="s">
        <v>160</v>
      </c>
      <c r="D31" s="230" t="s">
        <v>1008</v>
      </c>
      <c r="E31" s="230" t="s">
        <v>56</v>
      </c>
      <c r="F31" s="231" t="s">
        <v>1009</v>
      </c>
      <c r="G31" s="233" t="s">
        <v>40</v>
      </c>
      <c r="H31" s="232">
        <v>300</v>
      </c>
      <c r="I31" s="229">
        <v>60</v>
      </c>
      <c r="J31" s="224" t="s">
        <v>147</v>
      </c>
      <c r="K31" s="224" t="s">
        <v>41</v>
      </c>
      <c r="M31">
        <f t="shared" si="0"/>
        <v>60</v>
      </c>
    </row>
    <row r="32" spans="1:20" x14ac:dyDescent="0.25">
      <c r="A32" s="228">
        <v>4</v>
      </c>
      <c r="B32" s="230" t="s">
        <v>1010</v>
      </c>
      <c r="C32" s="269" t="s">
        <v>163</v>
      </c>
      <c r="D32" s="230" t="s">
        <v>167</v>
      </c>
      <c r="E32" s="230" t="s">
        <v>43</v>
      </c>
      <c r="F32" s="231" t="s">
        <v>1011</v>
      </c>
      <c r="G32" s="233" t="s">
        <v>40</v>
      </c>
      <c r="H32" s="232">
        <v>25000</v>
      </c>
      <c r="I32" s="229">
        <v>5000</v>
      </c>
      <c r="J32" s="224" t="s">
        <v>147</v>
      </c>
      <c r="K32" s="224" t="s">
        <v>41</v>
      </c>
      <c r="M32">
        <f t="shared" si="0"/>
        <v>5000</v>
      </c>
    </row>
    <row r="33" spans="1:17" x14ac:dyDescent="0.25">
      <c r="A33" s="228">
        <v>4</v>
      </c>
      <c r="B33" s="230" t="s">
        <v>1012</v>
      </c>
      <c r="C33" s="230" t="s">
        <v>160</v>
      </c>
      <c r="D33" s="230" t="s">
        <v>457</v>
      </c>
      <c r="E33" s="230" t="s">
        <v>54</v>
      </c>
      <c r="F33" s="231" t="s">
        <v>1013</v>
      </c>
      <c r="G33" s="233" t="s">
        <v>40</v>
      </c>
      <c r="H33" s="232">
        <v>200</v>
      </c>
      <c r="I33" s="229">
        <v>60</v>
      </c>
      <c r="J33" s="224" t="s">
        <v>147</v>
      </c>
      <c r="K33" s="224" t="s">
        <v>41</v>
      </c>
      <c r="M33">
        <f t="shared" si="0"/>
        <v>40</v>
      </c>
    </row>
    <row r="34" spans="1:17" x14ac:dyDescent="0.25">
      <c r="A34" s="228">
        <v>4</v>
      </c>
      <c r="B34" s="230" t="s">
        <v>1014</v>
      </c>
      <c r="C34" s="230" t="s">
        <v>160</v>
      </c>
      <c r="D34" s="230" t="s">
        <v>538</v>
      </c>
      <c r="E34" s="230" t="s">
        <v>49</v>
      </c>
      <c r="F34" s="231" t="s">
        <v>1015</v>
      </c>
      <c r="G34" s="233" t="s">
        <v>40</v>
      </c>
      <c r="H34" s="232">
        <v>1000</v>
      </c>
      <c r="I34" s="229">
        <v>200</v>
      </c>
      <c r="J34" s="224" t="s">
        <v>147</v>
      </c>
      <c r="K34" s="224" t="s">
        <v>41</v>
      </c>
      <c r="M34">
        <f t="shared" si="0"/>
        <v>200</v>
      </c>
    </row>
    <row r="35" spans="1:17" x14ac:dyDescent="0.25">
      <c r="A35" s="228">
        <v>4</v>
      </c>
      <c r="B35" s="230" t="s">
        <v>1016</v>
      </c>
      <c r="C35" s="230" t="s">
        <v>160</v>
      </c>
      <c r="D35" s="230" t="s">
        <v>264</v>
      </c>
      <c r="E35" s="230" t="s">
        <v>43</v>
      </c>
      <c r="F35" s="231"/>
      <c r="G35" s="233" t="s">
        <v>40</v>
      </c>
      <c r="H35" s="232">
        <v>2000</v>
      </c>
      <c r="I35" s="229">
        <v>400</v>
      </c>
      <c r="J35" s="224" t="s">
        <v>147</v>
      </c>
      <c r="K35" s="224" t="s">
        <v>41</v>
      </c>
      <c r="M35">
        <f t="shared" si="0"/>
        <v>400</v>
      </c>
    </row>
    <row r="36" spans="1:17" x14ac:dyDescent="0.25">
      <c r="A36" s="228">
        <v>4</v>
      </c>
      <c r="B36" s="230" t="s">
        <v>1017</v>
      </c>
      <c r="C36" s="230" t="s">
        <v>160</v>
      </c>
      <c r="D36" s="230" t="s">
        <v>60</v>
      </c>
      <c r="E36" s="230" t="s">
        <v>61</v>
      </c>
      <c r="F36" s="231" t="s">
        <v>1018</v>
      </c>
      <c r="G36" s="233" t="s">
        <v>40</v>
      </c>
      <c r="H36" s="232">
        <v>5000</v>
      </c>
      <c r="I36" s="229">
        <v>1000</v>
      </c>
      <c r="J36" s="224" t="s">
        <v>147</v>
      </c>
      <c r="K36" s="224" t="s">
        <v>41</v>
      </c>
      <c r="M36">
        <f t="shared" si="0"/>
        <v>1000</v>
      </c>
    </row>
    <row r="37" spans="1:17" x14ac:dyDescent="0.25">
      <c r="A37" s="228">
        <v>4</v>
      </c>
      <c r="B37" s="230" t="s">
        <v>1019</v>
      </c>
      <c r="C37" s="230" t="s">
        <v>160</v>
      </c>
      <c r="D37" s="230"/>
      <c r="E37" s="230" t="s">
        <v>55</v>
      </c>
      <c r="F37" s="231" t="s">
        <v>1020</v>
      </c>
      <c r="G37" s="233" t="s">
        <v>40</v>
      </c>
      <c r="H37" s="232">
        <v>1100</v>
      </c>
      <c r="I37" s="229">
        <v>220</v>
      </c>
      <c r="J37" s="224" t="s">
        <v>147</v>
      </c>
      <c r="K37" s="224" t="s">
        <v>41</v>
      </c>
      <c r="M37">
        <f t="shared" si="0"/>
        <v>220</v>
      </c>
    </row>
    <row r="38" spans="1:17" x14ac:dyDescent="0.25">
      <c r="A38" s="228">
        <v>4</v>
      </c>
      <c r="B38" s="230" t="s">
        <v>1021</v>
      </c>
      <c r="C38" s="230" t="s">
        <v>160</v>
      </c>
      <c r="D38" s="230" t="s">
        <v>457</v>
      </c>
      <c r="E38" s="230" t="s">
        <v>54</v>
      </c>
      <c r="F38" s="231" t="s">
        <v>1022</v>
      </c>
      <c r="G38" s="233" t="s">
        <v>40</v>
      </c>
      <c r="H38" s="236">
        <v>250</v>
      </c>
      <c r="I38" s="271">
        <v>50</v>
      </c>
      <c r="J38" s="224" t="s">
        <v>147</v>
      </c>
      <c r="K38" s="224" t="s">
        <v>41</v>
      </c>
      <c r="M38">
        <f t="shared" si="0"/>
        <v>50</v>
      </c>
    </row>
    <row r="39" spans="1:17" x14ac:dyDescent="0.25">
      <c r="A39" s="228">
        <v>4</v>
      </c>
      <c r="B39" s="230" t="s">
        <v>1023</v>
      </c>
      <c r="C39" s="230" t="s">
        <v>160</v>
      </c>
      <c r="D39" s="230"/>
      <c r="E39" s="230" t="s">
        <v>61</v>
      </c>
      <c r="F39" s="231" t="s">
        <v>1024</v>
      </c>
      <c r="G39" s="230" t="s">
        <v>40</v>
      </c>
      <c r="H39" s="236">
        <v>1500</v>
      </c>
      <c r="I39" s="271">
        <v>300</v>
      </c>
      <c r="J39" s="224" t="s">
        <v>147</v>
      </c>
      <c r="K39" s="224" t="s">
        <v>41</v>
      </c>
      <c r="M39">
        <f t="shared" si="0"/>
        <v>300</v>
      </c>
    </row>
    <row r="40" spans="1:17" x14ac:dyDescent="0.25">
      <c r="A40" s="228">
        <v>4</v>
      </c>
      <c r="B40" s="230" t="s">
        <v>1027</v>
      </c>
      <c r="C40" s="230" t="s">
        <v>160</v>
      </c>
      <c r="D40" s="230" t="s">
        <v>1028</v>
      </c>
      <c r="E40" s="230" t="s">
        <v>88</v>
      </c>
      <c r="F40" s="231" t="s">
        <v>1029</v>
      </c>
      <c r="G40" s="233" t="s">
        <v>40</v>
      </c>
      <c r="H40" s="236">
        <v>1000</v>
      </c>
      <c r="I40" s="271">
        <v>200</v>
      </c>
      <c r="J40" s="224" t="s">
        <v>147</v>
      </c>
      <c r="K40" s="224" t="s">
        <v>41</v>
      </c>
      <c r="M40">
        <f t="shared" si="0"/>
        <v>200</v>
      </c>
    </row>
    <row r="41" spans="1:17" x14ac:dyDescent="0.25">
      <c r="A41" s="228">
        <v>6</v>
      </c>
      <c r="B41" s="230" t="s">
        <v>1030</v>
      </c>
      <c r="C41" s="230" t="s">
        <v>160</v>
      </c>
      <c r="D41" s="230" t="s">
        <v>621</v>
      </c>
      <c r="E41" s="230" t="s">
        <v>69</v>
      </c>
      <c r="F41" s="231" t="s">
        <v>1031</v>
      </c>
      <c r="G41" s="233" t="s">
        <v>40</v>
      </c>
      <c r="H41" s="236">
        <v>2700</v>
      </c>
      <c r="I41" s="271" t="s">
        <v>152</v>
      </c>
      <c r="J41" s="224" t="s">
        <v>147</v>
      </c>
      <c r="K41" s="224" t="s">
        <v>41</v>
      </c>
      <c r="M41">
        <f t="shared" si="0"/>
        <v>540</v>
      </c>
    </row>
    <row r="42" spans="1:17" s="62" customFormat="1" x14ac:dyDescent="0.25">
      <c r="A42" s="228">
        <v>6</v>
      </c>
      <c r="B42" s="230" t="s">
        <v>1032</v>
      </c>
      <c r="C42" s="230" t="s">
        <v>160</v>
      </c>
      <c r="D42" s="230" t="s">
        <v>529</v>
      </c>
      <c r="E42" s="230" t="s">
        <v>69</v>
      </c>
      <c r="F42" s="231" t="s">
        <v>1033</v>
      </c>
      <c r="G42" s="230" t="s">
        <v>40</v>
      </c>
      <c r="H42" s="236">
        <v>3600</v>
      </c>
      <c r="I42" s="271" t="s">
        <v>152</v>
      </c>
      <c r="J42" s="224" t="s">
        <v>147</v>
      </c>
      <c r="K42" s="224" t="s">
        <v>41</v>
      </c>
      <c r="M42" s="62">
        <f t="shared" si="0"/>
        <v>720</v>
      </c>
    </row>
    <row r="43" spans="1:17" s="62" customFormat="1" x14ac:dyDescent="0.25">
      <c r="A43" s="228">
        <v>6</v>
      </c>
      <c r="B43" s="230" t="s">
        <v>1034</v>
      </c>
      <c r="C43" s="230" t="s">
        <v>160</v>
      </c>
      <c r="D43" s="230" t="s">
        <v>583</v>
      </c>
      <c r="E43" s="230" t="s">
        <v>42</v>
      </c>
      <c r="F43" s="231" t="s">
        <v>1035</v>
      </c>
      <c r="G43" s="230" t="s">
        <v>40</v>
      </c>
      <c r="H43" s="236">
        <v>10000</v>
      </c>
      <c r="I43" s="271" t="s">
        <v>152</v>
      </c>
      <c r="J43" s="224" t="s">
        <v>147</v>
      </c>
      <c r="K43" s="224" t="s">
        <v>41</v>
      </c>
      <c r="M43" s="62">
        <f t="shared" si="0"/>
        <v>2000</v>
      </c>
      <c r="Q43" s="325"/>
    </row>
    <row r="44" spans="1:17" s="62" customFormat="1" x14ac:dyDescent="0.25">
      <c r="A44" s="228">
        <v>6</v>
      </c>
      <c r="B44" s="230" t="s">
        <v>1036</v>
      </c>
      <c r="C44" s="230" t="s">
        <v>160</v>
      </c>
      <c r="D44" s="631" t="s">
        <v>1037</v>
      </c>
      <c r="E44" s="632"/>
      <c r="F44" s="231" t="s">
        <v>1038</v>
      </c>
      <c r="G44" s="230" t="s">
        <v>40</v>
      </c>
      <c r="H44" s="236">
        <v>20000</v>
      </c>
      <c r="I44" s="271">
        <v>4000</v>
      </c>
      <c r="J44" s="224" t="s">
        <v>147</v>
      </c>
      <c r="K44" s="224" t="s">
        <v>41</v>
      </c>
      <c r="M44" s="62">
        <f t="shared" si="0"/>
        <v>4000</v>
      </c>
    </row>
    <row r="45" spans="1:17" s="62" customFormat="1" x14ac:dyDescent="0.25">
      <c r="A45" s="228">
        <v>6</v>
      </c>
      <c r="B45" s="230" t="s">
        <v>1036</v>
      </c>
      <c r="C45" s="230" t="s">
        <v>160</v>
      </c>
      <c r="D45" s="631" t="s">
        <v>1037</v>
      </c>
      <c r="E45" s="632"/>
      <c r="F45" s="231" t="s">
        <v>1038</v>
      </c>
      <c r="G45" s="319" t="s">
        <v>1039</v>
      </c>
      <c r="H45" s="236">
        <v>5000</v>
      </c>
      <c r="I45" s="271">
        <v>10000</v>
      </c>
      <c r="J45" s="224" t="s">
        <v>147</v>
      </c>
      <c r="K45" s="224" t="s">
        <v>41</v>
      </c>
      <c r="M45" s="62">
        <f t="shared" si="0"/>
        <v>1000</v>
      </c>
    </row>
    <row r="46" spans="1:17" s="62" customFormat="1" x14ac:dyDescent="0.25">
      <c r="A46" s="228">
        <v>6</v>
      </c>
      <c r="B46" s="230" t="s">
        <v>1040</v>
      </c>
      <c r="C46" s="230" t="s">
        <v>160</v>
      </c>
      <c r="D46" s="230" t="s">
        <v>365</v>
      </c>
      <c r="E46" s="230" t="s">
        <v>44</v>
      </c>
      <c r="F46" s="231" t="s">
        <v>1041</v>
      </c>
      <c r="G46" s="233" t="s">
        <v>40</v>
      </c>
      <c r="H46" s="236">
        <v>10000</v>
      </c>
      <c r="I46" s="271">
        <v>2000</v>
      </c>
      <c r="J46" s="224" t="s">
        <v>147</v>
      </c>
      <c r="K46" s="224" t="s">
        <v>41</v>
      </c>
      <c r="M46" s="62">
        <f t="shared" si="0"/>
        <v>2000</v>
      </c>
    </row>
    <row r="47" spans="1:17" s="62" customFormat="1" x14ac:dyDescent="0.25">
      <c r="A47" s="228">
        <v>6</v>
      </c>
      <c r="B47" s="230" t="s">
        <v>1042</v>
      </c>
      <c r="C47" s="230" t="s">
        <v>160</v>
      </c>
      <c r="D47" s="230" t="s">
        <v>1043</v>
      </c>
      <c r="E47" s="230" t="s">
        <v>48</v>
      </c>
      <c r="F47" s="231"/>
      <c r="G47" s="230" t="s">
        <v>40</v>
      </c>
      <c r="H47" s="236">
        <v>1500</v>
      </c>
      <c r="I47" s="271">
        <v>300</v>
      </c>
      <c r="J47" s="224" t="s">
        <v>147</v>
      </c>
      <c r="K47" s="224" t="s">
        <v>41</v>
      </c>
      <c r="M47" s="62">
        <f t="shared" si="0"/>
        <v>300</v>
      </c>
    </row>
    <row r="48" spans="1:17" s="62" customFormat="1" x14ac:dyDescent="0.25">
      <c r="A48" s="228">
        <v>6</v>
      </c>
      <c r="B48" s="230" t="s">
        <v>1044</v>
      </c>
      <c r="C48" s="230" t="s">
        <v>160</v>
      </c>
      <c r="D48" s="230" t="s">
        <v>1045</v>
      </c>
      <c r="E48" s="230" t="s">
        <v>47</v>
      </c>
      <c r="F48" s="231"/>
      <c r="G48" s="230" t="s">
        <v>40</v>
      </c>
      <c r="H48" s="236">
        <v>2000</v>
      </c>
      <c r="I48" s="271">
        <v>400</v>
      </c>
      <c r="J48" s="224" t="s">
        <v>147</v>
      </c>
      <c r="K48" s="224" t="s">
        <v>41</v>
      </c>
      <c r="M48" s="62">
        <f t="shared" si="0"/>
        <v>400</v>
      </c>
    </row>
    <row r="49" spans="1:17" s="62" customFormat="1" x14ac:dyDescent="0.25">
      <c r="A49" s="228">
        <v>7</v>
      </c>
      <c r="B49" s="230" t="s">
        <v>1046</v>
      </c>
      <c r="C49" s="230" t="s">
        <v>160</v>
      </c>
      <c r="D49" s="230" t="s">
        <v>557</v>
      </c>
      <c r="E49" s="230" t="s">
        <v>61</v>
      </c>
      <c r="F49" s="231" t="s">
        <v>1047</v>
      </c>
      <c r="G49" s="230" t="s">
        <v>40</v>
      </c>
      <c r="H49" s="236">
        <v>360</v>
      </c>
      <c r="I49" s="271" t="s">
        <v>152</v>
      </c>
      <c r="J49" s="224" t="s">
        <v>147</v>
      </c>
      <c r="K49" s="224" t="s">
        <v>41</v>
      </c>
      <c r="M49" s="62">
        <f t="shared" si="0"/>
        <v>72</v>
      </c>
    </row>
    <row r="50" spans="1:17" s="62" customFormat="1" x14ac:dyDescent="0.25">
      <c r="A50" s="228">
        <v>7</v>
      </c>
      <c r="B50" s="230" t="s">
        <v>1046</v>
      </c>
      <c r="C50" s="230" t="s">
        <v>160</v>
      </c>
      <c r="D50" s="230" t="s">
        <v>557</v>
      </c>
      <c r="E50" s="230" t="s">
        <v>61</v>
      </c>
      <c r="F50" s="231" t="s">
        <v>1047</v>
      </c>
      <c r="G50" s="230" t="s">
        <v>40</v>
      </c>
      <c r="H50" s="236">
        <v>1000</v>
      </c>
      <c r="I50" s="271">
        <v>200</v>
      </c>
      <c r="J50" s="224" t="s">
        <v>147</v>
      </c>
      <c r="K50" s="224" t="s">
        <v>41</v>
      </c>
      <c r="M50" s="62">
        <f t="shared" si="0"/>
        <v>200</v>
      </c>
    </row>
    <row r="51" spans="1:17" s="62" customFormat="1" x14ac:dyDescent="0.25">
      <c r="A51" s="228">
        <v>7</v>
      </c>
      <c r="B51" s="230" t="s">
        <v>1048</v>
      </c>
      <c r="C51" s="230" t="s">
        <v>160</v>
      </c>
      <c r="D51" s="230" t="s">
        <v>557</v>
      </c>
      <c r="E51" s="230" t="s">
        <v>61</v>
      </c>
      <c r="F51" s="231" t="s">
        <v>1049</v>
      </c>
      <c r="G51" s="230" t="s">
        <v>40</v>
      </c>
      <c r="H51" s="236">
        <v>360</v>
      </c>
      <c r="I51" s="271" t="s">
        <v>152</v>
      </c>
      <c r="J51" s="224" t="s">
        <v>147</v>
      </c>
      <c r="K51" s="224" t="s">
        <v>41</v>
      </c>
      <c r="M51" s="62">
        <f t="shared" si="0"/>
        <v>72</v>
      </c>
    </row>
    <row r="52" spans="1:17" s="62" customFormat="1" x14ac:dyDescent="0.25">
      <c r="A52" s="228">
        <v>7</v>
      </c>
      <c r="B52" s="230" t="s">
        <v>1050</v>
      </c>
      <c r="C52" s="230" t="s">
        <v>160</v>
      </c>
      <c r="D52" s="230" t="s">
        <v>557</v>
      </c>
      <c r="E52" s="230" t="s">
        <v>61</v>
      </c>
      <c r="F52" s="231" t="s">
        <v>1051</v>
      </c>
      <c r="G52" s="233" t="s">
        <v>40</v>
      </c>
      <c r="H52" s="236">
        <v>360</v>
      </c>
      <c r="I52" s="271" t="s">
        <v>152</v>
      </c>
      <c r="J52" s="224" t="s">
        <v>147</v>
      </c>
      <c r="K52" s="224" t="s">
        <v>41</v>
      </c>
      <c r="M52" s="62">
        <f t="shared" si="0"/>
        <v>72</v>
      </c>
      <c r="Q52" s="98"/>
    </row>
    <row r="53" spans="1:17" s="62" customFormat="1" x14ac:dyDescent="0.25">
      <c r="A53" s="228">
        <v>7</v>
      </c>
      <c r="B53" s="230" t="s">
        <v>1052</v>
      </c>
      <c r="C53" s="230" t="s">
        <v>160</v>
      </c>
      <c r="D53" s="230" t="s">
        <v>557</v>
      </c>
      <c r="E53" s="230" t="s">
        <v>61</v>
      </c>
      <c r="F53" s="231"/>
      <c r="G53" s="230" t="s">
        <v>40</v>
      </c>
      <c r="H53" s="236">
        <v>360</v>
      </c>
      <c r="I53" s="271" t="s">
        <v>152</v>
      </c>
      <c r="J53" s="224" t="s">
        <v>147</v>
      </c>
      <c r="K53" s="224" t="s">
        <v>41</v>
      </c>
      <c r="M53" s="62">
        <f t="shared" si="0"/>
        <v>72</v>
      </c>
    </row>
    <row r="54" spans="1:17" s="62" customFormat="1" x14ac:dyDescent="0.25">
      <c r="A54" s="228">
        <v>7</v>
      </c>
      <c r="B54" s="230" t="s">
        <v>1053</v>
      </c>
      <c r="C54" s="230" t="s">
        <v>160</v>
      </c>
      <c r="D54" s="230" t="s">
        <v>557</v>
      </c>
      <c r="E54" s="230" t="s">
        <v>61</v>
      </c>
      <c r="F54" s="231" t="s">
        <v>1054</v>
      </c>
      <c r="G54" s="233" t="s">
        <v>40</v>
      </c>
      <c r="H54" s="236">
        <v>360</v>
      </c>
      <c r="I54" s="271" t="s">
        <v>152</v>
      </c>
      <c r="J54" s="224" t="s">
        <v>147</v>
      </c>
      <c r="K54" s="224" t="s">
        <v>41</v>
      </c>
      <c r="M54" s="62">
        <f t="shared" si="0"/>
        <v>72</v>
      </c>
    </row>
    <row r="55" spans="1:17" s="62" customFormat="1" x14ac:dyDescent="0.25">
      <c r="A55" s="228">
        <v>7</v>
      </c>
      <c r="B55" s="230" t="s">
        <v>1055</v>
      </c>
      <c r="C55" s="230" t="s">
        <v>160</v>
      </c>
      <c r="D55" s="230" t="s">
        <v>557</v>
      </c>
      <c r="E55" s="230" t="s">
        <v>61</v>
      </c>
      <c r="F55" s="231" t="s">
        <v>1056</v>
      </c>
      <c r="G55" s="230" t="s">
        <v>40</v>
      </c>
      <c r="H55" s="236">
        <v>360</v>
      </c>
      <c r="I55" s="271" t="s">
        <v>152</v>
      </c>
      <c r="J55" s="224" t="s">
        <v>147</v>
      </c>
      <c r="K55" s="224" t="s">
        <v>41</v>
      </c>
      <c r="M55" s="62">
        <f t="shared" si="0"/>
        <v>72</v>
      </c>
    </row>
    <row r="56" spans="1:17" s="62" customFormat="1" x14ac:dyDescent="0.25">
      <c r="A56" s="228">
        <v>7</v>
      </c>
      <c r="B56" s="230" t="s">
        <v>1057</v>
      </c>
      <c r="C56" s="230" t="s">
        <v>160</v>
      </c>
      <c r="D56" s="230" t="s">
        <v>557</v>
      </c>
      <c r="E56" s="230" t="s">
        <v>61</v>
      </c>
      <c r="F56" s="231" t="s">
        <v>1058</v>
      </c>
      <c r="G56" s="230" t="s">
        <v>40</v>
      </c>
      <c r="H56" s="236">
        <v>360</v>
      </c>
      <c r="I56" s="271" t="s">
        <v>152</v>
      </c>
      <c r="J56" s="224" t="s">
        <v>147</v>
      </c>
      <c r="K56" s="224" t="s">
        <v>41</v>
      </c>
      <c r="M56" s="62">
        <f t="shared" si="0"/>
        <v>72</v>
      </c>
    </row>
    <row r="57" spans="1:17" s="62" customFormat="1" x14ac:dyDescent="0.25">
      <c r="A57" s="228">
        <v>7</v>
      </c>
      <c r="B57" s="230" t="s">
        <v>1059</v>
      </c>
      <c r="C57" s="230" t="s">
        <v>160</v>
      </c>
      <c r="D57" s="230" t="s">
        <v>557</v>
      </c>
      <c r="E57" s="230" t="s">
        <v>61</v>
      </c>
      <c r="F57" s="231"/>
      <c r="G57" s="233" t="s">
        <v>40</v>
      </c>
      <c r="H57" s="236">
        <v>360</v>
      </c>
      <c r="I57" s="271" t="s">
        <v>152</v>
      </c>
      <c r="J57" s="224" t="s">
        <v>147</v>
      </c>
      <c r="K57" s="224" t="s">
        <v>41</v>
      </c>
      <c r="M57" s="62">
        <f t="shared" si="0"/>
        <v>72</v>
      </c>
    </row>
    <row r="58" spans="1:17" s="62" customFormat="1" x14ac:dyDescent="0.25">
      <c r="A58" s="323">
        <v>7</v>
      </c>
      <c r="B58" s="230" t="s">
        <v>1060</v>
      </c>
      <c r="C58" s="230" t="s">
        <v>160</v>
      </c>
      <c r="D58" s="230" t="s">
        <v>557</v>
      </c>
      <c r="E58" s="230" t="s">
        <v>61</v>
      </c>
      <c r="F58" s="231"/>
      <c r="G58" s="233" t="s">
        <v>40</v>
      </c>
      <c r="H58" s="236">
        <v>360</v>
      </c>
      <c r="I58" s="271" t="s">
        <v>152</v>
      </c>
      <c r="J58" s="224" t="s">
        <v>147</v>
      </c>
      <c r="K58" s="224" t="s">
        <v>41</v>
      </c>
      <c r="M58" s="62">
        <f t="shared" si="0"/>
        <v>72</v>
      </c>
    </row>
    <row r="59" spans="1:17" s="62" customFormat="1" x14ac:dyDescent="0.25">
      <c r="A59" s="228">
        <v>9</v>
      </c>
      <c r="B59" s="230" t="s">
        <v>1067</v>
      </c>
      <c r="C59" s="269" t="s">
        <v>163</v>
      </c>
      <c r="D59" s="230" t="s">
        <v>987</v>
      </c>
      <c r="E59" s="230" t="s">
        <v>69</v>
      </c>
      <c r="F59" s="231"/>
      <c r="G59" s="230" t="s">
        <v>40</v>
      </c>
      <c r="H59" s="236">
        <v>1287</v>
      </c>
      <c r="I59" s="271" t="s">
        <v>152</v>
      </c>
      <c r="J59" s="224" t="s">
        <v>147</v>
      </c>
      <c r="K59" s="224" t="s">
        <v>41</v>
      </c>
      <c r="M59" s="62">
        <f t="shared" si="0"/>
        <v>257.39999999999998</v>
      </c>
    </row>
    <row r="60" spans="1:17" s="62" customFormat="1" x14ac:dyDescent="0.25">
      <c r="A60" s="228">
        <v>11</v>
      </c>
      <c r="B60" s="230" t="s">
        <v>1068</v>
      </c>
      <c r="C60" s="230" t="s">
        <v>160</v>
      </c>
      <c r="D60" s="230" t="s">
        <v>196</v>
      </c>
      <c r="E60" s="230" t="s">
        <v>56</v>
      </c>
      <c r="F60" s="231" t="s">
        <v>1069</v>
      </c>
      <c r="G60" s="230" t="s">
        <v>40</v>
      </c>
      <c r="H60" s="236">
        <v>1500</v>
      </c>
      <c r="I60" s="271">
        <v>300</v>
      </c>
      <c r="J60" s="224" t="s">
        <v>147</v>
      </c>
      <c r="K60" s="224" t="s">
        <v>41</v>
      </c>
      <c r="M60" s="62">
        <f t="shared" si="0"/>
        <v>300</v>
      </c>
    </row>
    <row r="61" spans="1:17" s="62" customFormat="1" x14ac:dyDescent="0.25">
      <c r="A61" s="228">
        <v>11</v>
      </c>
      <c r="B61" s="230" t="s">
        <v>1070</v>
      </c>
      <c r="C61" s="230" t="s">
        <v>160</v>
      </c>
      <c r="D61" s="230" t="s">
        <v>358</v>
      </c>
      <c r="E61" s="230" t="s">
        <v>43</v>
      </c>
      <c r="F61" s="231" t="s">
        <v>1071</v>
      </c>
      <c r="G61" s="230" t="s">
        <v>40</v>
      </c>
      <c r="H61" s="236">
        <v>1500</v>
      </c>
      <c r="I61" s="271">
        <v>300</v>
      </c>
      <c r="J61" s="224" t="s">
        <v>147</v>
      </c>
      <c r="K61" s="224" t="s">
        <v>41</v>
      </c>
      <c r="M61" s="62">
        <f t="shared" si="0"/>
        <v>300</v>
      </c>
    </row>
    <row r="62" spans="1:17" s="62" customFormat="1" x14ac:dyDescent="0.25">
      <c r="A62" s="228">
        <v>11</v>
      </c>
      <c r="B62" s="230" t="s">
        <v>1072</v>
      </c>
      <c r="C62" s="230" t="s">
        <v>160</v>
      </c>
      <c r="D62" s="230" t="s">
        <v>1073</v>
      </c>
      <c r="E62" s="230" t="s">
        <v>47</v>
      </c>
      <c r="F62" s="231" t="s">
        <v>1074</v>
      </c>
      <c r="G62" s="230" t="s">
        <v>40</v>
      </c>
      <c r="H62" s="236">
        <v>200</v>
      </c>
      <c r="I62" s="271">
        <v>40</v>
      </c>
      <c r="J62" s="224" t="s">
        <v>147</v>
      </c>
      <c r="K62" s="224" t="s">
        <v>41</v>
      </c>
      <c r="M62" s="62">
        <f t="shared" si="0"/>
        <v>40</v>
      </c>
    </row>
    <row r="63" spans="1:17" s="62" customFormat="1" x14ac:dyDescent="0.25">
      <c r="A63" s="228">
        <v>11</v>
      </c>
      <c r="B63" s="230" t="s">
        <v>951</v>
      </c>
      <c r="C63" s="230" t="s">
        <v>160</v>
      </c>
      <c r="D63" s="230" t="s">
        <v>382</v>
      </c>
      <c r="E63" s="230" t="s">
        <v>56</v>
      </c>
      <c r="F63" s="231" t="s">
        <v>1075</v>
      </c>
      <c r="G63" s="233" t="s">
        <v>40</v>
      </c>
      <c r="H63" s="236">
        <v>150</v>
      </c>
      <c r="I63" s="271">
        <v>30</v>
      </c>
      <c r="J63" s="224" t="s">
        <v>147</v>
      </c>
      <c r="K63" s="224" t="s">
        <v>41</v>
      </c>
      <c r="M63" s="62">
        <f t="shared" si="0"/>
        <v>30</v>
      </c>
    </row>
    <row r="64" spans="1:17" x14ac:dyDescent="0.25">
      <c r="A64" s="228">
        <v>11</v>
      </c>
      <c r="B64" s="230" t="s">
        <v>1076</v>
      </c>
      <c r="C64" s="230" t="s">
        <v>160</v>
      </c>
      <c r="D64" s="230" t="s">
        <v>287</v>
      </c>
      <c r="E64" s="230" t="s">
        <v>47</v>
      </c>
      <c r="F64" s="231"/>
      <c r="G64" s="230" t="s">
        <v>40</v>
      </c>
      <c r="H64" s="236">
        <v>500</v>
      </c>
      <c r="I64" s="271">
        <v>100</v>
      </c>
      <c r="J64" s="224" t="s">
        <v>147</v>
      </c>
      <c r="K64" s="224" t="s">
        <v>41</v>
      </c>
      <c r="M64">
        <f t="shared" si="0"/>
        <v>100</v>
      </c>
    </row>
    <row r="65" spans="1:13" x14ac:dyDescent="0.25">
      <c r="A65" s="228">
        <v>11</v>
      </c>
      <c r="B65" s="233" t="s">
        <v>1077</v>
      </c>
      <c r="C65" s="230" t="s">
        <v>160</v>
      </c>
      <c r="D65" s="230" t="s">
        <v>1078</v>
      </c>
      <c r="E65" s="230" t="s">
        <v>56</v>
      </c>
      <c r="F65" s="231" t="s">
        <v>1079</v>
      </c>
      <c r="G65" s="230" t="s">
        <v>40</v>
      </c>
      <c r="H65" s="236">
        <v>5000</v>
      </c>
      <c r="I65" s="271">
        <v>1000</v>
      </c>
      <c r="J65" s="224" t="s">
        <v>147</v>
      </c>
      <c r="K65" s="224" t="s">
        <v>41</v>
      </c>
      <c r="M65">
        <f t="shared" si="0"/>
        <v>1000</v>
      </c>
    </row>
    <row r="66" spans="1:13" x14ac:dyDescent="0.25">
      <c r="A66" s="246">
        <v>11</v>
      </c>
      <c r="B66" s="233" t="s">
        <v>1080</v>
      </c>
      <c r="C66" s="230" t="s">
        <v>160</v>
      </c>
      <c r="D66" s="230" t="s">
        <v>189</v>
      </c>
      <c r="E66" s="230" t="s">
        <v>54</v>
      </c>
      <c r="F66" s="231" t="s">
        <v>1081</v>
      </c>
      <c r="G66" s="230" t="s">
        <v>40</v>
      </c>
      <c r="H66" s="236">
        <v>2500</v>
      </c>
      <c r="I66" s="271">
        <v>500</v>
      </c>
      <c r="J66" s="224" t="s">
        <v>147</v>
      </c>
      <c r="K66" s="224" t="s">
        <v>41</v>
      </c>
      <c r="M66">
        <f t="shared" si="0"/>
        <v>500</v>
      </c>
    </row>
    <row r="67" spans="1:13" x14ac:dyDescent="0.25">
      <c r="A67" s="246">
        <v>11</v>
      </c>
      <c r="B67" s="233" t="s">
        <v>1082</v>
      </c>
      <c r="C67" s="230" t="s">
        <v>160</v>
      </c>
      <c r="D67" s="230" t="s">
        <v>220</v>
      </c>
      <c r="E67" s="230" t="s">
        <v>61</v>
      </c>
      <c r="F67" s="231" t="s">
        <v>1083</v>
      </c>
      <c r="G67" s="233" t="s">
        <v>40</v>
      </c>
      <c r="H67" s="236">
        <v>1000</v>
      </c>
      <c r="I67" s="271">
        <v>200</v>
      </c>
      <c r="J67" s="230" t="s">
        <v>147</v>
      </c>
      <c r="K67" s="230" t="s">
        <v>41</v>
      </c>
      <c r="M67">
        <f t="shared" si="0"/>
        <v>200</v>
      </c>
    </row>
    <row r="68" spans="1:13" x14ac:dyDescent="0.25">
      <c r="A68" s="246">
        <v>11</v>
      </c>
      <c r="B68" s="233" t="s">
        <v>1084</v>
      </c>
      <c r="C68" s="269" t="s">
        <v>163</v>
      </c>
      <c r="D68" s="230" t="s">
        <v>264</v>
      </c>
      <c r="E68" s="230" t="s">
        <v>43</v>
      </c>
      <c r="F68" s="231" t="s">
        <v>1085</v>
      </c>
      <c r="G68" s="230" t="s">
        <v>40</v>
      </c>
      <c r="H68" s="236">
        <v>200</v>
      </c>
      <c r="I68" s="271">
        <v>40</v>
      </c>
      <c r="J68" s="224" t="s">
        <v>147</v>
      </c>
      <c r="K68" s="224" t="s">
        <v>41</v>
      </c>
      <c r="M68">
        <f t="shared" si="0"/>
        <v>40</v>
      </c>
    </row>
    <row r="69" spans="1:13" x14ac:dyDescent="0.25">
      <c r="A69" s="246">
        <v>11</v>
      </c>
      <c r="B69" s="233" t="s">
        <v>1086</v>
      </c>
      <c r="C69" s="269" t="s">
        <v>163</v>
      </c>
      <c r="D69" s="230" t="s">
        <v>358</v>
      </c>
      <c r="E69" s="230" t="s">
        <v>43</v>
      </c>
      <c r="F69" s="231" t="s">
        <v>1087</v>
      </c>
      <c r="G69" s="230" t="s">
        <v>40</v>
      </c>
      <c r="H69" s="236">
        <v>500</v>
      </c>
      <c r="I69" s="271">
        <v>100</v>
      </c>
      <c r="J69" s="224" t="s">
        <v>147</v>
      </c>
      <c r="K69" s="224" t="s">
        <v>41</v>
      </c>
      <c r="M69">
        <f t="shared" si="0"/>
        <v>100</v>
      </c>
    </row>
    <row r="70" spans="1:13" x14ac:dyDescent="0.25">
      <c r="A70" s="246">
        <v>11</v>
      </c>
      <c r="B70" s="233" t="s">
        <v>1088</v>
      </c>
      <c r="C70" s="230" t="s">
        <v>160</v>
      </c>
      <c r="D70" s="230" t="s">
        <v>1089</v>
      </c>
      <c r="E70" s="230" t="s">
        <v>61</v>
      </c>
      <c r="F70" s="231"/>
      <c r="G70" s="230" t="s">
        <v>40</v>
      </c>
      <c r="H70" s="236">
        <v>600</v>
      </c>
      <c r="I70" s="271">
        <v>120</v>
      </c>
      <c r="J70" s="224" t="s">
        <v>147</v>
      </c>
      <c r="K70" s="224" t="s">
        <v>41</v>
      </c>
      <c r="M70">
        <f t="shared" si="0"/>
        <v>120</v>
      </c>
    </row>
    <row r="71" spans="1:13" x14ac:dyDescent="0.25">
      <c r="A71" s="246">
        <v>11</v>
      </c>
      <c r="B71" s="233" t="s">
        <v>1090</v>
      </c>
      <c r="C71" s="230" t="s">
        <v>160</v>
      </c>
      <c r="D71" s="230" t="s">
        <v>1091</v>
      </c>
      <c r="E71" s="230" t="s">
        <v>43</v>
      </c>
      <c r="F71" s="231"/>
      <c r="G71" s="230" t="s">
        <v>40</v>
      </c>
      <c r="H71" s="236">
        <v>2500</v>
      </c>
      <c r="I71" s="271">
        <v>500</v>
      </c>
      <c r="J71" s="224" t="s">
        <v>147</v>
      </c>
      <c r="K71" s="224" t="s">
        <v>41</v>
      </c>
      <c r="M71">
        <f t="shared" si="0"/>
        <v>500</v>
      </c>
    </row>
    <row r="72" spans="1:13" x14ac:dyDescent="0.25">
      <c r="A72" s="246">
        <v>11</v>
      </c>
      <c r="B72" s="233" t="s">
        <v>1092</v>
      </c>
      <c r="C72" s="269" t="s">
        <v>163</v>
      </c>
      <c r="D72" s="230" t="s">
        <v>1093</v>
      </c>
      <c r="E72" s="230" t="s">
        <v>85</v>
      </c>
      <c r="F72" s="231" t="s">
        <v>1094</v>
      </c>
      <c r="G72" s="230" t="s">
        <v>40</v>
      </c>
      <c r="H72" s="236">
        <v>300</v>
      </c>
      <c r="I72" s="271">
        <v>60</v>
      </c>
      <c r="J72" s="224" t="s">
        <v>147</v>
      </c>
      <c r="K72" s="224" t="s">
        <v>41</v>
      </c>
      <c r="M72">
        <f t="shared" si="0"/>
        <v>60</v>
      </c>
    </row>
    <row r="73" spans="1:13" x14ac:dyDescent="0.25">
      <c r="A73" s="246">
        <v>11</v>
      </c>
      <c r="B73" s="233" t="s">
        <v>1098</v>
      </c>
      <c r="C73" s="230" t="s">
        <v>160</v>
      </c>
      <c r="D73" s="230" t="s">
        <v>1099</v>
      </c>
      <c r="E73" s="230" t="s">
        <v>61</v>
      </c>
      <c r="F73" s="231" t="s">
        <v>1100</v>
      </c>
      <c r="G73" s="230" t="s">
        <v>40</v>
      </c>
      <c r="H73" s="236">
        <v>500</v>
      </c>
      <c r="I73" s="271" t="s">
        <v>152</v>
      </c>
      <c r="J73" s="224" t="s">
        <v>147</v>
      </c>
      <c r="K73" s="224" t="s">
        <v>41</v>
      </c>
      <c r="M73">
        <f t="shared" si="0"/>
        <v>100</v>
      </c>
    </row>
    <row r="74" spans="1:13" x14ac:dyDescent="0.25">
      <c r="A74" s="246">
        <v>11</v>
      </c>
      <c r="B74" s="233" t="s">
        <v>1101</v>
      </c>
      <c r="C74" s="230" t="s">
        <v>160</v>
      </c>
      <c r="D74" s="230" t="s">
        <v>267</v>
      </c>
      <c r="E74" s="230" t="s">
        <v>44</v>
      </c>
      <c r="F74" s="231" t="s">
        <v>1102</v>
      </c>
      <c r="G74" s="230" t="s">
        <v>40</v>
      </c>
      <c r="H74" s="236">
        <v>7000</v>
      </c>
      <c r="I74" s="271">
        <v>1400</v>
      </c>
      <c r="J74" s="224" t="s">
        <v>147</v>
      </c>
      <c r="K74" s="224" t="s">
        <v>41</v>
      </c>
      <c r="M74">
        <f t="shared" si="0"/>
        <v>1400</v>
      </c>
    </row>
    <row r="75" spans="1:13" x14ac:dyDescent="0.25">
      <c r="A75" s="246">
        <v>11</v>
      </c>
      <c r="B75" s="233" t="s">
        <v>1103</v>
      </c>
      <c r="C75" s="230" t="s">
        <v>160</v>
      </c>
      <c r="D75" s="230" t="s">
        <v>1099</v>
      </c>
      <c r="E75" s="230" t="s">
        <v>61</v>
      </c>
      <c r="F75" s="231" t="s">
        <v>591</v>
      </c>
      <c r="G75" s="230" t="s">
        <v>40</v>
      </c>
      <c r="H75" s="236">
        <v>500</v>
      </c>
      <c r="I75" s="271" t="s">
        <v>152</v>
      </c>
      <c r="J75" s="224" t="s">
        <v>147</v>
      </c>
      <c r="K75" s="224" t="s">
        <v>41</v>
      </c>
      <c r="M75">
        <f t="shared" si="0"/>
        <v>100</v>
      </c>
    </row>
    <row r="76" spans="1:13" x14ac:dyDescent="0.25">
      <c r="A76" s="246">
        <v>11</v>
      </c>
      <c r="B76" s="233" t="s">
        <v>1104</v>
      </c>
      <c r="C76" s="230" t="s">
        <v>160</v>
      </c>
      <c r="D76" s="230" t="s">
        <v>1105</v>
      </c>
      <c r="E76" s="230" t="s">
        <v>61</v>
      </c>
      <c r="F76" s="231" t="s">
        <v>1106</v>
      </c>
      <c r="G76" s="233" t="s">
        <v>40</v>
      </c>
      <c r="H76" s="236">
        <v>500</v>
      </c>
      <c r="I76" s="271" t="s">
        <v>152</v>
      </c>
      <c r="J76" s="224" t="s">
        <v>147</v>
      </c>
      <c r="K76" s="224" t="s">
        <v>41</v>
      </c>
      <c r="M76">
        <f t="shared" si="0"/>
        <v>100</v>
      </c>
    </row>
    <row r="77" spans="1:13" x14ac:dyDescent="0.25">
      <c r="A77" s="246">
        <v>11</v>
      </c>
      <c r="B77" s="233" t="s">
        <v>1108</v>
      </c>
      <c r="C77" s="230" t="s">
        <v>160</v>
      </c>
      <c r="D77" s="230" t="s">
        <v>1089</v>
      </c>
      <c r="E77" s="230" t="s">
        <v>61</v>
      </c>
      <c r="F77" s="231" t="s">
        <v>1107</v>
      </c>
      <c r="G77" s="230" t="s">
        <v>40</v>
      </c>
      <c r="H77" s="236">
        <v>500</v>
      </c>
      <c r="I77" s="271" t="s">
        <v>152</v>
      </c>
      <c r="J77" s="224" t="s">
        <v>147</v>
      </c>
      <c r="K77" s="224" t="s">
        <v>41</v>
      </c>
      <c r="M77">
        <f t="shared" si="0"/>
        <v>100</v>
      </c>
    </row>
    <row r="78" spans="1:13" x14ac:dyDescent="0.25">
      <c r="A78" s="246">
        <v>11</v>
      </c>
      <c r="B78" s="233" t="s">
        <v>1109</v>
      </c>
      <c r="C78" s="230" t="s">
        <v>160</v>
      </c>
      <c r="D78" s="230" t="s">
        <v>220</v>
      </c>
      <c r="E78" s="230" t="s">
        <v>61</v>
      </c>
      <c r="F78" s="231" t="s">
        <v>1110</v>
      </c>
      <c r="G78" s="230" t="s">
        <v>40</v>
      </c>
      <c r="H78" s="236">
        <v>500</v>
      </c>
      <c r="I78" s="271" t="s">
        <v>152</v>
      </c>
      <c r="J78" s="224" t="s">
        <v>147</v>
      </c>
      <c r="K78" s="224" t="s">
        <v>41</v>
      </c>
      <c r="M78">
        <f t="shared" si="0"/>
        <v>100</v>
      </c>
    </row>
    <row r="79" spans="1:13" x14ac:dyDescent="0.25">
      <c r="A79" s="246">
        <v>11</v>
      </c>
      <c r="B79" s="233" t="s">
        <v>1111</v>
      </c>
      <c r="C79" s="230" t="s">
        <v>160</v>
      </c>
      <c r="D79" s="230" t="s">
        <v>1099</v>
      </c>
      <c r="E79" s="230" t="s">
        <v>61</v>
      </c>
      <c r="F79" s="231" t="s">
        <v>1112</v>
      </c>
      <c r="G79" s="230" t="s">
        <v>40</v>
      </c>
      <c r="H79" s="236">
        <v>500</v>
      </c>
      <c r="I79" s="271" t="s">
        <v>152</v>
      </c>
      <c r="J79" s="224" t="s">
        <v>147</v>
      </c>
      <c r="K79" s="224" t="s">
        <v>41</v>
      </c>
      <c r="M79">
        <f t="shared" si="0"/>
        <v>100</v>
      </c>
    </row>
    <row r="80" spans="1:13" x14ac:dyDescent="0.25">
      <c r="A80" s="246">
        <v>11</v>
      </c>
      <c r="B80" s="233" t="s">
        <v>1113</v>
      </c>
      <c r="C80" s="230" t="s">
        <v>160</v>
      </c>
      <c r="D80" s="230" t="s">
        <v>220</v>
      </c>
      <c r="E80" s="230" t="s">
        <v>61</v>
      </c>
      <c r="F80" s="231" t="s">
        <v>1106</v>
      </c>
      <c r="G80" s="230" t="s">
        <v>40</v>
      </c>
      <c r="H80" s="236">
        <v>500</v>
      </c>
      <c r="I80" s="271" t="s">
        <v>152</v>
      </c>
      <c r="J80" s="224" t="s">
        <v>147</v>
      </c>
      <c r="K80" s="224" t="s">
        <v>41</v>
      </c>
      <c r="M80">
        <f t="shared" si="0"/>
        <v>100</v>
      </c>
    </row>
    <row r="81" spans="1:13" x14ac:dyDescent="0.25">
      <c r="A81" s="246">
        <v>11</v>
      </c>
      <c r="B81" s="233" t="s">
        <v>1114</v>
      </c>
      <c r="C81" s="230" t="s">
        <v>160</v>
      </c>
      <c r="D81" s="230" t="s">
        <v>177</v>
      </c>
      <c r="E81" s="230" t="s">
        <v>61</v>
      </c>
      <c r="F81" s="231" t="s">
        <v>1115</v>
      </c>
      <c r="G81" s="230" t="s">
        <v>40</v>
      </c>
      <c r="H81" s="236">
        <v>500</v>
      </c>
      <c r="I81" s="271" t="s">
        <v>152</v>
      </c>
      <c r="J81" s="224" t="s">
        <v>147</v>
      </c>
      <c r="K81" s="224" t="s">
        <v>41</v>
      </c>
      <c r="M81">
        <f t="shared" si="0"/>
        <v>100</v>
      </c>
    </row>
    <row r="82" spans="1:13" x14ac:dyDescent="0.25">
      <c r="A82" s="246">
        <v>11</v>
      </c>
      <c r="B82" s="233" t="s">
        <v>1116</v>
      </c>
      <c r="C82" s="269" t="s">
        <v>163</v>
      </c>
      <c r="D82" s="230" t="s">
        <v>180</v>
      </c>
      <c r="E82" s="230" t="s">
        <v>69</v>
      </c>
      <c r="F82" s="231" t="s">
        <v>1117</v>
      </c>
      <c r="G82" s="230" t="s">
        <v>40</v>
      </c>
      <c r="H82" s="236">
        <v>1000</v>
      </c>
      <c r="I82" s="271" t="s">
        <v>152</v>
      </c>
      <c r="J82" s="224" t="s">
        <v>147</v>
      </c>
      <c r="K82" s="224" t="s">
        <v>41</v>
      </c>
      <c r="M82">
        <f t="shared" si="0"/>
        <v>200</v>
      </c>
    </row>
    <row r="83" spans="1:13" x14ac:dyDescent="0.25">
      <c r="A83" s="246">
        <v>13</v>
      </c>
      <c r="B83" s="233" t="s">
        <v>1119</v>
      </c>
      <c r="C83" s="230" t="s">
        <v>160</v>
      </c>
      <c r="D83" s="230" t="s">
        <v>1120</v>
      </c>
      <c r="E83" s="230" t="s">
        <v>60</v>
      </c>
      <c r="F83" s="231" t="s">
        <v>1121</v>
      </c>
      <c r="G83" s="230" t="s">
        <v>40</v>
      </c>
      <c r="H83" s="236">
        <v>1000</v>
      </c>
      <c r="I83" s="271">
        <v>200</v>
      </c>
      <c r="J83" s="224" t="s">
        <v>147</v>
      </c>
      <c r="K83" s="224" t="s">
        <v>41</v>
      </c>
      <c r="M83">
        <f t="shared" si="0"/>
        <v>200</v>
      </c>
    </row>
    <row r="84" spans="1:13" x14ac:dyDescent="0.25">
      <c r="A84" s="246">
        <v>13</v>
      </c>
      <c r="B84" s="233" t="s">
        <v>418</v>
      </c>
      <c r="C84" s="230" t="s">
        <v>160</v>
      </c>
      <c r="D84" s="230" t="s">
        <v>189</v>
      </c>
      <c r="E84" s="230" t="s">
        <v>42</v>
      </c>
      <c r="F84" s="231" t="s">
        <v>761</v>
      </c>
      <c r="G84" s="230" t="s">
        <v>40</v>
      </c>
      <c r="H84" s="236">
        <v>3000</v>
      </c>
      <c r="I84" s="271">
        <v>600</v>
      </c>
      <c r="J84" s="224" t="s">
        <v>147</v>
      </c>
      <c r="K84" s="224" t="s">
        <v>41</v>
      </c>
      <c r="M84">
        <f t="shared" si="0"/>
        <v>600</v>
      </c>
    </row>
    <row r="85" spans="1:13" x14ac:dyDescent="0.25">
      <c r="A85" s="246">
        <v>13</v>
      </c>
      <c r="B85" s="233" t="s">
        <v>1184</v>
      </c>
      <c r="C85" s="230" t="s">
        <v>160</v>
      </c>
      <c r="D85" s="230" t="s">
        <v>358</v>
      </c>
      <c r="E85" s="230" t="s">
        <v>43</v>
      </c>
      <c r="F85" s="231"/>
      <c r="G85" s="230" t="s">
        <v>40</v>
      </c>
      <c r="H85" s="236">
        <v>3000</v>
      </c>
      <c r="I85" s="271">
        <v>600</v>
      </c>
      <c r="J85" s="224" t="s">
        <v>147</v>
      </c>
      <c r="K85" s="224" t="s">
        <v>41</v>
      </c>
      <c r="M85">
        <f t="shared" si="0"/>
        <v>600</v>
      </c>
    </row>
    <row r="86" spans="1:13" x14ac:dyDescent="0.25">
      <c r="A86" s="246">
        <v>13</v>
      </c>
      <c r="B86" s="233" t="s">
        <v>1122</v>
      </c>
      <c r="C86" s="269" t="s">
        <v>163</v>
      </c>
      <c r="D86" s="230" t="s">
        <v>583</v>
      </c>
      <c r="E86" s="230" t="s">
        <v>42</v>
      </c>
      <c r="F86" s="231" t="s">
        <v>1123</v>
      </c>
      <c r="G86" s="230" t="s">
        <v>40</v>
      </c>
      <c r="H86" s="236">
        <v>3000</v>
      </c>
      <c r="I86" s="271">
        <v>600</v>
      </c>
      <c r="J86" s="224" t="s">
        <v>147</v>
      </c>
      <c r="K86" s="224" t="s">
        <v>41</v>
      </c>
      <c r="M86">
        <f t="shared" si="0"/>
        <v>600</v>
      </c>
    </row>
    <row r="87" spans="1:13" x14ac:dyDescent="0.25">
      <c r="A87" s="246">
        <v>13</v>
      </c>
      <c r="B87" s="233" t="s">
        <v>1124</v>
      </c>
      <c r="C87" s="230" t="s">
        <v>160</v>
      </c>
      <c r="D87" s="230" t="s">
        <v>1125</v>
      </c>
      <c r="E87" s="230" t="s">
        <v>54</v>
      </c>
      <c r="F87" s="231" t="s">
        <v>1126</v>
      </c>
      <c r="G87" s="230" t="s">
        <v>40</v>
      </c>
      <c r="H87" s="236">
        <v>2000</v>
      </c>
      <c r="I87" s="271">
        <v>400</v>
      </c>
      <c r="J87" s="224" t="s">
        <v>147</v>
      </c>
      <c r="K87" s="224" t="s">
        <v>41</v>
      </c>
      <c r="M87">
        <f t="shared" si="0"/>
        <v>400</v>
      </c>
    </row>
    <row r="88" spans="1:13" x14ac:dyDescent="0.25">
      <c r="A88" s="246">
        <v>13</v>
      </c>
      <c r="B88" s="233" t="s">
        <v>1082</v>
      </c>
      <c r="C88" s="230" t="s">
        <v>160</v>
      </c>
      <c r="D88" s="230" t="s">
        <v>220</v>
      </c>
      <c r="E88" s="230" t="s">
        <v>61</v>
      </c>
      <c r="F88" s="231" t="s">
        <v>1127</v>
      </c>
      <c r="G88" s="230" t="s">
        <v>40</v>
      </c>
      <c r="H88" s="236">
        <v>1000</v>
      </c>
      <c r="I88" s="271">
        <v>200</v>
      </c>
      <c r="J88" s="224" t="s">
        <v>147</v>
      </c>
      <c r="K88" s="224" t="s">
        <v>41</v>
      </c>
      <c r="M88">
        <f t="shared" si="0"/>
        <v>200</v>
      </c>
    </row>
    <row r="89" spans="1:13" x14ac:dyDescent="0.25">
      <c r="A89" s="246">
        <v>13</v>
      </c>
      <c r="B89" s="233" t="s">
        <v>1128</v>
      </c>
      <c r="C89" s="230" t="s">
        <v>160</v>
      </c>
      <c r="D89" s="230" t="s">
        <v>770</v>
      </c>
      <c r="E89" s="230" t="s">
        <v>47</v>
      </c>
      <c r="F89" s="231" t="s">
        <v>1129</v>
      </c>
      <c r="G89" s="230" t="s">
        <v>40</v>
      </c>
      <c r="H89" s="236">
        <v>200</v>
      </c>
      <c r="I89" s="271">
        <v>40</v>
      </c>
      <c r="J89" s="224" t="s">
        <v>147</v>
      </c>
      <c r="K89" s="224" t="s">
        <v>41</v>
      </c>
      <c r="M89">
        <f t="shared" si="0"/>
        <v>40</v>
      </c>
    </row>
    <row r="90" spans="1:13" x14ac:dyDescent="0.25">
      <c r="A90" s="246">
        <v>13</v>
      </c>
      <c r="B90" s="233" t="s">
        <v>1130</v>
      </c>
      <c r="C90" s="230" t="s">
        <v>160</v>
      </c>
      <c r="D90" s="230" t="s">
        <v>180</v>
      </c>
      <c r="E90" s="230" t="s">
        <v>54</v>
      </c>
      <c r="F90" s="231" t="s">
        <v>1131</v>
      </c>
      <c r="G90" s="230" t="s">
        <v>40</v>
      </c>
      <c r="H90" s="236">
        <v>2000</v>
      </c>
      <c r="I90" s="271">
        <v>400</v>
      </c>
      <c r="J90" s="224" t="s">
        <v>147</v>
      </c>
      <c r="K90" s="224" t="s">
        <v>41</v>
      </c>
      <c r="M90">
        <f t="shared" si="0"/>
        <v>400</v>
      </c>
    </row>
    <row r="91" spans="1:13" x14ac:dyDescent="0.25">
      <c r="A91" s="246">
        <v>13</v>
      </c>
      <c r="B91" s="233" t="s">
        <v>1132</v>
      </c>
      <c r="C91" s="230" t="s">
        <v>160</v>
      </c>
      <c r="D91" s="230" t="s">
        <v>529</v>
      </c>
      <c r="E91" s="230" t="s">
        <v>64</v>
      </c>
      <c r="F91" s="231" t="s">
        <v>1133</v>
      </c>
      <c r="G91" s="230" t="s">
        <v>40</v>
      </c>
      <c r="H91" s="236">
        <v>750</v>
      </c>
      <c r="I91" s="271">
        <v>150</v>
      </c>
      <c r="J91" s="224" t="s">
        <v>147</v>
      </c>
      <c r="K91" s="224" t="s">
        <v>41</v>
      </c>
      <c r="M91">
        <f t="shared" si="0"/>
        <v>150</v>
      </c>
    </row>
    <row r="92" spans="1:13" x14ac:dyDescent="0.25">
      <c r="A92" s="246">
        <v>13</v>
      </c>
      <c r="B92" s="233" t="s">
        <v>1134</v>
      </c>
      <c r="C92" s="230" t="s">
        <v>160</v>
      </c>
      <c r="D92" s="230" t="s">
        <v>1135</v>
      </c>
      <c r="E92" s="230" t="s">
        <v>55</v>
      </c>
      <c r="F92" s="231"/>
      <c r="G92" s="230" t="s">
        <v>40</v>
      </c>
      <c r="H92" s="236">
        <v>500</v>
      </c>
      <c r="I92" s="271">
        <v>100</v>
      </c>
      <c r="J92" s="224" t="s">
        <v>147</v>
      </c>
      <c r="K92" s="224" t="s">
        <v>41</v>
      </c>
      <c r="M92">
        <f t="shared" si="0"/>
        <v>100</v>
      </c>
    </row>
    <row r="93" spans="1:13" x14ac:dyDescent="0.25">
      <c r="A93" s="273">
        <v>13</v>
      </c>
      <c r="B93" s="233" t="s">
        <v>1136</v>
      </c>
      <c r="C93" s="230" t="s">
        <v>160</v>
      </c>
      <c r="D93" s="230" t="s">
        <v>220</v>
      </c>
      <c r="E93" s="230" t="s">
        <v>61</v>
      </c>
      <c r="F93" s="231" t="s">
        <v>1137</v>
      </c>
      <c r="G93" s="230" t="s">
        <v>40</v>
      </c>
      <c r="H93" s="236">
        <v>100</v>
      </c>
      <c r="I93" s="271">
        <v>20</v>
      </c>
      <c r="J93" s="224" t="s">
        <v>147</v>
      </c>
      <c r="K93" s="224" t="s">
        <v>41</v>
      </c>
      <c r="M93">
        <f t="shared" si="0"/>
        <v>20</v>
      </c>
    </row>
    <row r="94" spans="1:13" x14ac:dyDescent="0.25">
      <c r="A94" s="246">
        <v>14</v>
      </c>
      <c r="B94" s="233" t="s">
        <v>1140</v>
      </c>
      <c r="C94" s="230" t="s">
        <v>160</v>
      </c>
      <c r="D94" s="230" t="s">
        <v>1141</v>
      </c>
      <c r="E94" s="230" t="s">
        <v>61</v>
      </c>
      <c r="F94" s="231"/>
      <c r="G94" s="230" t="s">
        <v>40</v>
      </c>
      <c r="H94" s="236">
        <v>500</v>
      </c>
      <c r="I94" s="271" t="s">
        <v>152</v>
      </c>
      <c r="J94" s="224" t="s">
        <v>147</v>
      </c>
      <c r="K94" s="224" t="s">
        <v>41</v>
      </c>
      <c r="M94">
        <f t="shared" si="0"/>
        <v>100</v>
      </c>
    </row>
    <row r="95" spans="1:13" x14ac:dyDescent="0.25">
      <c r="A95" s="246">
        <v>14</v>
      </c>
      <c r="B95" s="233" t="s">
        <v>1142</v>
      </c>
      <c r="C95" s="230" t="s">
        <v>160</v>
      </c>
      <c r="D95" s="230" t="s">
        <v>1141</v>
      </c>
      <c r="E95" s="230" t="s">
        <v>61</v>
      </c>
      <c r="F95" s="231" t="s">
        <v>1143</v>
      </c>
      <c r="G95" s="230" t="s">
        <v>40</v>
      </c>
      <c r="H95" s="236">
        <v>500</v>
      </c>
      <c r="I95" s="271" t="s">
        <v>152</v>
      </c>
      <c r="J95" s="224" t="s">
        <v>147</v>
      </c>
      <c r="K95" s="224" t="s">
        <v>41</v>
      </c>
      <c r="M95">
        <f t="shared" si="0"/>
        <v>100</v>
      </c>
    </row>
    <row r="96" spans="1:13" x14ac:dyDescent="0.25">
      <c r="A96" s="246">
        <v>14</v>
      </c>
      <c r="B96" s="233" t="s">
        <v>1144</v>
      </c>
      <c r="C96" s="230" t="s">
        <v>160</v>
      </c>
      <c r="D96" s="230" t="s">
        <v>305</v>
      </c>
      <c r="E96" s="230" t="s">
        <v>53</v>
      </c>
      <c r="F96" s="231" t="s">
        <v>1145</v>
      </c>
      <c r="G96" s="230" t="s">
        <v>40</v>
      </c>
      <c r="H96" s="236">
        <v>30000</v>
      </c>
      <c r="I96" s="271">
        <v>6000</v>
      </c>
      <c r="J96" s="224" t="s">
        <v>147</v>
      </c>
      <c r="K96" s="224" t="s">
        <v>41</v>
      </c>
      <c r="M96">
        <f t="shared" si="0"/>
        <v>6000</v>
      </c>
    </row>
    <row r="97" spans="1:16" x14ac:dyDescent="0.25">
      <c r="A97" s="246">
        <v>14</v>
      </c>
      <c r="B97" s="233" t="s">
        <v>1080</v>
      </c>
      <c r="C97" s="230" t="s">
        <v>160</v>
      </c>
      <c r="D97" s="230" t="s">
        <v>189</v>
      </c>
      <c r="E97" s="230" t="s">
        <v>54</v>
      </c>
      <c r="F97" s="231" t="s">
        <v>1081</v>
      </c>
      <c r="G97" s="230" t="s">
        <v>40</v>
      </c>
      <c r="H97" s="236">
        <v>1000</v>
      </c>
      <c r="I97" s="271">
        <v>200</v>
      </c>
      <c r="J97" s="224" t="s">
        <v>147</v>
      </c>
      <c r="K97" s="224" t="s">
        <v>41</v>
      </c>
      <c r="M97">
        <f t="shared" si="0"/>
        <v>200</v>
      </c>
    </row>
    <row r="98" spans="1:16" x14ac:dyDescent="0.25">
      <c r="A98" s="246">
        <v>14</v>
      </c>
      <c r="B98" s="233" t="s">
        <v>1146</v>
      </c>
      <c r="C98" s="230" t="s">
        <v>160</v>
      </c>
      <c r="D98" s="230" t="s">
        <v>578</v>
      </c>
      <c r="E98" s="230" t="s">
        <v>42</v>
      </c>
      <c r="F98" s="231" t="s">
        <v>1147</v>
      </c>
      <c r="G98" s="230" t="s">
        <v>40</v>
      </c>
      <c r="H98" s="236">
        <v>400</v>
      </c>
      <c r="I98" s="271">
        <v>80</v>
      </c>
      <c r="J98" s="224" t="s">
        <v>147</v>
      </c>
      <c r="K98" s="224" t="s">
        <v>41</v>
      </c>
      <c r="M98">
        <f t="shared" si="0"/>
        <v>80</v>
      </c>
    </row>
    <row r="99" spans="1:16" x14ac:dyDescent="0.25">
      <c r="A99" s="246">
        <v>14</v>
      </c>
      <c r="B99" s="233" t="s">
        <v>1148</v>
      </c>
      <c r="C99" s="230" t="s">
        <v>160</v>
      </c>
      <c r="D99" s="230" t="s">
        <v>214</v>
      </c>
      <c r="E99" s="230" t="s">
        <v>54</v>
      </c>
      <c r="F99" s="231" t="s">
        <v>1149</v>
      </c>
      <c r="G99" s="230" t="s">
        <v>40</v>
      </c>
      <c r="H99" s="236">
        <v>4000</v>
      </c>
      <c r="I99" s="271">
        <v>800</v>
      </c>
      <c r="J99" s="224" t="s">
        <v>147</v>
      </c>
      <c r="K99" s="224" t="s">
        <v>41</v>
      </c>
      <c r="M99">
        <f t="shared" si="0"/>
        <v>800</v>
      </c>
    </row>
    <row r="100" spans="1:16" x14ac:dyDescent="0.25">
      <c r="A100" s="246">
        <v>15</v>
      </c>
      <c r="B100" s="233" t="s">
        <v>1150</v>
      </c>
      <c r="C100" s="269" t="s">
        <v>163</v>
      </c>
      <c r="D100" s="230" t="s">
        <v>1151</v>
      </c>
      <c r="E100" s="230" t="s">
        <v>49</v>
      </c>
      <c r="F100" s="231" t="s">
        <v>1152</v>
      </c>
      <c r="G100" s="230" t="s">
        <v>40</v>
      </c>
      <c r="H100" s="236">
        <v>100</v>
      </c>
      <c r="I100" s="271" t="s">
        <v>152</v>
      </c>
      <c r="J100" s="224" t="s">
        <v>147</v>
      </c>
      <c r="K100" s="224" t="s">
        <v>41</v>
      </c>
      <c r="M100">
        <f t="shared" si="0"/>
        <v>20</v>
      </c>
    </row>
    <row r="101" spans="1:16" x14ac:dyDescent="0.25">
      <c r="A101" s="246">
        <v>18</v>
      </c>
      <c r="B101" s="233" t="s">
        <v>1153</v>
      </c>
      <c r="C101" s="230" t="s">
        <v>160</v>
      </c>
      <c r="D101" s="230" t="s">
        <v>1154</v>
      </c>
      <c r="E101" s="230" t="s">
        <v>47</v>
      </c>
      <c r="F101" s="231" t="s">
        <v>1155</v>
      </c>
      <c r="G101" s="230" t="s">
        <v>40</v>
      </c>
      <c r="H101" s="236">
        <v>1000</v>
      </c>
      <c r="I101" s="271">
        <v>200</v>
      </c>
      <c r="J101" s="224" t="s">
        <v>147</v>
      </c>
      <c r="K101" s="224" t="s">
        <v>41</v>
      </c>
      <c r="M101">
        <f t="shared" si="0"/>
        <v>200</v>
      </c>
    </row>
    <row r="102" spans="1:16" x14ac:dyDescent="0.25">
      <c r="A102" s="246">
        <v>18</v>
      </c>
      <c r="B102" s="233" t="s">
        <v>1156</v>
      </c>
      <c r="C102" s="230" t="s">
        <v>160</v>
      </c>
      <c r="D102" s="230" t="s">
        <v>1157</v>
      </c>
      <c r="E102" s="230" t="s">
        <v>43</v>
      </c>
      <c r="F102" s="231" t="s">
        <v>1158</v>
      </c>
      <c r="G102" s="230" t="s">
        <v>40</v>
      </c>
      <c r="H102" s="236">
        <v>500</v>
      </c>
      <c r="I102" s="271">
        <v>100</v>
      </c>
      <c r="J102" s="224" t="s">
        <v>147</v>
      </c>
      <c r="K102" s="224" t="s">
        <v>41</v>
      </c>
      <c r="M102">
        <f t="shared" si="0"/>
        <v>100</v>
      </c>
    </row>
    <row r="103" spans="1:16" x14ac:dyDescent="0.25">
      <c r="A103" s="246">
        <v>18</v>
      </c>
      <c r="B103" s="233" t="s">
        <v>1159</v>
      </c>
      <c r="C103" s="230" t="s">
        <v>160</v>
      </c>
      <c r="D103" s="230" t="s">
        <v>483</v>
      </c>
      <c r="E103" s="230" t="s">
        <v>56</v>
      </c>
      <c r="F103" s="231" t="s">
        <v>1160</v>
      </c>
      <c r="G103" s="233" t="s">
        <v>40</v>
      </c>
      <c r="H103" s="236">
        <v>1500</v>
      </c>
      <c r="I103" s="271">
        <v>300</v>
      </c>
      <c r="J103" s="224" t="s">
        <v>147</v>
      </c>
      <c r="K103" s="224" t="s">
        <v>41</v>
      </c>
      <c r="M103">
        <f t="shared" si="0"/>
        <v>300</v>
      </c>
    </row>
    <row r="104" spans="1:16" x14ac:dyDescent="0.25">
      <c r="A104" s="246">
        <v>18</v>
      </c>
      <c r="B104" s="233" t="s">
        <v>547</v>
      </c>
      <c r="C104" s="269" t="s">
        <v>163</v>
      </c>
      <c r="D104" s="230" t="s">
        <v>287</v>
      </c>
      <c r="E104" s="230" t="s">
        <v>47</v>
      </c>
      <c r="F104" s="231" t="s">
        <v>1161</v>
      </c>
      <c r="G104" s="230" t="s">
        <v>40</v>
      </c>
      <c r="H104" s="236">
        <v>400</v>
      </c>
      <c r="I104" s="271">
        <v>80</v>
      </c>
      <c r="J104" s="224" t="s">
        <v>147</v>
      </c>
      <c r="K104" s="224" t="s">
        <v>41</v>
      </c>
      <c r="M104">
        <f t="shared" si="0"/>
        <v>80</v>
      </c>
    </row>
    <row r="105" spans="1:16" x14ac:dyDescent="0.25">
      <c r="A105" s="246">
        <v>18</v>
      </c>
      <c r="B105" s="233" t="s">
        <v>547</v>
      </c>
      <c r="C105" s="269" t="s">
        <v>163</v>
      </c>
      <c r="D105" s="230" t="s">
        <v>287</v>
      </c>
      <c r="E105" s="230" t="s">
        <v>47</v>
      </c>
      <c r="F105" s="231" t="s">
        <v>1161</v>
      </c>
      <c r="G105" s="327" t="s">
        <v>377</v>
      </c>
      <c r="H105" s="236">
        <v>100</v>
      </c>
      <c r="I105" s="271">
        <v>20</v>
      </c>
      <c r="J105" s="224" t="s">
        <v>147</v>
      </c>
      <c r="K105" s="224" t="s">
        <v>41</v>
      </c>
      <c r="M105">
        <f t="shared" si="0"/>
        <v>20</v>
      </c>
    </row>
    <row r="106" spans="1:16" x14ac:dyDescent="0.25">
      <c r="A106" s="246">
        <v>18</v>
      </c>
      <c r="B106" s="233" t="s">
        <v>1162</v>
      </c>
      <c r="C106" s="230" t="s">
        <v>160</v>
      </c>
      <c r="D106" s="230" t="s">
        <v>1163</v>
      </c>
      <c r="E106" s="230" t="s">
        <v>46</v>
      </c>
      <c r="F106" s="231" t="s">
        <v>1164</v>
      </c>
      <c r="G106" s="230" t="s">
        <v>40</v>
      </c>
      <c r="H106" s="236">
        <v>3500</v>
      </c>
      <c r="I106" s="271">
        <v>700</v>
      </c>
      <c r="J106" s="224" t="s">
        <v>147</v>
      </c>
      <c r="K106" s="224" t="s">
        <v>41</v>
      </c>
      <c r="M106">
        <f t="shared" si="0"/>
        <v>700</v>
      </c>
    </row>
    <row r="107" spans="1:16" x14ac:dyDescent="0.25">
      <c r="A107" s="246">
        <v>18</v>
      </c>
      <c r="B107" s="233" t="s">
        <v>1080</v>
      </c>
      <c r="C107" s="230" t="s">
        <v>160</v>
      </c>
      <c r="D107" s="230" t="s">
        <v>189</v>
      </c>
      <c r="E107" s="230" t="s">
        <v>54</v>
      </c>
      <c r="F107" s="231" t="s">
        <v>1165</v>
      </c>
      <c r="G107" s="230" t="s">
        <v>40</v>
      </c>
      <c r="H107" s="236">
        <v>100</v>
      </c>
      <c r="I107" s="271">
        <v>20</v>
      </c>
      <c r="J107" s="224" t="s">
        <v>147</v>
      </c>
      <c r="K107" s="224" t="s">
        <v>41</v>
      </c>
      <c r="M107">
        <f t="shared" si="0"/>
        <v>20</v>
      </c>
      <c r="P107" s="30"/>
    </row>
    <row r="108" spans="1:16" x14ac:dyDescent="0.25">
      <c r="A108" s="246">
        <v>18</v>
      </c>
      <c r="B108" s="233" t="s">
        <v>1166</v>
      </c>
      <c r="C108" s="230" t="s">
        <v>160</v>
      </c>
      <c r="D108" s="230" t="s">
        <v>180</v>
      </c>
      <c r="E108" s="230" t="s">
        <v>54</v>
      </c>
      <c r="F108" s="231" t="s">
        <v>215</v>
      </c>
      <c r="G108" s="230" t="s">
        <v>40</v>
      </c>
      <c r="H108" s="236">
        <v>3000</v>
      </c>
      <c r="I108" s="271">
        <v>600</v>
      </c>
      <c r="J108" s="224" t="s">
        <v>147</v>
      </c>
      <c r="K108" s="224" t="s">
        <v>41</v>
      </c>
      <c r="M108">
        <f t="shared" si="0"/>
        <v>600</v>
      </c>
    </row>
    <row r="109" spans="1:16" x14ac:dyDescent="0.25">
      <c r="A109" s="246">
        <v>18</v>
      </c>
      <c r="B109" s="233" t="s">
        <v>1166</v>
      </c>
      <c r="C109" s="230" t="s">
        <v>160</v>
      </c>
      <c r="D109" s="230" t="s">
        <v>180</v>
      </c>
      <c r="E109" s="230" t="s">
        <v>54</v>
      </c>
      <c r="F109" s="231" t="s">
        <v>215</v>
      </c>
      <c r="G109" s="230" t="s">
        <v>40</v>
      </c>
      <c r="H109" s="236">
        <v>500</v>
      </c>
      <c r="I109" s="271" t="s">
        <v>152</v>
      </c>
      <c r="J109" s="224" t="s">
        <v>147</v>
      </c>
      <c r="K109" s="224" t="s">
        <v>41</v>
      </c>
      <c r="M109">
        <f t="shared" si="0"/>
        <v>100</v>
      </c>
    </row>
    <row r="110" spans="1:16" x14ac:dyDescent="0.25">
      <c r="A110" s="246">
        <v>18</v>
      </c>
      <c r="B110" s="233" t="s">
        <v>1166</v>
      </c>
      <c r="C110" s="230" t="s">
        <v>160</v>
      </c>
      <c r="D110" s="230" t="s">
        <v>180</v>
      </c>
      <c r="E110" s="230" t="s">
        <v>54</v>
      </c>
      <c r="F110" s="231" t="s">
        <v>215</v>
      </c>
      <c r="G110" s="327" t="s">
        <v>377</v>
      </c>
      <c r="H110" s="236">
        <v>500</v>
      </c>
      <c r="I110" s="271">
        <v>100</v>
      </c>
      <c r="J110" s="224" t="s">
        <v>147</v>
      </c>
      <c r="K110" s="224" t="s">
        <v>41</v>
      </c>
      <c r="M110">
        <f t="shared" si="0"/>
        <v>100</v>
      </c>
    </row>
    <row r="111" spans="1:16" x14ac:dyDescent="0.25">
      <c r="A111" s="246">
        <v>18</v>
      </c>
      <c r="B111" s="233" t="s">
        <v>1167</v>
      </c>
      <c r="C111" s="230" t="s">
        <v>160</v>
      </c>
      <c r="D111" s="230" t="s">
        <v>1005</v>
      </c>
      <c r="E111" s="230" t="s">
        <v>45</v>
      </c>
      <c r="F111" s="231" t="s">
        <v>1168</v>
      </c>
      <c r="G111" s="233" t="s">
        <v>40</v>
      </c>
      <c r="H111" s="236">
        <v>1000</v>
      </c>
      <c r="I111" s="271">
        <v>200</v>
      </c>
      <c r="J111" s="224" t="s">
        <v>147</v>
      </c>
      <c r="K111" s="224" t="s">
        <v>41</v>
      </c>
      <c r="M111">
        <f t="shared" si="0"/>
        <v>200</v>
      </c>
    </row>
    <row r="112" spans="1:16" x14ac:dyDescent="0.25">
      <c r="A112" s="246">
        <v>18</v>
      </c>
      <c r="B112" s="233" t="s">
        <v>1042</v>
      </c>
      <c r="C112" s="230" t="s">
        <v>160</v>
      </c>
      <c r="D112" s="230" t="s">
        <v>1043</v>
      </c>
      <c r="E112" s="230" t="s">
        <v>48</v>
      </c>
      <c r="F112" s="231" t="s">
        <v>1169</v>
      </c>
      <c r="G112" s="230" t="s">
        <v>40</v>
      </c>
      <c r="H112" s="236">
        <v>2500</v>
      </c>
      <c r="I112" s="271">
        <v>500</v>
      </c>
      <c r="J112" s="224" t="s">
        <v>147</v>
      </c>
      <c r="K112" s="224" t="s">
        <v>41</v>
      </c>
      <c r="M112">
        <f t="shared" si="0"/>
        <v>500</v>
      </c>
    </row>
    <row r="113" spans="1:13" x14ac:dyDescent="0.25">
      <c r="A113" s="246">
        <v>18</v>
      </c>
      <c r="B113" s="233" t="s">
        <v>1184</v>
      </c>
      <c r="C113" s="230" t="s">
        <v>160</v>
      </c>
      <c r="D113" s="230" t="s">
        <v>358</v>
      </c>
      <c r="E113" s="230" t="s">
        <v>43</v>
      </c>
      <c r="F113" s="231" t="s">
        <v>1071</v>
      </c>
      <c r="G113" s="230" t="s">
        <v>40</v>
      </c>
      <c r="H113" s="236">
        <v>1500</v>
      </c>
      <c r="I113" s="271">
        <v>300</v>
      </c>
      <c r="J113" s="224" t="s">
        <v>147</v>
      </c>
      <c r="K113" s="224" t="s">
        <v>41</v>
      </c>
      <c r="M113">
        <f t="shared" si="0"/>
        <v>300</v>
      </c>
    </row>
    <row r="114" spans="1:13" x14ac:dyDescent="0.25">
      <c r="A114" s="246">
        <v>18</v>
      </c>
      <c r="B114" s="233" t="s">
        <v>1170</v>
      </c>
      <c r="C114" s="230" t="s">
        <v>160</v>
      </c>
      <c r="D114" s="230" t="s">
        <v>180</v>
      </c>
      <c r="E114" s="230" t="s">
        <v>45</v>
      </c>
      <c r="F114" s="231" t="s">
        <v>1171</v>
      </c>
      <c r="G114" s="230" t="s">
        <v>40</v>
      </c>
      <c r="H114" s="236">
        <v>500</v>
      </c>
      <c r="I114" s="271">
        <v>100</v>
      </c>
      <c r="J114" s="224" t="s">
        <v>147</v>
      </c>
      <c r="K114" s="224" t="s">
        <v>41</v>
      </c>
      <c r="M114">
        <f t="shared" si="0"/>
        <v>100</v>
      </c>
    </row>
    <row r="115" spans="1:13" x14ac:dyDescent="0.25">
      <c r="A115" s="246">
        <v>18</v>
      </c>
      <c r="B115" s="233" t="s">
        <v>1172</v>
      </c>
      <c r="C115" s="230" t="s">
        <v>160</v>
      </c>
      <c r="D115" s="224" t="s">
        <v>1173</v>
      </c>
      <c r="E115" s="224" t="s">
        <v>48</v>
      </c>
      <c r="F115" s="225" t="s">
        <v>1174</v>
      </c>
      <c r="G115" s="224" t="s">
        <v>40</v>
      </c>
      <c r="H115" s="234">
        <v>3000</v>
      </c>
      <c r="I115" s="235">
        <v>600</v>
      </c>
      <c r="J115" s="224" t="s">
        <v>147</v>
      </c>
      <c r="K115" s="224" t="s">
        <v>41</v>
      </c>
      <c r="M115">
        <f t="shared" si="0"/>
        <v>600</v>
      </c>
    </row>
    <row r="116" spans="1:13" x14ac:dyDescent="0.25">
      <c r="A116" s="246">
        <v>18</v>
      </c>
      <c r="B116" s="233" t="s">
        <v>1175</v>
      </c>
      <c r="C116" s="230" t="s">
        <v>160</v>
      </c>
      <c r="D116" s="224" t="s">
        <v>1176</v>
      </c>
      <c r="E116" s="224" t="s">
        <v>56</v>
      </c>
      <c r="F116" s="225" t="s">
        <v>1177</v>
      </c>
      <c r="G116" s="224" t="s">
        <v>40</v>
      </c>
      <c r="H116" s="234">
        <v>1500</v>
      </c>
      <c r="I116" s="235">
        <v>300</v>
      </c>
      <c r="J116" s="224" t="s">
        <v>147</v>
      </c>
      <c r="K116" s="224" t="s">
        <v>41</v>
      </c>
      <c r="M116">
        <f t="shared" si="0"/>
        <v>300</v>
      </c>
    </row>
    <row r="117" spans="1:13" x14ac:dyDescent="0.25">
      <c r="A117" s="246">
        <v>18</v>
      </c>
      <c r="B117" s="233" t="s">
        <v>339</v>
      </c>
      <c r="C117" s="230" t="s">
        <v>160</v>
      </c>
      <c r="D117" s="224" t="s">
        <v>273</v>
      </c>
      <c r="E117" s="224" t="s">
        <v>42</v>
      </c>
      <c r="F117" s="225" t="s">
        <v>1178</v>
      </c>
      <c r="G117" s="224" t="s">
        <v>40</v>
      </c>
      <c r="H117" s="234">
        <v>500</v>
      </c>
      <c r="I117" s="235">
        <v>100</v>
      </c>
      <c r="J117" s="224" t="s">
        <v>147</v>
      </c>
      <c r="K117" s="224" t="s">
        <v>41</v>
      </c>
      <c r="M117">
        <f t="shared" si="0"/>
        <v>100</v>
      </c>
    </row>
    <row r="118" spans="1:13" x14ac:dyDescent="0.25">
      <c r="A118" s="246">
        <v>18</v>
      </c>
      <c r="B118" s="233" t="s">
        <v>1179</v>
      </c>
      <c r="C118" s="230" t="s">
        <v>160</v>
      </c>
      <c r="D118" s="224" t="s">
        <v>1180</v>
      </c>
      <c r="E118" s="224" t="s">
        <v>42</v>
      </c>
      <c r="F118" s="225" t="s">
        <v>1181</v>
      </c>
      <c r="G118" s="224" t="s">
        <v>40</v>
      </c>
      <c r="H118" s="234">
        <v>6000</v>
      </c>
      <c r="I118" s="235">
        <v>1200</v>
      </c>
      <c r="J118" s="224" t="s">
        <v>147</v>
      </c>
      <c r="K118" s="224" t="s">
        <v>41</v>
      </c>
      <c r="M118">
        <f t="shared" si="0"/>
        <v>1200</v>
      </c>
    </row>
    <row r="119" spans="1:13" x14ac:dyDescent="0.25">
      <c r="A119" s="246">
        <v>18</v>
      </c>
      <c r="B119" s="233" t="s">
        <v>1182</v>
      </c>
      <c r="C119" s="230" t="s">
        <v>160</v>
      </c>
      <c r="D119" s="224" t="s">
        <v>1120</v>
      </c>
      <c r="E119" s="224" t="s">
        <v>60</v>
      </c>
      <c r="F119" s="225" t="s">
        <v>1183</v>
      </c>
      <c r="G119" s="224" t="s">
        <v>40</v>
      </c>
      <c r="H119" s="234">
        <v>150</v>
      </c>
      <c r="I119" s="235" t="s">
        <v>152</v>
      </c>
      <c r="J119" s="224" t="s">
        <v>147</v>
      </c>
      <c r="K119" s="224" t="s">
        <v>41</v>
      </c>
      <c r="M119">
        <f t="shared" si="0"/>
        <v>30</v>
      </c>
    </row>
    <row r="120" spans="1:13" x14ac:dyDescent="0.25">
      <c r="A120" s="246">
        <v>20</v>
      </c>
      <c r="B120" s="233" t="s">
        <v>1184</v>
      </c>
      <c r="C120" s="230" t="s">
        <v>160</v>
      </c>
      <c r="D120" s="224" t="s">
        <v>358</v>
      </c>
      <c r="E120" s="224" t="s">
        <v>43</v>
      </c>
      <c r="F120" s="225" t="s">
        <v>1071</v>
      </c>
      <c r="G120" s="224" t="s">
        <v>40</v>
      </c>
      <c r="H120" s="234">
        <v>1000</v>
      </c>
      <c r="I120" s="235">
        <v>200</v>
      </c>
      <c r="J120" s="224" t="s">
        <v>147</v>
      </c>
      <c r="K120" s="224" t="s">
        <v>41</v>
      </c>
      <c r="M120">
        <f t="shared" si="0"/>
        <v>200</v>
      </c>
    </row>
    <row r="121" spans="1:13" x14ac:dyDescent="0.25">
      <c r="A121" s="246">
        <v>21</v>
      </c>
      <c r="B121" s="233" t="s">
        <v>1185</v>
      </c>
      <c r="C121" s="230" t="s">
        <v>160</v>
      </c>
      <c r="D121" s="224" t="s">
        <v>305</v>
      </c>
      <c r="E121" s="224" t="s">
        <v>53</v>
      </c>
      <c r="F121" s="225" t="s">
        <v>1186</v>
      </c>
      <c r="G121" s="224" t="s">
        <v>40</v>
      </c>
      <c r="H121" s="234">
        <v>6000</v>
      </c>
      <c r="I121" s="235">
        <v>1200</v>
      </c>
      <c r="J121" s="224" t="s">
        <v>147</v>
      </c>
      <c r="K121" s="224" t="s">
        <v>41</v>
      </c>
      <c r="M121">
        <f t="shared" si="0"/>
        <v>1200</v>
      </c>
    </row>
    <row r="122" spans="1:13" x14ac:dyDescent="0.25">
      <c r="A122" s="246">
        <v>21</v>
      </c>
      <c r="B122" s="233" t="s">
        <v>1187</v>
      </c>
      <c r="C122" s="230" t="s">
        <v>160</v>
      </c>
      <c r="D122" s="224" t="s">
        <v>273</v>
      </c>
      <c r="E122" s="224" t="s">
        <v>42</v>
      </c>
      <c r="F122" s="225" t="s">
        <v>1188</v>
      </c>
      <c r="G122" s="224" t="s">
        <v>40</v>
      </c>
      <c r="H122" s="234">
        <v>1000</v>
      </c>
      <c r="I122" s="235">
        <v>200</v>
      </c>
      <c r="J122" s="224" t="s">
        <v>147</v>
      </c>
      <c r="K122" s="224" t="s">
        <v>41</v>
      </c>
      <c r="M122">
        <f t="shared" si="0"/>
        <v>200</v>
      </c>
    </row>
    <row r="123" spans="1:13" x14ac:dyDescent="0.25">
      <c r="A123" s="246">
        <v>21</v>
      </c>
      <c r="B123" s="233" t="s">
        <v>1189</v>
      </c>
      <c r="C123" s="230" t="s">
        <v>160</v>
      </c>
      <c r="D123" s="224" t="s">
        <v>382</v>
      </c>
      <c r="E123" s="224" t="s">
        <v>56</v>
      </c>
      <c r="F123" s="225" t="s">
        <v>1190</v>
      </c>
      <c r="G123" s="224" t="s">
        <v>40</v>
      </c>
      <c r="H123" s="234">
        <v>4500</v>
      </c>
      <c r="I123" s="235">
        <v>900</v>
      </c>
      <c r="J123" s="224" t="s">
        <v>147</v>
      </c>
      <c r="K123" s="224" t="s">
        <v>41</v>
      </c>
      <c r="M123">
        <f t="shared" si="0"/>
        <v>900</v>
      </c>
    </row>
    <row r="124" spans="1:13" x14ac:dyDescent="0.25">
      <c r="A124" s="246">
        <v>21</v>
      </c>
      <c r="B124" s="233" t="s">
        <v>1191</v>
      </c>
      <c r="C124" s="230" t="s">
        <v>160</v>
      </c>
      <c r="D124" s="224" t="s">
        <v>621</v>
      </c>
      <c r="E124" s="224" t="s">
        <v>69</v>
      </c>
      <c r="F124" s="225" t="s">
        <v>1192</v>
      </c>
      <c r="G124" s="224" t="s">
        <v>40</v>
      </c>
      <c r="H124" s="234">
        <v>7000</v>
      </c>
      <c r="I124" s="235" t="s">
        <v>152</v>
      </c>
      <c r="J124" s="224" t="s">
        <v>147</v>
      </c>
      <c r="K124" s="224" t="s">
        <v>41</v>
      </c>
      <c r="M124">
        <f t="shared" si="0"/>
        <v>1400</v>
      </c>
    </row>
    <row r="125" spans="1:13" x14ac:dyDescent="0.25">
      <c r="A125" s="246">
        <v>21</v>
      </c>
      <c r="B125" s="233" t="s">
        <v>1193</v>
      </c>
      <c r="C125" s="230" t="s">
        <v>160</v>
      </c>
      <c r="D125" s="224" t="s">
        <v>189</v>
      </c>
      <c r="E125" s="224" t="s">
        <v>42</v>
      </c>
      <c r="F125" s="225"/>
      <c r="G125" s="224" t="s">
        <v>40</v>
      </c>
      <c r="H125" s="234">
        <v>500</v>
      </c>
      <c r="I125" s="235" t="s">
        <v>152</v>
      </c>
      <c r="J125" s="224" t="s">
        <v>147</v>
      </c>
      <c r="K125" s="224" t="s">
        <v>41</v>
      </c>
      <c r="M125">
        <f t="shared" si="0"/>
        <v>100</v>
      </c>
    </row>
    <row r="126" spans="1:13" x14ac:dyDescent="0.25">
      <c r="A126" s="246">
        <v>21</v>
      </c>
      <c r="B126" s="233" t="s">
        <v>1193</v>
      </c>
      <c r="C126" s="230" t="s">
        <v>160</v>
      </c>
      <c r="D126" s="224" t="s">
        <v>189</v>
      </c>
      <c r="E126" s="224" t="s">
        <v>42</v>
      </c>
      <c r="F126" s="225"/>
      <c r="G126" s="224" t="s">
        <v>40</v>
      </c>
      <c r="H126" s="234">
        <v>1500</v>
      </c>
      <c r="I126" s="235">
        <v>300</v>
      </c>
      <c r="J126" s="224" t="s">
        <v>147</v>
      </c>
      <c r="K126" s="224" t="s">
        <v>41</v>
      </c>
      <c r="M126">
        <f t="shared" si="0"/>
        <v>300</v>
      </c>
    </row>
    <row r="127" spans="1:13" x14ac:dyDescent="0.25">
      <c r="A127" s="246">
        <v>21</v>
      </c>
      <c r="B127" s="233" t="s">
        <v>1194</v>
      </c>
      <c r="C127" s="269" t="s">
        <v>163</v>
      </c>
      <c r="D127" s="224"/>
      <c r="E127" s="224" t="s">
        <v>62</v>
      </c>
      <c r="F127" s="225" t="s">
        <v>1195</v>
      </c>
      <c r="G127" s="224" t="s">
        <v>40</v>
      </c>
      <c r="H127" s="234">
        <v>300</v>
      </c>
      <c r="I127" s="235" t="s">
        <v>152</v>
      </c>
      <c r="J127" s="224" t="s">
        <v>147</v>
      </c>
      <c r="K127" s="224" t="s">
        <v>41</v>
      </c>
      <c r="M127">
        <f t="shared" si="0"/>
        <v>60</v>
      </c>
    </row>
    <row r="128" spans="1:13" x14ac:dyDescent="0.25">
      <c r="A128" s="246">
        <v>21</v>
      </c>
      <c r="B128" s="233" t="s">
        <v>1196</v>
      </c>
      <c r="C128" s="230" t="s">
        <v>160</v>
      </c>
      <c r="D128" s="224" t="s">
        <v>75</v>
      </c>
      <c r="E128" s="224" t="s">
        <v>84</v>
      </c>
      <c r="F128" s="225" t="s">
        <v>1197</v>
      </c>
      <c r="G128" s="224" t="s">
        <v>40</v>
      </c>
      <c r="H128" s="234">
        <v>3000</v>
      </c>
      <c r="I128" s="235" t="s">
        <v>152</v>
      </c>
      <c r="J128" s="224" t="s">
        <v>147</v>
      </c>
      <c r="K128" s="224" t="s">
        <v>41</v>
      </c>
      <c r="M128">
        <f t="shared" si="0"/>
        <v>600</v>
      </c>
    </row>
    <row r="129" spans="1:13" x14ac:dyDescent="0.25">
      <c r="A129" s="246">
        <v>21</v>
      </c>
      <c r="B129" s="233" t="s">
        <v>1199</v>
      </c>
      <c r="C129" s="230" t="s">
        <v>160</v>
      </c>
      <c r="D129" s="224" t="s">
        <v>1200</v>
      </c>
      <c r="E129" s="224" t="s">
        <v>69</v>
      </c>
      <c r="F129" s="225"/>
      <c r="G129" s="224" t="s">
        <v>40</v>
      </c>
      <c r="H129" s="234">
        <v>4000</v>
      </c>
      <c r="I129" s="235">
        <v>800</v>
      </c>
      <c r="J129" s="224" t="s">
        <v>147</v>
      </c>
      <c r="K129" s="224" t="s">
        <v>41</v>
      </c>
      <c r="M129">
        <f t="shared" si="0"/>
        <v>800</v>
      </c>
    </row>
    <row r="130" spans="1:13" x14ac:dyDescent="0.25">
      <c r="A130" s="246">
        <v>21</v>
      </c>
      <c r="B130" s="233" t="s">
        <v>1199</v>
      </c>
      <c r="C130" s="230" t="s">
        <v>160</v>
      </c>
      <c r="D130" s="224" t="s">
        <v>1200</v>
      </c>
      <c r="E130" s="224" t="s">
        <v>69</v>
      </c>
      <c r="F130" s="225"/>
      <c r="G130" s="224" t="s">
        <v>40</v>
      </c>
      <c r="H130" s="234">
        <v>1000</v>
      </c>
      <c r="I130" s="235" t="s">
        <v>152</v>
      </c>
      <c r="J130" s="224" t="s">
        <v>147</v>
      </c>
      <c r="K130" s="224" t="s">
        <v>41</v>
      </c>
      <c r="M130">
        <f t="shared" si="0"/>
        <v>200</v>
      </c>
    </row>
    <row r="131" spans="1:13" x14ac:dyDescent="0.25">
      <c r="A131" s="246">
        <v>21</v>
      </c>
      <c r="B131" s="233" t="s">
        <v>1201</v>
      </c>
      <c r="C131" s="230" t="s">
        <v>160</v>
      </c>
      <c r="D131" s="224" t="s">
        <v>1200</v>
      </c>
      <c r="E131" s="224" t="s">
        <v>69</v>
      </c>
      <c r="F131" s="225"/>
      <c r="G131" s="224" t="s">
        <v>40</v>
      </c>
      <c r="H131" s="234">
        <v>10000</v>
      </c>
      <c r="I131" s="235" t="s">
        <v>152</v>
      </c>
      <c r="J131" s="224" t="s">
        <v>147</v>
      </c>
      <c r="K131" s="224" t="s">
        <v>41</v>
      </c>
      <c r="M131">
        <f t="shared" si="0"/>
        <v>2000</v>
      </c>
    </row>
    <row r="132" spans="1:13" x14ac:dyDescent="0.25">
      <c r="A132" s="246">
        <v>22</v>
      </c>
      <c r="B132" s="233" t="s">
        <v>1202</v>
      </c>
      <c r="C132" s="269" t="s">
        <v>163</v>
      </c>
      <c r="D132" s="224" t="s">
        <v>1001</v>
      </c>
      <c r="E132" s="224" t="s">
        <v>42</v>
      </c>
      <c r="F132" s="225" t="s">
        <v>1203</v>
      </c>
      <c r="G132" s="224" t="s">
        <v>40</v>
      </c>
      <c r="H132" s="234">
        <v>500</v>
      </c>
      <c r="I132" s="235" t="s">
        <v>152</v>
      </c>
      <c r="J132" s="224" t="s">
        <v>147</v>
      </c>
      <c r="K132" s="224" t="s">
        <v>41</v>
      </c>
      <c r="M132">
        <f t="shared" si="0"/>
        <v>100</v>
      </c>
    </row>
    <row r="133" spans="1:13" x14ac:dyDescent="0.25">
      <c r="A133" s="273">
        <v>22</v>
      </c>
      <c r="B133" s="233" t="s">
        <v>1204</v>
      </c>
      <c r="C133" s="230" t="s">
        <v>160</v>
      </c>
      <c r="D133" s="224" t="s">
        <v>180</v>
      </c>
      <c r="E133" s="224" t="s">
        <v>57</v>
      </c>
      <c r="F133" s="225" t="s">
        <v>1205</v>
      </c>
      <c r="G133" s="224" t="s">
        <v>40</v>
      </c>
      <c r="H133" s="234">
        <v>3000</v>
      </c>
      <c r="I133" s="235" t="s">
        <v>152</v>
      </c>
      <c r="J133" s="224" t="s">
        <v>147</v>
      </c>
      <c r="K133" s="224" t="s">
        <v>41</v>
      </c>
      <c r="M133">
        <f t="shared" si="0"/>
        <v>600</v>
      </c>
    </row>
    <row r="134" spans="1:13" x14ac:dyDescent="0.25">
      <c r="A134" s="246">
        <v>22</v>
      </c>
      <c r="B134" s="233" t="s">
        <v>1207</v>
      </c>
      <c r="C134" s="230" t="s">
        <v>160</v>
      </c>
      <c r="D134" s="224" t="s">
        <v>1157</v>
      </c>
      <c r="E134" s="224" t="s">
        <v>42</v>
      </c>
      <c r="F134" s="225" t="s">
        <v>1208</v>
      </c>
      <c r="G134" s="224" t="s">
        <v>40</v>
      </c>
      <c r="H134" s="234">
        <v>4000</v>
      </c>
      <c r="I134" s="235" t="s">
        <v>152</v>
      </c>
      <c r="J134" s="224" t="s">
        <v>147</v>
      </c>
      <c r="K134" s="224" t="s">
        <v>41</v>
      </c>
      <c r="M134">
        <f t="shared" si="0"/>
        <v>800</v>
      </c>
    </row>
    <row r="135" spans="1:13" x14ac:dyDescent="0.25">
      <c r="A135" s="246">
        <v>22</v>
      </c>
      <c r="B135" s="233" t="s">
        <v>1209</v>
      </c>
      <c r="C135" s="269" t="s">
        <v>163</v>
      </c>
      <c r="D135" s="224" t="s">
        <v>1157</v>
      </c>
      <c r="E135" s="224" t="s">
        <v>42</v>
      </c>
      <c r="F135" s="225" t="s">
        <v>1210</v>
      </c>
      <c r="G135" s="224" t="s">
        <v>40</v>
      </c>
      <c r="H135" s="234">
        <v>4000</v>
      </c>
      <c r="I135" s="235" t="s">
        <v>152</v>
      </c>
      <c r="J135" s="224" t="s">
        <v>147</v>
      </c>
      <c r="K135" s="224" t="s">
        <v>41</v>
      </c>
      <c r="M135">
        <f t="shared" si="0"/>
        <v>800</v>
      </c>
    </row>
    <row r="136" spans="1:13" x14ac:dyDescent="0.25">
      <c r="A136" s="246">
        <v>22</v>
      </c>
      <c r="B136" s="233" t="s">
        <v>1211</v>
      </c>
      <c r="C136" s="230" t="s">
        <v>160</v>
      </c>
      <c r="D136" s="224" t="s">
        <v>1212</v>
      </c>
      <c r="E136" s="224" t="s">
        <v>57</v>
      </c>
      <c r="F136" s="225" t="s">
        <v>1213</v>
      </c>
      <c r="G136" s="224" t="s">
        <v>40</v>
      </c>
      <c r="H136" s="234">
        <v>1500</v>
      </c>
      <c r="I136" s="235" t="s">
        <v>152</v>
      </c>
      <c r="J136" s="224" t="s">
        <v>147</v>
      </c>
      <c r="K136" s="224" t="s">
        <v>41</v>
      </c>
      <c r="M136">
        <f t="shared" si="0"/>
        <v>300</v>
      </c>
    </row>
    <row r="137" spans="1:13" x14ac:dyDescent="0.25">
      <c r="A137" s="246">
        <v>22</v>
      </c>
      <c r="B137" s="233" t="s">
        <v>1214</v>
      </c>
      <c r="C137" s="230" t="s">
        <v>160</v>
      </c>
      <c r="D137" s="224" t="s">
        <v>1212</v>
      </c>
      <c r="E137" s="224" t="s">
        <v>57</v>
      </c>
      <c r="F137" s="225" t="s">
        <v>1215</v>
      </c>
      <c r="G137" s="224" t="s">
        <v>40</v>
      </c>
      <c r="H137" s="234">
        <v>2500</v>
      </c>
      <c r="I137" s="235" t="s">
        <v>152</v>
      </c>
      <c r="J137" s="224" t="s">
        <v>147</v>
      </c>
      <c r="K137" s="224" t="s">
        <v>41</v>
      </c>
      <c r="M137">
        <f t="shared" si="0"/>
        <v>500</v>
      </c>
    </row>
    <row r="138" spans="1:13" x14ac:dyDescent="0.25">
      <c r="A138" s="246">
        <v>22</v>
      </c>
      <c r="B138" s="233" t="s">
        <v>1216</v>
      </c>
      <c r="C138" s="230" t="s">
        <v>160</v>
      </c>
      <c r="D138" s="224" t="s">
        <v>1212</v>
      </c>
      <c r="E138" s="224" t="s">
        <v>57</v>
      </c>
      <c r="F138" s="225" t="s">
        <v>1217</v>
      </c>
      <c r="G138" s="224" t="s">
        <v>40</v>
      </c>
      <c r="H138" s="234">
        <v>3000</v>
      </c>
      <c r="I138" s="235" t="s">
        <v>152</v>
      </c>
      <c r="J138" s="224" t="s">
        <v>147</v>
      </c>
      <c r="K138" s="224" t="s">
        <v>41</v>
      </c>
      <c r="M138">
        <f t="shared" si="0"/>
        <v>600</v>
      </c>
    </row>
    <row r="139" spans="1:13" x14ac:dyDescent="0.25">
      <c r="A139" s="246">
        <v>22</v>
      </c>
      <c r="B139" s="233" t="s">
        <v>1218</v>
      </c>
      <c r="C139" s="230" t="s">
        <v>160</v>
      </c>
      <c r="D139" s="224" t="s">
        <v>1212</v>
      </c>
      <c r="E139" s="224" t="s">
        <v>57</v>
      </c>
      <c r="F139" s="225" t="s">
        <v>1219</v>
      </c>
      <c r="G139" s="224" t="s">
        <v>40</v>
      </c>
      <c r="H139" s="234">
        <v>6000</v>
      </c>
      <c r="I139" s="235" t="s">
        <v>152</v>
      </c>
      <c r="J139" s="224" t="s">
        <v>147</v>
      </c>
      <c r="K139" s="224" t="s">
        <v>41</v>
      </c>
      <c r="M139">
        <f t="shared" si="0"/>
        <v>1200</v>
      </c>
    </row>
    <row r="140" spans="1:13" x14ac:dyDescent="0.25">
      <c r="A140" s="246">
        <v>22</v>
      </c>
      <c r="B140" s="233" t="s">
        <v>1220</v>
      </c>
      <c r="C140" s="230" t="s">
        <v>160</v>
      </c>
      <c r="D140" s="224" t="s">
        <v>1212</v>
      </c>
      <c r="E140" s="224" t="s">
        <v>57</v>
      </c>
      <c r="F140" s="225" t="s">
        <v>1221</v>
      </c>
      <c r="G140" s="224" t="s">
        <v>40</v>
      </c>
      <c r="H140" s="234">
        <v>2500</v>
      </c>
      <c r="I140" s="235" t="s">
        <v>152</v>
      </c>
      <c r="J140" s="224" t="s">
        <v>147</v>
      </c>
      <c r="K140" s="224" t="s">
        <v>41</v>
      </c>
      <c r="M140">
        <f t="shared" si="0"/>
        <v>500</v>
      </c>
    </row>
    <row r="141" spans="1:13" x14ac:dyDescent="0.25">
      <c r="A141" s="246">
        <v>22</v>
      </c>
      <c r="B141" s="233" t="s">
        <v>1222</v>
      </c>
      <c r="C141" s="230" t="s">
        <v>160</v>
      </c>
      <c r="D141" s="224" t="s">
        <v>1212</v>
      </c>
      <c r="E141" s="224" t="s">
        <v>57</v>
      </c>
      <c r="F141" s="225" t="s">
        <v>1223</v>
      </c>
      <c r="G141" s="230" t="s">
        <v>40</v>
      </c>
      <c r="H141" s="234">
        <v>2000</v>
      </c>
      <c r="I141" s="235" t="s">
        <v>152</v>
      </c>
      <c r="J141" s="224" t="s">
        <v>147</v>
      </c>
      <c r="K141" s="224" t="s">
        <v>41</v>
      </c>
      <c r="M141">
        <f t="shared" si="0"/>
        <v>400</v>
      </c>
    </row>
    <row r="142" spans="1:13" x14ac:dyDescent="0.25">
      <c r="A142" s="246">
        <v>22</v>
      </c>
      <c r="B142" s="233" t="s">
        <v>1224</v>
      </c>
      <c r="C142" s="230" t="s">
        <v>160</v>
      </c>
      <c r="D142" s="224" t="s">
        <v>1212</v>
      </c>
      <c r="E142" s="224" t="s">
        <v>57</v>
      </c>
      <c r="F142" s="225" t="s">
        <v>1225</v>
      </c>
      <c r="G142" s="230" t="s">
        <v>40</v>
      </c>
      <c r="H142" s="234">
        <v>7000</v>
      </c>
      <c r="I142" s="235" t="s">
        <v>152</v>
      </c>
      <c r="J142" s="224" t="s">
        <v>147</v>
      </c>
      <c r="K142" s="224" t="s">
        <v>41</v>
      </c>
      <c r="M142">
        <f t="shared" si="0"/>
        <v>1400</v>
      </c>
    </row>
    <row r="143" spans="1:13" x14ac:dyDescent="0.25">
      <c r="A143" s="246">
        <v>22</v>
      </c>
      <c r="B143" s="233" t="s">
        <v>1226</v>
      </c>
      <c r="C143" s="230" t="s">
        <v>160</v>
      </c>
      <c r="D143" s="224" t="s">
        <v>255</v>
      </c>
      <c r="E143" s="224" t="s">
        <v>57</v>
      </c>
      <c r="F143" s="225" t="s">
        <v>1227</v>
      </c>
      <c r="G143" s="230" t="s">
        <v>40</v>
      </c>
      <c r="H143" s="234">
        <v>1500</v>
      </c>
      <c r="I143" s="235" t="s">
        <v>152</v>
      </c>
      <c r="J143" s="224" t="s">
        <v>147</v>
      </c>
      <c r="K143" s="224" t="s">
        <v>41</v>
      </c>
      <c r="M143">
        <f t="shared" si="0"/>
        <v>300</v>
      </c>
    </row>
    <row r="144" spans="1:13" x14ac:dyDescent="0.25">
      <c r="A144" s="246">
        <v>22</v>
      </c>
      <c r="B144" s="233" t="s">
        <v>1228</v>
      </c>
      <c r="C144" s="230" t="s">
        <v>160</v>
      </c>
      <c r="D144" s="224" t="s">
        <v>255</v>
      </c>
      <c r="E144" s="224" t="s">
        <v>57</v>
      </c>
      <c r="F144" s="225" t="s">
        <v>1229</v>
      </c>
      <c r="G144" s="230" t="s">
        <v>40</v>
      </c>
      <c r="H144" s="234">
        <v>3500</v>
      </c>
      <c r="I144" s="235" t="s">
        <v>152</v>
      </c>
      <c r="J144" s="224" t="s">
        <v>147</v>
      </c>
      <c r="K144" s="224" t="s">
        <v>41</v>
      </c>
      <c r="M144">
        <f t="shared" si="0"/>
        <v>700</v>
      </c>
    </row>
    <row r="145" spans="1:13" x14ac:dyDescent="0.25">
      <c r="A145" s="246">
        <v>22</v>
      </c>
      <c r="B145" s="233" t="s">
        <v>1230</v>
      </c>
      <c r="C145" s="269" t="s">
        <v>163</v>
      </c>
      <c r="D145" s="224" t="s">
        <v>1231</v>
      </c>
      <c r="E145" s="224" t="s">
        <v>57</v>
      </c>
      <c r="F145" s="225" t="s">
        <v>1232</v>
      </c>
      <c r="G145" s="230" t="s">
        <v>40</v>
      </c>
      <c r="H145" s="234">
        <v>1500</v>
      </c>
      <c r="I145" s="235" t="s">
        <v>152</v>
      </c>
      <c r="J145" s="224" t="s">
        <v>147</v>
      </c>
      <c r="K145" s="224" t="s">
        <v>41</v>
      </c>
      <c r="M145">
        <f t="shared" si="0"/>
        <v>300</v>
      </c>
    </row>
    <row r="146" spans="1:13" x14ac:dyDescent="0.25">
      <c r="A146" s="246">
        <v>22</v>
      </c>
      <c r="B146" s="233" t="s">
        <v>1233</v>
      </c>
      <c r="C146" s="269" t="s">
        <v>163</v>
      </c>
      <c r="D146" s="224" t="s">
        <v>180</v>
      </c>
      <c r="E146" s="224" t="s">
        <v>57</v>
      </c>
      <c r="F146" s="225" t="s">
        <v>1234</v>
      </c>
      <c r="G146" s="230" t="s">
        <v>40</v>
      </c>
      <c r="H146" s="234">
        <v>1500</v>
      </c>
      <c r="I146" s="235" t="s">
        <v>152</v>
      </c>
      <c r="J146" s="224" t="s">
        <v>147</v>
      </c>
      <c r="K146" s="224" t="s">
        <v>41</v>
      </c>
      <c r="M146">
        <f t="shared" si="0"/>
        <v>300</v>
      </c>
    </row>
    <row r="147" spans="1:13" x14ac:dyDescent="0.25">
      <c r="A147" s="246">
        <v>25</v>
      </c>
      <c r="B147" s="233" t="s">
        <v>1235</v>
      </c>
      <c r="C147" s="269" t="s">
        <v>163</v>
      </c>
      <c r="D147" s="224" t="s">
        <v>1001</v>
      </c>
      <c r="E147" s="224" t="s">
        <v>42</v>
      </c>
      <c r="F147" s="225" t="s">
        <v>1236</v>
      </c>
      <c r="G147" s="230" t="s">
        <v>40</v>
      </c>
      <c r="H147" s="234">
        <v>100</v>
      </c>
      <c r="I147" s="235">
        <v>20</v>
      </c>
      <c r="J147" s="224" t="s">
        <v>147</v>
      </c>
      <c r="K147" s="224" t="s">
        <v>41</v>
      </c>
      <c r="M147">
        <f t="shared" si="0"/>
        <v>20</v>
      </c>
    </row>
    <row r="148" spans="1:13" x14ac:dyDescent="0.25">
      <c r="A148" s="246">
        <v>25</v>
      </c>
      <c r="B148" s="233" t="s">
        <v>1237</v>
      </c>
      <c r="C148" s="230" t="s">
        <v>160</v>
      </c>
      <c r="D148" s="224" t="s">
        <v>1238</v>
      </c>
      <c r="E148" s="224" t="s">
        <v>65</v>
      </c>
      <c r="F148" s="225" t="s">
        <v>1239</v>
      </c>
      <c r="G148" s="230" t="s">
        <v>40</v>
      </c>
      <c r="H148" s="234">
        <v>3000</v>
      </c>
      <c r="I148" s="235">
        <v>600</v>
      </c>
      <c r="J148" s="224" t="s">
        <v>147</v>
      </c>
      <c r="K148" s="224" t="s">
        <v>41</v>
      </c>
      <c r="M148">
        <f t="shared" si="0"/>
        <v>600</v>
      </c>
    </row>
    <row r="149" spans="1:13" x14ac:dyDescent="0.25">
      <c r="A149" s="246">
        <v>25</v>
      </c>
      <c r="B149" s="233" t="s">
        <v>1240</v>
      </c>
      <c r="C149" s="230" t="s">
        <v>160</v>
      </c>
      <c r="D149" s="224" t="s">
        <v>180</v>
      </c>
      <c r="E149" s="224" t="s">
        <v>65</v>
      </c>
      <c r="F149" s="225" t="s">
        <v>1241</v>
      </c>
      <c r="G149" s="230" t="s">
        <v>40</v>
      </c>
      <c r="H149" s="234">
        <v>5500</v>
      </c>
      <c r="I149" s="235">
        <v>1100</v>
      </c>
      <c r="J149" s="224" t="s">
        <v>147</v>
      </c>
      <c r="K149" s="224" t="s">
        <v>41</v>
      </c>
      <c r="M149">
        <f t="shared" si="0"/>
        <v>1100</v>
      </c>
    </row>
    <row r="150" spans="1:13" x14ac:dyDescent="0.25">
      <c r="A150" s="246">
        <v>25</v>
      </c>
      <c r="B150" s="233" t="s">
        <v>1242</v>
      </c>
      <c r="C150" s="230" t="s">
        <v>160</v>
      </c>
      <c r="D150" s="224" t="s">
        <v>1243</v>
      </c>
      <c r="E150" s="224" t="s">
        <v>47</v>
      </c>
      <c r="F150" s="225" t="s">
        <v>1244</v>
      </c>
      <c r="G150" s="230" t="s">
        <v>40</v>
      </c>
      <c r="H150" s="234">
        <v>1000</v>
      </c>
      <c r="I150" s="235">
        <v>200</v>
      </c>
      <c r="J150" s="224" t="s">
        <v>147</v>
      </c>
      <c r="K150" s="224" t="s">
        <v>41</v>
      </c>
      <c r="M150">
        <f t="shared" si="0"/>
        <v>200</v>
      </c>
    </row>
    <row r="151" spans="1:13" x14ac:dyDescent="0.25">
      <c r="A151" s="246">
        <v>25</v>
      </c>
      <c r="B151" s="233" t="s">
        <v>429</v>
      </c>
      <c r="C151" s="269" t="s">
        <v>163</v>
      </c>
      <c r="D151" s="224" t="s">
        <v>1163</v>
      </c>
      <c r="E151" s="224" t="s">
        <v>46</v>
      </c>
      <c r="F151" s="225" t="s">
        <v>431</v>
      </c>
      <c r="G151" s="230" t="s">
        <v>40</v>
      </c>
      <c r="H151" s="234">
        <v>3500</v>
      </c>
      <c r="I151" s="235">
        <v>700</v>
      </c>
      <c r="J151" s="224" t="s">
        <v>147</v>
      </c>
      <c r="K151" s="224" t="s">
        <v>41</v>
      </c>
      <c r="M151">
        <f t="shared" si="0"/>
        <v>700</v>
      </c>
    </row>
    <row r="152" spans="1:13" x14ac:dyDescent="0.25">
      <c r="A152" s="246">
        <v>25</v>
      </c>
      <c r="B152" s="233" t="s">
        <v>1245</v>
      </c>
      <c r="C152" s="230" t="s">
        <v>160</v>
      </c>
      <c r="D152" s="224" t="s">
        <v>180</v>
      </c>
      <c r="E152" s="224" t="s">
        <v>54</v>
      </c>
      <c r="F152" s="225" t="s">
        <v>1246</v>
      </c>
      <c r="G152" s="230" t="s">
        <v>40</v>
      </c>
      <c r="H152" s="234">
        <v>500</v>
      </c>
      <c r="I152" s="235">
        <v>100</v>
      </c>
      <c r="J152" s="224" t="s">
        <v>147</v>
      </c>
      <c r="K152" s="224" t="s">
        <v>41</v>
      </c>
      <c r="M152">
        <f t="shared" si="0"/>
        <v>100</v>
      </c>
    </row>
    <row r="153" spans="1:13" x14ac:dyDescent="0.25">
      <c r="A153" s="246">
        <v>25</v>
      </c>
      <c r="B153" s="233" t="s">
        <v>1247</v>
      </c>
      <c r="C153" s="230" t="s">
        <v>160</v>
      </c>
      <c r="D153" s="224" t="s">
        <v>911</v>
      </c>
      <c r="E153" s="224" t="s">
        <v>49</v>
      </c>
      <c r="F153" s="225"/>
      <c r="G153" s="230" t="s">
        <v>40</v>
      </c>
      <c r="H153" s="234">
        <v>1000</v>
      </c>
      <c r="I153" s="235">
        <v>200</v>
      </c>
      <c r="J153" s="224" t="s">
        <v>147</v>
      </c>
      <c r="K153" s="224" t="s">
        <v>41</v>
      </c>
      <c r="M153">
        <f t="shared" si="0"/>
        <v>200</v>
      </c>
    </row>
    <row r="154" spans="1:13" x14ac:dyDescent="0.25">
      <c r="A154" s="246">
        <v>25</v>
      </c>
      <c r="B154" s="233" t="s">
        <v>1247</v>
      </c>
      <c r="C154" s="230" t="s">
        <v>160</v>
      </c>
      <c r="D154" s="224" t="s">
        <v>911</v>
      </c>
      <c r="E154" s="224" t="s">
        <v>49</v>
      </c>
      <c r="F154" s="225"/>
      <c r="G154" s="327" t="s">
        <v>377</v>
      </c>
      <c r="H154" s="234">
        <v>1000</v>
      </c>
      <c r="I154" s="235">
        <v>200</v>
      </c>
      <c r="J154" s="224" t="s">
        <v>147</v>
      </c>
      <c r="K154" s="224" t="s">
        <v>41</v>
      </c>
      <c r="M154">
        <f t="shared" si="0"/>
        <v>200</v>
      </c>
    </row>
    <row r="155" spans="1:13" x14ac:dyDescent="0.25">
      <c r="A155" s="246">
        <v>25</v>
      </c>
      <c r="B155" s="233" t="s">
        <v>1248</v>
      </c>
      <c r="C155" s="269" t="s">
        <v>163</v>
      </c>
      <c r="D155" s="224" t="s">
        <v>255</v>
      </c>
      <c r="E155" s="224" t="s">
        <v>57</v>
      </c>
      <c r="F155" s="225" t="s">
        <v>1249</v>
      </c>
      <c r="G155" s="230" t="s">
        <v>40</v>
      </c>
      <c r="H155" s="234">
        <v>1000</v>
      </c>
      <c r="I155" s="235">
        <v>200</v>
      </c>
      <c r="J155" s="224" t="s">
        <v>147</v>
      </c>
      <c r="K155" s="224" t="s">
        <v>41</v>
      </c>
      <c r="M155">
        <f t="shared" si="0"/>
        <v>200</v>
      </c>
    </row>
    <row r="156" spans="1:13" x14ac:dyDescent="0.25">
      <c r="A156" s="246">
        <v>25</v>
      </c>
      <c r="B156" s="233" t="s">
        <v>1250</v>
      </c>
      <c r="C156" s="230" t="s">
        <v>160</v>
      </c>
      <c r="D156" s="224" t="s">
        <v>375</v>
      </c>
      <c r="E156" s="224" t="s">
        <v>43</v>
      </c>
      <c r="F156" s="225" t="s">
        <v>1251</v>
      </c>
      <c r="G156" s="230" t="s">
        <v>40</v>
      </c>
      <c r="H156" s="234">
        <v>1000</v>
      </c>
      <c r="I156" s="235">
        <v>200</v>
      </c>
      <c r="J156" s="224" t="s">
        <v>147</v>
      </c>
      <c r="K156" s="224" t="s">
        <v>41</v>
      </c>
      <c r="M156">
        <f t="shared" si="0"/>
        <v>200</v>
      </c>
    </row>
    <row r="157" spans="1:13" x14ac:dyDescent="0.25">
      <c r="A157" s="246">
        <v>25</v>
      </c>
      <c r="B157" s="233" t="s">
        <v>1252</v>
      </c>
      <c r="C157" s="230" t="s">
        <v>160</v>
      </c>
      <c r="D157" s="224" t="s">
        <v>167</v>
      </c>
      <c r="E157" s="224" t="s">
        <v>43</v>
      </c>
      <c r="F157" s="225"/>
      <c r="G157" s="230" t="s">
        <v>40</v>
      </c>
      <c r="H157" s="234">
        <v>2500</v>
      </c>
      <c r="I157" s="235">
        <v>500</v>
      </c>
      <c r="J157" s="224" t="s">
        <v>147</v>
      </c>
      <c r="K157" s="224" t="s">
        <v>41</v>
      </c>
      <c r="M157">
        <f t="shared" si="0"/>
        <v>500</v>
      </c>
    </row>
    <row r="158" spans="1:13" x14ac:dyDescent="0.25">
      <c r="A158" s="246">
        <v>25</v>
      </c>
      <c r="B158" s="233" t="s">
        <v>1253</v>
      </c>
      <c r="C158" s="230" t="s">
        <v>160</v>
      </c>
      <c r="D158" s="224" t="s">
        <v>445</v>
      </c>
      <c r="E158" s="224" t="s">
        <v>84</v>
      </c>
      <c r="F158" s="225" t="s">
        <v>1254</v>
      </c>
      <c r="G158" s="230" t="s">
        <v>40</v>
      </c>
      <c r="H158" s="234">
        <v>1000</v>
      </c>
      <c r="I158" s="235">
        <v>200</v>
      </c>
      <c r="J158" s="224" t="s">
        <v>147</v>
      </c>
      <c r="K158" s="224" t="s">
        <v>41</v>
      </c>
      <c r="M158">
        <f t="shared" si="0"/>
        <v>200</v>
      </c>
    </row>
    <row r="159" spans="1:13" x14ac:dyDescent="0.25">
      <c r="A159" s="246">
        <v>25</v>
      </c>
      <c r="B159" s="233" t="s">
        <v>266</v>
      </c>
      <c r="C159" s="230" t="s">
        <v>160</v>
      </c>
      <c r="D159" s="224" t="s">
        <v>470</v>
      </c>
      <c r="E159" s="224" t="s">
        <v>53</v>
      </c>
      <c r="F159" s="225" t="s">
        <v>1255</v>
      </c>
      <c r="G159" s="230" t="s">
        <v>40</v>
      </c>
      <c r="H159" s="234">
        <v>6000</v>
      </c>
      <c r="I159" s="235">
        <v>1200</v>
      </c>
      <c r="J159" s="224" t="s">
        <v>147</v>
      </c>
      <c r="K159" s="224" t="s">
        <v>41</v>
      </c>
      <c r="M159">
        <f t="shared" si="0"/>
        <v>1200</v>
      </c>
    </row>
    <row r="160" spans="1:13" x14ac:dyDescent="0.25">
      <c r="A160" s="246">
        <v>25</v>
      </c>
      <c r="B160" s="233" t="s">
        <v>1256</v>
      </c>
      <c r="C160" s="269" t="s">
        <v>163</v>
      </c>
      <c r="D160" s="224" t="s">
        <v>375</v>
      </c>
      <c r="E160" s="224" t="s">
        <v>43</v>
      </c>
      <c r="F160" s="225" t="s">
        <v>1257</v>
      </c>
      <c r="G160" s="230" t="s">
        <v>40</v>
      </c>
      <c r="H160" s="234">
        <v>1000</v>
      </c>
      <c r="I160" s="235">
        <v>200</v>
      </c>
      <c r="J160" s="224" t="s">
        <v>147</v>
      </c>
      <c r="K160" s="224" t="s">
        <v>41</v>
      </c>
      <c r="M160">
        <f t="shared" si="0"/>
        <v>200</v>
      </c>
    </row>
    <row r="161" spans="1:16" x14ac:dyDescent="0.25">
      <c r="A161" s="246">
        <v>25</v>
      </c>
      <c r="B161" s="233" t="s">
        <v>1258</v>
      </c>
      <c r="C161" s="230" t="s">
        <v>160</v>
      </c>
      <c r="D161" s="224" t="s">
        <v>1180</v>
      </c>
      <c r="E161" s="224" t="s">
        <v>42</v>
      </c>
      <c r="F161" s="225" t="s">
        <v>1259</v>
      </c>
      <c r="G161" s="230" t="s">
        <v>40</v>
      </c>
      <c r="H161" s="234">
        <v>500</v>
      </c>
      <c r="I161" s="235">
        <v>100</v>
      </c>
      <c r="J161" s="224" t="s">
        <v>147</v>
      </c>
      <c r="K161" s="224" t="s">
        <v>41</v>
      </c>
      <c r="M161">
        <f t="shared" si="0"/>
        <v>100</v>
      </c>
    </row>
    <row r="162" spans="1:16" x14ac:dyDescent="0.25">
      <c r="A162" s="273">
        <v>25</v>
      </c>
      <c r="B162" s="233" t="s">
        <v>1260</v>
      </c>
      <c r="C162" s="230" t="s">
        <v>160</v>
      </c>
      <c r="D162" s="224" t="s">
        <v>947</v>
      </c>
      <c r="E162" s="224" t="s">
        <v>60</v>
      </c>
      <c r="F162" s="225" t="s">
        <v>1261</v>
      </c>
      <c r="G162" s="230" t="s">
        <v>40</v>
      </c>
      <c r="H162" s="234">
        <v>100</v>
      </c>
      <c r="I162" s="235">
        <v>20</v>
      </c>
      <c r="J162" s="224" t="s">
        <v>147</v>
      </c>
      <c r="K162" s="224" t="s">
        <v>41</v>
      </c>
      <c r="M162">
        <f t="shared" si="0"/>
        <v>20</v>
      </c>
    </row>
    <row r="163" spans="1:16" x14ac:dyDescent="0.25">
      <c r="A163" s="246"/>
      <c r="B163" s="233"/>
      <c r="C163" s="230"/>
      <c r="D163" s="224"/>
      <c r="E163" s="224"/>
      <c r="F163" s="225"/>
      <c r="G163" s="230"/>
      <c r="H163" s="234"/>
      <c r="I163" s="235"/>
      <c r="J163" s="224" t="s">
        <v>147</v>
      </c>
      <c r="K163" s="224" t="s">
        <v>41</v>
      </c>
      <c r="M163">
        <f t="shared" si="0"/>
        <v>0</v>
      </c>
    </row>
    <row r="164" spans="1:16" x14ac:dyDescent="0.25">
      <c r="A164" s="246"/>
      <c r="B164" s="233"/>
      <c r="C164" s="230"/>
      <c r="D164" s="224"/>
      <c r="E164" s="224"/>
      <c r="F164" s="225"/>
      <c r="G164" s="230"/>
      <c r="H164" s="234"/>
      <c r="I164" s="235"/>
      <c r="J164" s="224" t="s">
        <v>147</v>
      </c>
      <c r="K164" s="224" t="s">
        <v>41</v>
      </c>
      <c r="M164">
        <f t="shared" si="0"/>
        <v>0</v>
      </c>
    </row>
    <row r="165" spans="1:16" x14ac:dyDescent="0.25">
      <c r="A165" s="222"/>
      <c r="B165" s="100"/>
      <c r="C165" s="224"/>
      <c r="D165" s="224"/>
      <c r="E165" s="224"/>
      <c r="F165" s="225"/>
      <c r="G165" s="224"/>
      <c r="H165" s="234"/>
      <c r="I165" s="235"/>
      <c r="J165" s="224"/>
      <c r="K165" s="224"/>
      <c r="M165">
        <f>SUM(M12:M105)</f>
        <v>47895.4</v>
      </c>
    </row>
    <row r="166" spans="1:16" x14ac:dyDescent="0.25">
      <c r="A166" s="285"/>
      <c r="B166" s="60"/>
      <c r="C166" s="60"/>
      <c r="D166" s="60"/>
      <c r="E166" s="60"/>
      <c r="F166" s="60"/>
      <c r="G166" s="60"/>
      <c r="H166" s="61"/>
      <c r="I166" s="121"/>
      <c r="J166" s="60"/>
    </row>
    <row r="168" spans="1:16" x14ac:dyDescent="0.25">
      <c r="I168" s="123" t="s">
        <v>19</v>
      </c>
      <c r="J168" s="70"/>
    </row>
    <row r="169" spans="1:16" ht="16.5" customHeight="1" x14ac:dyDescent="0.25">
      <c r="B169" s="62" t="s">
        <v>20</v>
      </c>
      <c r="E169" s="62" t="s">
        <v>21</v>
      </c>
      <c r="I169" s="103" t="s">
        <v>109</v>
      </c>
      <c r="J169" s="127"/>
      <c r="P169" s="30"/>
    </row>
    <row r="170" spans="1:16" x14ac:dyDescent="0.25">
      <c r="I170" s="103" t="s">
        <v>110</v>
      </c>
      <c r="J170" s="127"/>
      <c r="K170" s="98"/>
    </row>
    <row r="171" spans="1:16" x14ac:dyDescent="0.25">
      <c r="I171" s="103" t="s">
        <v>138</v>
      </c>
      <c r="J171" s="128">
        <v>371227</v>
      </c>
    </row>
    <row r="172" spans="1:16" x14ac:dyDescent="0.25">
      <c r="B172" s="124" t="s">
        <v>966</v>
      </c>
      <c r="E172" s="617" t="s">
        <v>157</v>
      </c>
      <c r="F172" s="617"/>
      <c r="G172" s="617"/>
      <c r="H172" s="617"/>
      <c r="I172" s="103" t="s">
        <v>1265</v>
      </c>
      <c r="J172" s="128">
        <v>5000</v>
      </c>
    </row>
    <row r="173" spans="1:16" x14ac:dyDescent="0.25">
      <c r="B173" s="62" t="s">
        <v>967</v>
      </c>
      <c r="E173" s="618" t="s">
        <v>158</v>
      </c>
      <c r="F173" s="618"/>
      <c r="G173" s="618"/>
      <c r="H173" s="618"/>
      <c r="I173" s="103" t="s">
        <v>111</v>
      </c>
      <c r="J173" s="127"/>
    </row>
    <row r="174" spans="1:16" x14ac:dyDescent="0.25">
      <c r="I174" s="103" t="s">
        <v>112</v>
      </c>
      <c r="J174" s="128"/>
    </row>
    <row r="175" spans="1:16" s="62" customFormat="1" x14ac:dyDescent="0.25">
      <c r="A175" s="296"/>
      <c r="I175" s="103" t="s">
        <v>114</v>
      </c>
      <c r="J175" s="288"/>
      <c r="L175"/>
      <c r="M175"/>
      <c r="N175"/>
    </row>
    <row r="176" spans="1:16" s="62" customFormat="1" x14ac:dyDescent="0.25">
      <c r="A176" s="296"/>
      <c r="I176" s="103" t="s">
        <v>22</v>
      </c>
      <c r="J176" s="128"/>
      <c r="L176"/>
      <c r="M176"/>
      <c r="N176"/>
    </row>
    <row r="177" spans="1:14" s="62" customFormat="1" x14ac:dyDescent="0.25">
      <c r="A177" s="296"/>
      <c r="B177" s="99"/>
      <c r="E177" s="99"/>
      <c r="F177" s="99"/>
      <c r="G177" s="99"/>
      <c r="I177" s="125" t="s">
        <v>107</v>
      </c>
      <c r="J177" s="71"/>
      <c r="L177"/>
      <c r="M177"/>
      <c r="N177"/>
    </row>
    <row r="178" spans="1:14" s="62" customFormat="1" x14ac:dyDescent="0.25">
      <c r="A178" s="296"/>
      <c r="I178" s="125" t="s">
        <v>108</v>
      </c>
      <c r="J178" s="70"/>
      <c r="L178"/>
      <c r="M178"/>
      <c r="N178"/>
    </row>
    <row r="179" spans="1:14" s="62" customFormat="1" x14ac:dyDescent="0.25">
      <c r="A179" s="296"/>
      <c r="I179" s="103"/>
      <c r="J179" s="70"/>
      <c r="L179"/>
      <c r="M179"/>
      <c r="N179"/>
    </row>
    <row r="180" spans="1:14" s="62" customFormat="1" x14ac:dyDescent="0.25">
      <c r="A180" s="296"/>
      <c r="I180" s="103"/>
      <c r="J180" s="71"/>
      <c r="L180"/>
      <c r="M180"/>
      <c r="N180"/>
    </row>
    <row r="181" spans="1:14" s="62" customFormat="1" x14ac:dyDescent="0.25">
      <c r="A181" s="296"/>
      <c r="I181" s="103"/>
      <c r="J181" s="71"/>
      <c r="L181"/>
      <c r="M181"/>
      <c r="N181"/>
    </row>
    <row r="201" spans="12:12" x14ac:dyDescent="0.25">
      <c r="L201" s="30"/>
    </row>
    <row r="224" spans="12:12" x14ac:dyDescent="0.25">
      <c r="L224" s="30"/>
    </row>
    <row r="351" spans="12:12" x14ac:dyDescent="0.25">
      <c r="L351" s="30"/>
    </row>
  </sheetData>
  <mergeCells count="10">
    <mergeCell ref="E172:H172"/>
    <mergeCell ref="E173:H173"/>
    <mergeCell ref="A1:K1"/>
    <mergeCell ref="A2:K2"/>
    <mergeCell ref="A6:B6"/>
    <mergeCell ref="F7:H7"/>
    <mergeCell ref="J7:K7"/>
    <mergeCell ref="A8:B8"/>
    <mergeCell ref="D44:E44"/>
    <mergeCell ref="D45:E45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7708-1A82-4630-8660-3A567AEE2396}">
  <sheetPr>
    <tabColor theme="5"/>
  </sheetPr>
  <dimension ref="A1:O39"/>
  <sheetViews>
    <sheetView view="pageBreakPreview" zoomScale="96" zoomScaleNormal="100" zoomScaleSheetLayoutView="96" workbookViewId="0">
      <selection activeCell="G13" sqref="G13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1.71093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605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52"/>
      <c r="B3" s="1"/>
      <c r="C3" s="31"/>
      <c r="D3" s="1"/>
      <c r="E3" s="1"/>
      <c r="G3" s="1"/>
      <c r="H3" s="31"/>
      <c r="I3" s="30"/>
      <c r="J3" s="32"/>
      <c r="K3" s="610" t="s">
        <v>968</v>
      </c>
      <c r="L3" s="611"/>
    </row>
    <row r="4" spans="1:15" x14ac:dyDescent="0.25">
      <c r="A4" s="252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>
        <v>4</v>
      </c>
    </row>
    <row r="5" spans="1:15" x14ac:dyDescent="0.25">
      <c r="A5" s="252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>
        <v>2</v>
      </c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291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291" t="s">
        <v>13</v>
      </c>
      <c r="L9" s="291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ht="18.75" customHeight="1" x14ac:dyDescent="0.25">
      <c r="A12" s="309">
        <v>8</v>
      </c>
      <c r="B12" s="238" t="s">
        <v>389</v>
      </c>
      <c r="C12" s="57"/>
      <c r="D12" s="56"/>
      <c r="E12" s="238" t="s">
        <v>57</v>
      </c>
      <c r="F12" s="270" t="s">
        <v>729</v>
      </c>
      <c r="G12" s="238" t="s">
        <v>730</v>
      </c>
      <c r="H12" s="238" t="s">
        <v>40</v>
      </c>
      <c r="I12" s="239">
        <v>46700</v>
      </c>
      <c r="J12" s="220" t="s">
        <v>152</v>
      </c>
      <c r="K12" s="100"/>
      <c r="L12" s="181" t="s">
        <v>41</v>
      </c>
    </row>
    <row r="13" spans="1:15" ht="18" customHeight="1" x14ac:dyDescent="0.25">
      <c r="A13" s="294">
        <v>15</v>
      </c>
      <c r="B13" s="238" t="s">
        <v>793</v>
      </c>
      <c r="C13" s="57"/>
      <c r="D13" s="56"/>
      <c r="E13" s="238" t="s">
        <v>795</v>
      </c>
      <c r="F13" s="270" t="s">
        <v>794</v>
      </c>
      <c r="G13" s="238" t="s">
        <v>796</v>
      </c>
      <c r="H13" s="238" t="s">
        <v>40</v>
      </c>
      <c r="I13" s="239">
        <v>4000</v>
      </c>
      <c r="J13" s="220" t="s">
        <v>152</v>
      </c>
      <c r="K13" s="100"/>
      <c r="L13" s="181" t="s">
        <v>41</v>
      </c>
    </row>
    <row r="14" spans="1:15" s="62" customFormat="1" ht="26.25" customHeight="1" x14ac:dyDescent="0.25">
      <c r="A14" s="295">
        <v>16</v>
      </c>
      <c r="B14" s="277" t="s">
        <v>805</v>
      </c>
      <c r="C14" s="216"/>
      <c r="D14" s="181" t="s">
        <v>358</v>
      </c>
      <c r="E14" s="181" t="s">
        <v>43</v>
      </c>
      <c r="F14" s="217" t="s">
        <v>806</v>
      </c>
      <c r="G14" s="181" t="s">
        <v>807</v>
      </c>
      <c r="H14" s="218" t="s">
        <v>40</v>
      </c>
      <c r="I14" s="219">
        <v>1000</v>
      </c>
      <c r="J14" s="220" t="s">
        <v>152</v>
      </c>
      <c r="K14" s="100"/>
      <c r="L14" s="181" t="s">
        <v>41</v>
      </c>
      <c r="M14" s="166"/>
    </row>
    <row r="15" spans="1:15" s="62" customFormat="1" ht="16.5" customHeight="1" x14ac:dyDescent="0.25">
      <c r="A15" s="295">
        <v>21</v>
      </c>
      <c r="B15" s="277" t="s">
        <v>872</v>
      </c>
      <c r="C15" s="216"/>
      <c r="D15" s="181" t="s">
        <v>873</v>
      </c>
      <c r="E15" s="181" t="s">
        <v>48</v>
      </c>
      <c r="F15" s="217" t="s">
        <v>874</v>
      </c>
      <c r="G15" s="181" t="s">
        <v>875</v>
      </c>
      <c r="H15" s="218" t="s">
        <v>377</v>
      </c>
      <c r="I15" s="221">
        <v>3500</v>
      </c>
      <c r="J15" s="220" t="s">
        <v>152</v>
      </c>
      <c r="K15" s="100"/>
      <c r="L15" s="181" t="s">
        <v>41</v>
      </c>
      <c r="M15" s="166"/>
      <c r="O15" s="98"/>
    </row>
    <row r="16" spans="1:15" s="62" customFormat="1" ht="17.25" customHeight="1" x14ac:dyDescent="0.25">
      <c r="A16" s="295">
        <v>22</v>
      </c>
      <c r="B16" s="238" t="s">
        <v>793</v>
      </c>
      <c r="C16" s="216"/>
      <c r="D16" s="181"/>
      <c r="E16" s="181" t="s">
        <v>795</v>
      </c>
      <c r="F16" s="217" t="s">
        <v>899</v>
      </c>
      <c r="G16" s="181" t="s">
        <v>900</v>
      </c>
      <c r="H16" s="242" t="s">
        <v>40</v>
      </c>
      <c r="I16" s="221">
        <v>55000</v>
      </c>
      <c r="J16" s="220" t="s">
        <v>152</v>
      </c>
      <c r="K16" s="100" t="s">
        <v>901</v>
      </c>
      <c r="L16" s="181" t="s">
        <v>41</v>
      </c>
      <c r="O16" s="98"/>
    </row>
    <row r="17" spans="1:15" s="62" customFormat="1" ht="18" customHeight="1" x14ac:dyDescent="0.25">
      <c r="A17" s="275">
        <v>23</v>
      </c>
      <c r="B17" s="277" t="s">
        <v>451</v>
      </c>
      <c r="C17" s="216"/>
      <c r="D17" s="181"/>
      <c r="E17" s="181" t="s">
        <v>56</v>
      </c>
      <c r="F17" s="217" t="s">
        <v>909</v>
      </c>
      <c r="G17" s="181" t="s">
        <v>452</v>
      </c>
      <c r="H17" s="242" t="s">
        <v>40</v>
      </c>
      <c r="I17" s="221">
        <v>13000</v>
      </c>
      <c r="J17" s="220" t="s">
        <v>152</v>
      </c>
      <c r="K17" s="100"/>
      <c r="L17" s="181" t="s">
        <v>41</v>
      </c>
      <c r="O17" s="98"/>
    </row>
    <row r="18" spans="1:15" s="62" customFormat="1" ht="18" customHeight="1" x14ac:dyDescent="0.25">
      <c r="A18" s="295"/>
      <c r="B18" s="277"/>
      <c r="C18" s="216"/>
      <c r="D18" s="181"/>
      <c r="E18" s="181"/>
      <c r="F18" s="217"/>
      <c r="G18" s="181"/>
      <c r="H18" s="242"/>
      <c r="I18" s="221"/>
      <c r="J18" s="220" t="s">
        <v>152</v>
      </c>
      <c r="K18" s="100"/>
      <c r="L18" s="181" t="s">
        <v>41</v>
      </c>
      <c r="O18" s="98"/>
    </row>
    <row r="19" spans="1:15" s="62" customFormat="1" ht="18" customHeight="1" x14ac:dyDescent="0.25">
      <c r="A19" s="295"/>
      <c r="B19" s="277"/>
      <c r="C19" s="216"/>
      <c r="D19" s="181"/>
      <c r="E19" s="181"/>
      <c r="F19" s="217"/>
      <c r="G19" s="181"/>
      <c r="H19" s="242"/>
      <c r="I19" s="221"/>
      <c r="J19" s="220" t="s">
        <v>152</v>
      </c>
      <c r="K19" s="100"/>
      <c r="L19" s="181" t="s">
        <v>41</v>
      </c>
      <c r="O19" s="98"/>
    </row>
    <row r="20" spans="1:15" s="62" customFormat="1" ht="18" customHeight="1" x14ac:dyDescent="0.25">
      <c r="A20" s="295"/>
      <c r="B20" s="277"/>
      <c r="C20" s="216"/>
      <c r="D20" s="181"/>
      <c r="E20" s="181"/>
      <c r="F20" s="217"/>
      <c r="G20" s="181"/>
      <c r="H20" s="242"/>
      <c r="I20" s="221"/>
      <c r="J20" s="220" t="s">
        <v>152</v>
      </c>
      <c r="K20" s="100"/>
      <c r="L20" s="181" t="s">
        <v>41</v>
      </c>
      <c r="O20" s="98"/>
    </row>
    <row r="21" spans="1:15" s="62" customFormat="1" ht="18" customHeight="1" x14ac:dyDescent="0.25">
      <c r="A21" s="295"/>
      <c r="B21" s="277"/>
      <c r="C21" s="216"/>
      <c r="D21" s="181"/>
      <c r="E21" s="181"/>
      <c r="F21" s="217"/>
      <c r="G21" s="181"/>
      <c r="H21" s="242"/>
      <c r="I21" s="221"/>
      <c r="J21" s="220" t="s">
        <v>152</v>
      </c>
      <c r="K21" s="100"/>
      <c r="L21" s="181" t="s">
        <v>41</v>
      </c>
      <c r="O21" s="98"/>
    </row>
    <row r="22" spans="1:15" s="62" customFormat="1" ht="18" customHeight="1" x14ac:dyDescent="0.25">
      <c r="A22" s="295"/>
      <c r="B22" s="277"/>
      <c r="C22" s="216"/>
      <c r="D22" s="181"/>
      <c r="E22" s="181"/>
      <c r="F22" s="217"/>
      <c r="G22" s="181"/>
      <c r="H22" s="242"/>
      <c r="I22" s="221"/>
      <c r="J22" s="220" t="s">
        <v>152</v>
      </c>
      <c r="K22" s="100"/>
      <c r="L22" s="181" t="s">
        <v>41</v>
      </c>
      <c r="O22" s="98"/>
    </row>
    <row r="23" spans="1:15" s="62" customFormat="1" ht="18" customHeight="1" x14ac:dyDescent="0.25">
      <c r="A23" s="215"/>
      <c r="B23" s="277"/>
      <c r="C23" s="216"/>
      <c r="D23" s="181"/>
      <c r="E23" s="181"/>
      <c r="F23" s="217"/>
      <c r="G23" s="181"/>
      <c r="H23" s="242"/>
      <c r="I23" s="221"/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15"/>
      <c r="B24" s="277"/>
      <c r="C24" s="216"/>
      <c r="D24" s="181"/>
      <c r="E24" s="181"/>
      <c r="F24" s="217"/>
      <c r="G24" s="181"/>
      <c r="H24" s="242"/>
      <c r="I24" s="221"/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240"/>
      <c r="B25" s="207"/>
      <c r="C25" s="100"/>
      <c r="D25" s="100"/>
      <c r="E25" s="100"/>
      <c r="F25" s="241"/>
      <c r="G25" s="218"/>
      <c r="H25" s="242"/>
      <c r="I25" s="221"/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240"/>
      <c r="B26" s="207"/>
      <c r="C26" s="100"/>
      <c r="D26" s="100"/>
      <c r="E26" s="100"/>
      <c r="F26" s="241"/>
      <c r="G26" s="100"/>
      <c r="H26" s="242"/>
      <c r="I26" s="221"/>
      <c r="J26" s="220" t="s">
        <v>152</v>
      </c>
      <c r="K26" s="100"/>
      <c r="L26" s="181" t="s">
        <v>41</v>
      </c>
      <c r="O26" s="98"/>
    </row>
    <row r="27" spans="1:15" s="62" customFormat="1" x14ac:dyDescent="0.25">
      <c r="A27" s="240"/>
      <c r="B27" s="100"/>
      <c r="C27" s="216"/>
      <c r="D27" s="100"/>
      <c r="E27" s="100"/>
      <c r="F27" s="241"/>
      <c r="G27" s="100"/>
      <c r="H27" s="140"/>
      <c r="I27" s="221"/>
      <c r="J27" s="216"/>
      <c r="K27" s="100"/>
      <c r="L27" s="100"/>
      <c r="O27" s="98"/>
    </row>
    <row r="28" spans="1:15" x14ac:dyDescent="0.25">
      <c r="I28" s="28"/>
      <c r="J28" s="28"/>
    </row>
    <row r="29" spans="1:15" x14ac:dyDescent="0.25">
      <c r="I29" s="63" t="s">
        <v>19</v>
      </c>
      <c r="J29" s="28"/>
      <c r="K29" s="274" t="s">
        <v>791</v>
      </c>
      <c r="L29" s="30">
        <v>46700</v>
      </c>
    </row>
    <row r="30" spans="1:15" x14ac:dyDescent="0.25">
      <c r="I30" s="28" t="s">
        <v>109</v>
      </c>
      <c r="J30" s="28"/>
      <c r="K30" s="274" t="s">
        <v>950</v>
      </c>
      <c r="L30" s="276">
        <f>SUM(I13:I17)</f>
        <v>76500</v>
      </c>
    </row>
    <row r="31" spans="1:15" x14ac:dyDescent="0.25">
      <c r="B31" t="s">
        <v>20</v>
      </c>
      <c r="E31" t="s">
        <v>21</v>
      </c>
      <c r="I31" s="28" t="s">
        <v>110</v>
      </c>
      <c r="J31" s="132">
        <v>6</v>
      </c>
      <c r="L31" s="69"/>
    </row>
    <row r="32" spans="1:15" x14ac:dyDescent="0.25">
      <c r="I32" s="28" t="s">
        <v>149</v>
      </c>
      <c r="J32" s="132">
        <f>SUM(I12:I17)</f>
        <v>123200</v>
      </c>
    </row>
    <row r="33" spans="2:12" x14ac:dyDescent="0.25">
      <c r="I33" s="28" t="s">
        <v>601</v>
      </c>
      <c r="J33" s="132"/>
      <c r="K33" s="274"/>
      <c r="L33" s="69"/>
    </row>
    <row r="34" spans="2:12" x14ac:dyDescent="0.25">
      <c r="I34" s="28" t="s">
        <v>111</v>
      </c>
      <c r="J34" s="130"/>
      <c r="K34" s="274"/>
      <c r="L34" s="287"/>
    </row>
    <row r="35" spans="2:12" x14ac:dyDescent="0.25">
      <c r="B35" s="29"/>
      <c r="E35" s="251"/>
      <c r="F35" s="251"/>
      <c r="G35" s="251"/>
      <c r="H35" s="251"/>
      <c r="I35" s="28" t="s">
        <v>113</v>
      </c>
      <c r="J35" s="132"/>
      <c r="L35" s="69"/>
    </row>
    <row r="36" spans="2:12" x14ac:dyDescent="0.25">
      <c r="B36" s="267" t="s">
        <v>966</v>
      </c>
      <c r="C36" s="267"/>
      <c r="D36" s="267"/>
      <c r="E36" s="268" t="s">
        <v>157</v>
      </c>
      <c r="F36" s="252"/>
      <c r="G36" s="252"/>
      <c r="H36" s="252"/>
      <c r="I36" s="28" t="s">
        <v>114</v>
      </c>
      <c r="J36" s="130"/>
      <c r="L36" s="69"/>
    </row>
    <row r="37" spans="2:12" x14ac:dyDescent="0.25">
      <c r="B37" t="s">
        <v>967</v>
      </c>
      <c r="E37" t="s">
        <v>158</v>
      </c>
      <c r="I37" s="28" t="s">
        <v>22</v>
      </c>
      <c r="J37" s="131"/>
    </row>
    <row r="38" spans="2:12" x14ac:dyDescent="0.25">
      <c r="I38" s="3" t="s">
        <v>115</v>
      </c>
      <c r="J38" s="132"/>
      <c r="L38" s="30"/>
    </row>
    <row r="39" spans="2:12" x14ac:dyDescent="0.25">
      <c r="I39" s="3" t="s">
        <v>87</v>
      </c>
      <c r="J39" s="132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47298-31D2-4DA1-816B-24EBDC7EFA30}">
  <sheetPr>
    <tabColor theme="5"/>
  </sheetPr>
  <dimension ref="A1:T378"/>
  <sheetViews>
    <sheetView view="pageBreakPreview" topLeftCell="A58" zoomScale="106" zoomScaleNormal="100" zoomScaleSheetLayoutView="106" workbookViewId="0">
      <selection activeCell="B105" sqref="B105"/>
    </sheetView>
  </sheetViews>
  <sheetFormatPr defaultRowHeight="15" x14ac:dyDescent="0.25"/>
  <cols>
    <col min="1" max="1" width="4.7109375" style="289" customWidth="1"/>
    <col min="2" max="2" width="25" style="62" customWidth="1"/>
    <col min="3" max="3" width="7.28515625" style="62" customWidth="1"/>
    <col min="4" max="4" width="17.7109375" style="62" customWidth="1"/>
    <col min="5" max="5" width="14.5703125" style="62" customWidth="1"/>
    <col min="6" max="6" width="14.28515625" style="62" customWidth="1"/>
    <col min="7" max="7" width="14" style="62" customWidth="1"/>
    <col min="8" max="8" width="16.42578125" style="62" customWidth="1"/>
    <col min="9" max="9" width="16.85546875" style="122" customWidth="1"/>
    <col min="10" max="10" width="9.5703125" style="62" customWidth="1"/>
    <col min="11" max="11" width="17.85546875" style="62" customWidth="1"/>
    <col min="15" max="15" width="4.5703125" customWidth="1"/>
    <col min="16" max="16" width="14.28515625" customWidth="1"/>
    <col min="17" max="17" width="12.42578125" customWidth="1"/>
  </cols>
  <sheetData>
    <row r="1" spans="1:20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</row>
    <row r="2" spans="1:20" ht="18" x14ac:dyDescent="0.25">
      <c r="A2" s="620" t="s">
        <v>605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</row>
    <row r="3" spans="1:20" x14ac:dyDescent="0.25">
      <c r="B3" s="102"/>
      <c r="C3" s="78"/>
      <c r="D3" s="102"/>
      <c r="E3" s="102"/>
      <c r="G3" s="78"/>
      <c r="H3" s="83"/>
      <c r="I3" s="103"/>
      <c r="J3" s="104" t="s">
        <v>964</v>
      </c>
      <c r="K3" s="105"/>
    </row>
    <row r="4" spans="1:20" x14ac:dyDescent="0.25">
      <c r="B4" s="102"/>
      <c r="C4" s="78"/>
      <c r="D4" s="102"/>
      <c r="E4" s="102"/>
      <c r="G4" s="78"/>
      <c r="H4" s="83"/>
      <c r="I4" s="106"/>
      <c r="J4" s="95" t="s">
        <v>89</v>
      </c>
      <c r="K4" s="126">
        <v>134</v>
      </c>
    </row>
    <row r="5" spans="1:20" x14ac:dyDescent="0.25">
      <c r="B5" s="102"/>
      <c r="C5" s="78"/>
      <c r="D5" s="102"/>
      <c r="E5" s="107"/>
      <c r="G5" s="78"/>
      <c r="H5" s="83"/>
      <c r="I5" s="106"/>
      <c r="J5" s="95" t="s">
        <v>91</v>
      </c>
      <c r="K5" s="126">
        <v>27</v>
      </c>
    </row>
    <row r="6" spans="1:20" x14ac:dyDescent="0.25">
      <c r="A6" s="622" t="s">
        <v>117</v>
      </c>
      <c r="B6" s="622"/>
      <c r="C6" s="79"/>
      <c r="D6" s="107"/>
      <c r="E6" s="108"/>
      <c r="F6" s="60"/>
      <c r="G6" s="79"/>
      <c r="H6" s="84"/>
      <c r="I6" s="103"/>
      <c r="J6" s="101" t="s">
        <v>965</v>
      </c>
      <c r="K6" s="109"/>
    </row>
    <row r="7" spans="1:20" x14ac:dyDescent="0.25">
      <c r="A7" s="110"/>
      <c r="B7" s="111"/>
      <c r="C7" s="80"/>
      <c r="D7" s="169"/>
      <c r="E7" s="169"/>
      <c r="F7" s="613" t="s">
        <v>1</v>
      </c>
      <c r="G7" s="623"/>
      <c r="H7" s="614"/>
      <c r="I7" s="112"/>
      <c r="J7" s="624" t="s">
        <v>2</v>
      </c>
      <c r="K7" s="625"/>
      <c r="P7" s="30"/>
    </row>
    <row r="8" spans="1:20" x14ac:dyDescent="0.25">
      <c r="A8" s="629" t="s">
        <v>3</v>
      </c>
      <c r="B8" s="630"/>
      <c r="C8" s="18" t="s">
        <v>4</v>
      </c>
      <c r="D8" s="290" t="s">
        <v>5</v>
      </c>
      <c r="E8" s="73" t="s">
        <v>6</v>
      </c>
      <c r="F8" s="11" t="s">
        <v>7</v>
      </c>
      <c r="G8" s="81"/>
      <c r="H8" s="12" t="s">
        <v>8</v>
      </c>
      <c r="I8" s="74" t="s">
        <v>9</v>
      </c>
      <c r="J8" s="96"/>
      <c r="K8" s="113"/>
      <c r="P8" s="214"/>
    </row>
    <row r="9" spans="1:20" x14ac:dyDescent="0.25">
      <c r="A9" s="114"/>
      <c r="B9" s="115"/>
      <c r="C9" s="81"/>
      <c r="D9" s="116"/>
      <c r="E9" s="115"/>
      <c r="F9" s="17" t="s">
        <v>10</v>
      </c>
      <c r="G9" s="18" t="s">
        <v>11</v>
      </c>
      <c r="H9" s="12" t="s">
        <v>12</v>
      </c>
      <c r="I9" s="117"/>
      <c r="J9" s="290" t="s">
        <v>13</v>
      </c>
      <c r="K9" s="290" t="s">
        <v>14</v>
      </c>
      <c r="P9" s="214"/>
    </row>
    <row r="10" spans="1:20" x14ac:dyDescent="0.25">
      <c r="A10" s="118"/>
      <c r="B10" s="119"/>
      <c r="C10" s="82"/>
      <c r="D10" s="170"/>
      <c r="E10" s="170"/>
      <c r="F10" s="22"/>
      <c r="G10" s="85"/>
      <c r="H10" s="86" t="s">
        <v>15</v>
      </c>
      <c r="I10" s="120"/>
      <c r="J10" s="22"/>
      <c r="K10" s="51" t="s">
        <v>16</v>
      </c>
      <c r="P10" s="214"/>
    </row>
    <row r="11" spans="1:20" x14ac:dyDescent="0.25">
      <c r="A11" s="142" t="s">
        <v>17</v>
      </c>
      <c r="B11" s="59"/>
      <c r="C11" s="59"/>
      <c r="D11" s="59"/>
      <c r="E11" s="59"/>
      <c r="F11" s="59"/>
      <c r="G11" s="59"/>
      <c r="H11" s="59"/>
      <c r="I11" s="75"/>
      <c r="J11" s="59"/>
      <c r="K11" s="59"/>
      <c r="P11" s="272" t="s">
        <v>728</v>
      </c>
      <c r="R11" t="s">
        <v>160</v>
      </c>
      <c r="S11" t="s">
        <v>163</v>
      </c>
      <c r="T11" t="s">
        <v>309</v>
      </c>
    </row>
    <row r="12" spans="1:20" x14ac:dyDescent="0.25">
      <c r="A12" s="228">
        <v>1</v>
      </c>
      <c r="B12" s="230" t="s">
        <v>606</v>
      </c>
      <c r="C12" s="230" t="s">
        <v>160</v>
      </c>
      <c r="D12" s="224" t="s">
        <v>58</v>
      </c>
      <c r="E12" s="224" t="s">
        <v>42</v>
      </c>
      <c r="F12" s="225" t="s">
        <v>607</v>
      </c>
      <c r="G12" s="292" t="s">
        <v>465</v>
      </c>
      <c r="H12" s="226">
        <v>1000</v>
      </c>
      <c r="I12" s="227">
        <v>1000</v>
      </c>
      <c r="J12" s="224" t="s">
        <v>147</v>
      </c>
      <c r="K12" s="224" t="s">
        <v>41</v>
      </c>
      <c r="M12">
        <f>H12/5</f>
        <v>200</v>
      </c>
      <c r="O12" s="30"/>
      <c r="P12" t="s">
        <v>138</v>
      </c>
      <c r="Q12" s="30">
        <f>SUM(H13:H14,H20:H21,H25,H27:H28,H32,H34,H36:H37,H39,H42:H45,H47:H51,H53,H55:H56,H59:H61,H62,H64:H66,H68:H75,H77:H81)</f>
        <v>101300</v>
      </c>
      <c r="R12">
        <v>34</v>
      </c>
      <c r="S12">
        <v>7</v>
      </c>
    </row>
    <row r="13" spans="1:20" x14ac:dyDescent="0.25">
      <c r="A13" s="228">
        <v>1</v>
      </c>
      <c r="B13" s="230" t="s">
        <v>608</v>
      </c>
      <c r="C13" s="269" t="s">
        <v>163</v>
      </c>
      <c r="D13" s="224" t="s">
        <v>609</v>
      </c>
      <c r="E13" s="224" t="s">
        <v>64</v>
      </c>
      <c r="F13" s="225"/>
      <c r="G13" s="100" t="s">
        <v>40</v>
      </c>
      <c r="H13" s="226">
        <v>1000</v>
      </c>
      <c r="I13" s="227">
        <v>200</v>
      </c>
      <c r="J13" s="224" t="s">
        <v>147</v>
      </c>
      <c r="K13" s="224" t="s">
        <v>41</v>
      </c>
      <c r="M13">
        <f t="shared" ref="M13:M190" si="0">H13/5</f>
        <v>200</v>
      </c>
      <c r="O13" s="30"/>
      <c r="P13" s="293" t="s">
        <v>465</v>
      </c>
      <c r="Q13" s="30">
        <f>SUM(H12,H15:H19,H22:H24,H26,H29:H31,H33,H35,H38,H40:H41,H46,H52,H54,H57:H58,H63,H67,H76)</f>
        <v>37000</v>
      </c>
      <c r="R13">
        <v>24</v>
      </c>
      <c r="S13">
        <v>2</v>
      </c>
    </row>
    <row r="14" spans="1:20" x14ac:dyDescent="0.25">
      <c r="A14" s="228">
        <v>1</v>
      </c>
      <c r="B14" s="230" t="s">
        <v>610</v>
      </c>
      <c r="C14" s="269" t="s">
        <v>163</v>
      </c>
      <c r="D14" s="224" t="s">
        <v>470</v>
      </c>
      <c r="E14" s="224" t="s">
        <v>45</v>
      </c>
      <c r="F14" s="225" t="s">
        <v>611</v>
      </c>
      <c r="G14" s="100" t="s">
        <v>40</v>
      </c>
      <c r="H14" s="226">
        <v>200</v>
      </c>
      <c r="I14" s="227">
        <v>40</v>
      </c>
      <c r="J14" s="224" t="s">
        <v>147</v>
      </c>
      <c r="K14" s="224" t="s">
        <v>41</v>
      </c>
      <c r="M14">
        <f t="shared" si="0"/>
        <v>40</v>
      </c>
      <c r="O14" s="30"/>
      <c r="P14" s="272" t="s">
        <v>788</v>
      </c>
      <c r="Q14" s="69"/>
    </row>
    <row r="15" spans="1:20" x14ac:dyDescent="0.25">
      <c r="A15" s="228">
        <v>1</v>
      </c>
      <c r="B15" s="230" t="s">
        <v>610</v>
      </c>
      <c r="C15" s="286" t="s">
        <v>163</v>
      </c>
      <c r="D15" s="224" t="s">
        <v>470</v>
      </c>
      <c r="E15" s="224" t="s">
        <v>45</v>
      </c>
      <c r="F15" s="225" t="s">
        <v>611</v>
      </c>
      <c r="G15" s="292" t="s">
        <v>465</v>
      </c>
      <c r="H15" s="226">
        <v>1000</v>
      </c>
      <c r="I15" s="229">
        <v>1000</v>
      </c>
      <c r="J15" s="224" t="s">
        <v>147</v>
      </c>
      <c r="K15" s="224" t="s">
        <v>41</v>
      </c>
      <c r="M15">
        <f t="shared" si="0"/>
        <v>200</v>
      </c>
      <c r="P15" t="s">
        <v>138</v>
      </c>
      <c r="Q15" s="69">
        <f>SUM(H82:H102,H104:H110,H112:H114)</f>
        <v>87150</v>
      </c>
      <c r="R15">
        <v>25</v>
      </c>
      <c r="S15">
        <v>5</v>
      </c>
      <c r="T15" t="s">
        <v>789</v>
      </c>
    </row>
    <row r="16" spans="1:20" x14ac:dyDescent="0.25">
      <c r="A16" s="228">
        <v>1</v>
      </c>
      <c r="B16" s="230" t="s">
        <v>612</v>
      </c>
      <c r="C16" s="230" t="s">
        <v>160</v>
      </c>
      <c r="D16" s="224"/>
      <c r="E16" s="224" t="s">
        <v>43</v>
      </c>
      <c r="F16" s="225"/>
      <c r="G16" s="292" t="s">
        <v>465</v>
      </c>
      <c r="H16" s="226">
        <v>1800</v>
      </c>
      <c r="I16" s="227">
        <v>1800</v>
      </c>
      <c r="J16" s="224" t="s">
        <v>147</v>
      </c>
      <c r="K16" s="224" t="s">
        <v>41</v>
      </c>
      <c r="M16">
        <f t="shared" si="0"/>
        <v>360</v>
      </c>
      <c r="P16" s="293" t="s">
        <v>465</v>
      </c>
      <c r="Q16" s="69">
        <f>SUM(H103,H111)</f>
        <v>1400</v>
      </c>
      <c r="R16">
        <v>2</v>
      </c>
    </row>
    <row r="17" spans="1:20" x14ac:dyDescent="0.25">
      <c r="A17" s="228">
        <v>1</v>
      </c>
      <c r="B17" s="230" t="s">
        <v>613</v>
      </c>
      <c r="C17" s="230" t="s">
        <v>160</v>
      </c>
      <c r="D17" s="224" t="s">
        <v>614</v>
      </c>
      <c r="E17" s="224" t="s">
        <v>56</v>
      </c>
      <c r="F17" s="225"/>
      <c r="G17" s="292" t="s">
        <v>465</v>
      </c>
      <c r="H17" s="226">
        <v>3000</v>
      </c>
      <c r="I17" s="227">
        <v>3000</v>
      </c>
      <c r="J17" s="224" t="s">
        <v>147</v>
      </c>
      <c r="K17" s="224" t="s">
        <v>41</v>
      </c>
      <c r="M17">
        <f t="shared" si="0"/>
        <v>600</v>
      </c>
      <c r="O17" s="69"/>
      <c r="P17" s="272" t="s">
        <v>949</v>
      </c>
      <c r="Q17" s="69"/>
    </row>
    <row r="18" spans="1:20" x14ac:dyDescent="0.25">
      <c r="A18" s="228">
        <v>1</v>
      </c>
      <c r="B18" s="230" t="s">
        <v>615</v>
      </c>
      <c r="C18" s="230" t="s">
        <v>160</v>
      </c>
      <c r="D18" s="224" t="s">
        <v>196</v>
      </c>
      <c r="E18" s="224" t="s">
        <v>56</v>
      </c>
      <c r="F18" s="225" t="s">
        <v>616</v>
      </c>
      <c r="G18" s="292" t="s">
        <v>465</v>
      </c>
      <c r="H18" s="226">
        <v>1000</v>
      </c>
      <c r="I18" s="227">
        <v>1000</v>
      </c>
      <c r="J18" s="224" t="s">
        <v>147</v>
      </c>
      <c r="K18" s="224" t="s">
        <v>41</v>
      </c>
      <c r="M18">
        <f t="shared" si="0"/>
        <v>200</v>
      </c>
      <c r="P18" t="s">
        <v>138</v>
      </c>
      <c r="Q18" s="30">
        <f>SUM(H115:H129,H131:H184,H185:H187,H188:H190)</f>
        <v>204695</v>
      </c>
      <c r="R18">
        <v>58</v>
      </c>
      <c r="S18">
        <v>14</v>
      </c>
      <c r="T18" t="s">
        <v>963</v>
      </c>
    </row>
    <row r="19" spans="1:20" x14ac:dyDescent="0.25">
      <c r="A19" s="228">
        <v>1</v>
      </c>
      <c r="B19" s="230" t="s">
        <v>617</v>
      </c>
      <c r="C19" s="230" t="s">
        <v>160</v>
      </c>
      <c r="D19" s="224" t="s">
        <v>618</v>
      </c>
      <c r="E19" s="224" t="s">
        <v>43</v>
      </c>
      <c r="F19" s="225" t="s">
        <v>619</v>
      </c>
      <c r="G19" s="292" t="s">
        <v>465</v>
      </c>
      <c r="H19" s="226">
        <v>500</v>
      </c>
      <c r="I19" s="227">
        <v>500</v>
      </c>
      <c r="J19" s="224" t="s">
        <v>147</v>
      </c>
      <c r="K19" s="224" t="s">
        <v>41</v>
      </c>
      <c r="M19">
        <f t="shared" si="0"/>
        <v>100</v>
      </c>
      <c r="O19" s="30"/>
      <c r="P19" s="293" t="s">
        <v>465</v>
      </c>
      <c r="Q19" s="69">
        <v>400</v>
      </c>
      <c r="R19">
        <v>1</v>
      </c>
    </row>
    <row r="20" spans="1:20" s="62" customFormat="1" x14ac:dyDescent="0.25">
      <c r="A20" s="228">
        <v>1</v>
      </c>
      <c r="B20" s="230" t="s">
        <v>620</v>
      </c>
      <c r="C20" s="230" t="s">
        <v>160</v>
      </c>
      <c r="D20" s="224" t="s">
        <v>621</v>
      </c>
      <c r="E20" s="224" t="s">
        <v>69</v>
      </c>
      <c r="F20" s="225" t="s">
        <v>622</v>
      </c>
      <c r="G20" s="100" t="s">
        <v>40</v>
      </c>
      <c r="H20" s="226">
        <v>2000</v>
      </c>
      <c r="I20" s="227">
        <v>400</v>
      </c>
      <c r="J20" s="224" t="s">
        <v>147</v>
      </c>
      <c r="K20" s="224" t="s">
        <v>41</v>
      </c>
      <c r="M20" s="62">
        <f t="shared" si="0"/>
        <v>400</v>
      </c>
    </row>
    <row r="21" spans="1:20" x14ac:dyDescent="0.25">
      <c r="A21" s="228">
        <v>1</v>
      </c>
      <c r="B21" s="230" t="s">
        <v>623</v>
      </c>
      <c r="C21" s="230" t="s">
        <v>160</v>
      </c>
      <c r="D21" s="224" t="s">
        <v>430</v>
      </c>
      <c r="E21" s="224" t="s">
        <v>46</v>
      </c>
      <c r="F21" s="225" t="s">
        <v>624</v>
      </c>
      <c r="G21" s="100" t="s">
        <v>40</v>
      </c>
      <c r="H21" s="226">
        <v>1800</v>
      </c>
      <c r="I21" s="227">
        <v>360</v>
      </c>
      <c r="J21" s="224" t="s">
        <v>147</v>
      </c>
      <c r="K21" s="224" t="s">
        <v>41</v>
      </c>
      <c r="M21">
        <f t="shared" si="0"/>
        <v>360</v>
      </c>
    </row>
    <row r="22" spans="1:20" x14ac:dyDescent="0.25">
      <c r="A22" s="228">
        <v>1</v>
      </c>
      <c r="B22" s="230" t="s">
        <v>623</v>
      </c>
      <c r="C22" s="230" t="s">
        <v>160</v>
      </c>
      <c r="D22" s="224" t="s">
        <v>430</v>
      </c>
      <c r="E22" s="224" t="s">
        <v>46</v>
      </c>
      <c r="F22" s="225" t="s">
        <v>624</v>
      </c>
      <c r="G22" s="292" t="s">
        <v>465</v>
      </c>
      <c r="H22" s="226">
        <v>250</v>
      </c>
      <c r="I22" s="227">
        <v>250</v>
      </c>
      <c r="J22" s="224" t="s">
        <v>147</v>
      </c>
      <c r="K22" s="224" t="s">
        <v>41</v>
      </c>
      <c r="M22">
        <f t="shared" si="0"/>
        <v>50</v>
      </c>
    </row>
    <row r="23" spans="1:20" x14ac:dyDescent="0.25">
      <c r="A23" s="228">
        <v>1</v>
      </c>
      <c r="B23" s="230" t="s">
        <v>625</v>
      </c>
      <c r="C23" s="286" t="s">
        <v>163</v>
      </c>
      <c r="D23" s="224" t="s">
        <v>626</v>
      </c>
      <c r="E23" s="224" t="s">
        <v>85</v>
      </c>
      <c r="F23" s="225" t="s">
        <v>627</v>
      </c>
      <c r="G23" s="292" t="s">
        <v>465</v>
      </c>
      <c r="H23" s="226">
        <v>1000</v>
      </c>
      <c r="I23" s="227">
        <v>1000</v>
      </c>
      <c r="J23" s="224" t="s">
        <v>147</v>
      </c>
      <c r="K23" s="224" t="s">
        <v>41</v>
      </c>
      <c r="M23">
        <f t="shared" si="0"/>
        <v>200</v>
      </c>
      <c r="Q23" s="69"/>
    </row>
    <row r="24" spans="1:20" x14ac:dyDescent="0.25">
      <c r="A24" s="228">
        <v>1</v>
      </c>
      <c r="B24" s="230" t="s">
        <v>628</v>
      </c>
      <c r="C24" s="230" t="s">
        <v>160</v>
      </c>
      <c r="D24" s="224" t="s">
        <v>629</v>
      </c>
      <c r="E24" s="224" t="s">
        <v>43</v>
      </c>
      <c r="F24" s="225" t="s">
        <v>630</v>
      </c>
      <c r="G24" s="292" t="s">
        <v>465</v>
      </c>
      <c r="H24" s="226">
        <v>100</v>
      </c>
      <c r="I24" s="227">
        <v>100</v>
      </c>
      <c r="J24" s="224" t="s">
        <v>147</v>
      </c>
      <c r="K24" s="224" t="s">
        <v>41</v>
      </c>
      <c r="M24">
        <f t="shared" si="0"/>
        <v>20</v>
      </c>
      <c r="P24" s="30"/>
    </row>
    <row r="25" spans="1:20" x14ac:dyDescent="0.25">
      <c r="A25" s="228">
        <v>1</v>
      </c>
      <c r="B25" s="230" t="s">
        <v>631</v>
      </c>
      <c r="C25" s="230" t="s">
        <v>160</v>
      </c>
      <c r="D25" s="230" t="s">
        <v>290</v>
      </c>
      <c r="E25" s="230" t="s">
        <v>42</v>
      </c>
      <c r="F25" s="231" t="s">
        <v>632</v>
      </c>
      <c r="G25" s="100" t="s">
        <v>40</v>
      </c>
      <c r="H25" s="232">
        <v>500</v>
      </c>
      <c r="I25" s="229">
        <v>100</v>
      </c>
      <c r="J25" s="224" t="s">
        <v>147</v>
      </c>
      <c r="K25" s="224" t="s">
        <v>41</v>
      </c>
      <c r="M25">
        <f t="shared" si="0"/>
        <v>100</v>
      </c>
      <c r="P25" s="30"/>
    </row>
    <row r="26" spans="1:20" x14ac:dyDescent="0.25">
      <c r="A26" s="228">
        <v>1</v>
      </c>
      <c r="B26" s="230" t="s">
        <v>631</v>
      </c>
      <c r="C26" s="230" t="s">
        <v>160</v>
      </c>
      <c r="D26" s="230" t="s">
        <v>290</v>
      </c>
      <c r="E26" s="230" t="s">
        <v>42</v>
      </c>
      <c r="F26" s="231" t="s">
        <v>632</v>
      </c>
      <c r="G26" s="292" t="s">
        <v>465</v>
      </c>
      <c r="H26" s="232">
        <v>500</v>
      </c>
      <c r="I26" s="229">
        <v>500</v>
      </c>
      <c r="J26" s="224" t="s">
        <v>147</v>
      </c>
      <c r="K26" s="224" t="s">
        <v>41</v>
      </c>
      <c r="M26">
        <f t="shared" si="0"/>
        <v>100</v>
      </c>
      <c r="P26" s="30"/>
      <c r="Q26" s="30"/>
    </row>
    <row r="27" spans="1:20" x14ac:dyDescent="0.25">
      <c r="A27" s="228">
        <v>1</v>
      </c>
      <c r="B27" s="230" t="s">
        <v>633</v>
      </c>
      <c r="C27" s="230" t="s">
        <v>160</v>
      </c>
      <c r="D27" s="224" t="s">
        <v>634</v>
      </c>
      <c r="E27" s="224" t="s">
        <v>44</v>
      </c>
      <c r="F27" s="225" t="s">
        <v>635</v>
      </c>
      <c r="G27" s="100" t="s">
        <v>40</v>
      </c>
      <c r="H27" s="226">
        <v>8000</v>
      </c>
      <c r="I27" s="227">
        <v>1600</v>
      </c>
      <c r="J27" s="224" t="s">
        <v>147</v>
      </c>
      <c r="K27" s="224" t="s">
        <v>41</v>
      </c>
      <c r="M27">
        <f t="shared" si="0"/>
        <v>1600</v>
      </c>
      <c r="Q27" s="69"/>
    </row>
    <row r="28" spans="1:20" x14ac:dyDescent="0.25">
      <c r="A28" s="228">
        <v>1</v>
      </c>
      <c r="B28" s="230" t="s">
        <v>636</v>
      </c>
      <c r="C28" s="230" t="s">
        <v>160</v>
      </c>
      <c r="D28" s="224" t="s">
        <v>637</v>
      </c>
      <c r="E28" s="224" t="s">
        <v>56</v>
      </c>
      <c r="F28" s="225" t="s">
        <v>638</v>
      </c>
      <c r="G28" s="100" t="s">
        <v>40</v>
      </c>
      <c r="H28" s="226">
        <v>1000</v>
      </c>
      <c r="I28" s="227">
        <v>200</v>
      </c>
      <c r="J28" s="224" t="s">
        <v>147</v>
      </c>
      <c r="K28" s="224" t="s">
        <v>41</v>
      </c>
      <c r="M28">
        <f t="shared" si="0"/>
        <v>200</v>
      </c>
      <c r="P28" s="30"/>
    </row>
    <row r="29" spans="1:20" x14ac:dyDescent="0.25">
      <c r="A29" s="228">
        <v>1</v>
      </c>
      <c r="B29" s="230" t="s">
        <v>636</v>
      </c>
      <c r="C29" s="230" t="s">
        <v>160</v>
      </c>
      <c r="D29" s="224" t="s">
        <v>637</v>
      </c>
      <c r="E29" s="224" t="s">
        <v>56</v>
      </c>
      <c r="F29" s="225" t="s">
        <v>638</v>
      </c>
      <c r="G29" s="292" t="s">
        <v>465</v>
      </c>
      <c r="H29" s="226">
        <v>200</v>
      </c>
      <c r="I29" s="227">
        <v>200</v>
      </c>
      <c r="J29" s="224" t="s">
        <v>147</v>
      </c>
      <c r="K29" s="224" t="s">
        <v>41</v>
      </c>
      <c r="M29">
        <f t="shared" si="0"/>
        <v>40</v>
      </c>
    </row>
    <row r="30" spans="1:20" x14ac:dyDescent="0.25">
      <c r="A30" s="228">
        <v>1</v>
      </c>
      <c r="B30" s="230" t="s">
        <v>639</v>
      </c>
      <c r="C30" s="230" t="s">
        <v>160</v>
      </c>
      <c r="D30" s="224" t="s">
        <v>470</v>
      </c>
      <c r="E30" s="224" t="s">
        <v>45</v>
      </c>
      <c r="F30" s="225"/>
      <c r="G30" s="292" t="s">
        <v>465</v>
      </c>
      <c r="H30" s="226">
        <v>10700</v>
      </c>
      <c r="I30" s="227">
        <v>10700</v>
      </c>
      <c r="J30" s="224" t="s">
        <v>147</v>
      </c>
      <c r="K30" s="224" t="s">
        <v>41</v>
      </c>
      <c r="M30">
        <f t="shared" si="0"/>
        <v>2140</v>
      </c>
    </row>
    <row r="31" spans="1:20" x14ac:dyDescent="0.25">
      <c r="A31" s="228">
        <v>1</v>
      </c>
      <c r="B31" s="230" t="s">
        <v>357</v>
      </c>
      <c r="C31" s="230" t="s">
        <v>160</v>
      </c>
      <c r="D31" s="224" t="s">
        <v>358</v>
      </c>
      <c r="E31" s="224" t="s">
        <v>43</v>
      </c>
      <c r="F31" s="225" t="s">
        <v>359</v>
      </c>
      <c r="G31" s="292" t="s">
        <v>465</v>
      </c>
      <c r="H31" s="226">
        <v>200</v>
      </c>
      <c r="I31" s="227">
        <v>200</v>
      </c>
      <c r="J31" s="224" t="s">
        <v>147</v>
      </c>
      <c r="K31" s="224" t="s">
        <v>41</v>
      </c>
      <c r="M31">
        <f t="shared" si="0"/>
        <v>40</v>
      </c>
    </row>
    <row r="32" spans="1:20" x14ac:dyDescent="0.25">
      <c r="A32" s="228">
        <v>1</v>
      </c>
      <c r="B32" s="230" t="s">
        <v>640</v>
      </c>
      <c r="C32" s="230" t="s">
        <v>160</v>
      </c>
      <c r="D32" s="224" t="s">
        <v>167</v>
      </c>
      <c r="E32" s="224" t="s">
        <v>43</v>
      </c>
      <c r="F32" s="225"/>
      <c r="G32" s="100" t="s">
        <v>40</v>
      </c>
      <c r="H32" s="226">
        <v>3000</v>
      </c>
      <c r="I32" s="227">
        <v>600</v>
      </c>
      <c r="J32" s="224" t="s">
        <v>147</v>
      </c>
      <c r="K32" s="224" t="s">
        <v>41</v>
      </c>
      <c r="M32">
        <f t="shared" si="0"/>
        <v>600</v>
      </c>
    </row>
    <row r="33" spans="1:13" x14ac:dyDescent="0.25">
      <c r="A33" s="228">
        <v>1</v>
      </c>
      <c r="B33" s="230" t="s">
        <v>641</v>
      </c>
      <c r="C33" s="230" t="s">
        <v>160</v>
      </c>
      <c r="D33" s="224" t="s">
        <v>317</v>
      </c>
      <c r="E33" s="224" t="s">
        <v>45</v>
      </c>
      <c r="F33" s="225" t="s">
        <v>642</v>
      </c>
      <c r="G33" s="292" t="s">
        <v>465</v>
      </c>
      <c r="H33" s="226">
        <v>400</v>
      </c>
      <c r="I33" s="227">
        <v>400</v>
      </c>
      <c r="J33" s="224" t="s">
        <v>147</v>
      </c>
      <c r="K33" s="224" t="s">
        <v>41</v>
      </c>
      <c r="M33">
        <f t="shared" si="0"/>
        <v>80</v>
      </c>
    </row>
    <row r="34" spans="1:13" x14ac:dyDescent="0.25">
      <c r="A34" s="228">
        <v>1</v>
      </c>
      <c r="B34" s="230" t="s">
        <v>643</v>
      </c>
      <c r="C34" s="230" t="s">
        <v>160</v>
      </c>
      <c r="D34" s="224"/>
      <c r="E34" s="224" t="s">
        <v>42</v>
      </c>
      <c r="F34" s="225" t="s">
        <v>644</v>
      </c>
      <c r="G34" s="100" t="s">
        <v>40</v>
      </c>
      <c r="H34" s="226">
        <v>3000</v>
      </c>
      <c r="I34" s="227">
        <v>600</v>
      </c>
      <c r="J34" s="224" t="s">
        <v>147</v>
      </c>
      <c r="K34" s="224" t="s">
        <v>41</v>
      </c>
      <c r="M34">
        <f t="shared" si="0"/>
        <v>600</v>
      </c>
    </row>
    <row r="35" spans="1:13" x14ac:dyDescent="0.25">
      <c r="A35" s="228">
        <v>1</v>
      </c>
      <c r="B35" s="230" t="s">
        <v>643</v>
      </c>
      <c r="C35" s="230" t="s">
        <v>160</v>
      </c>
      <c r="D35" s="224"/>
      <c r="E35" s="224" t="s">
        <v>42</v>
      </c>
      <c r="F35" s="225" t="s">
        <v>644</v>
      </c>
      <c r="G35" s="292" t="s">
        <v>465</v>
      </c>
      <c r="H35" s="226">
        <v>2000</v>
      </c>
      <c r="I35" s="227">
        <v>2000</v>
      </c>
      <c r="J35" s="224" t="s">
        <v>147</v>
      </c>
      <c r="K35" s="224" t="s">
        <v>41</v>
      </c>
      <c r="M35">
        <f t="shared" si="0"/>
        <v>400</v>
      </c>
    </row>
    <row r="36" spans="1:13" x14ac:dyDescent="0.25">
      <c r="A36" s="228">
        <v>1</v>
      </c>
      <c r="B36" s="230" t="s">
        <v>645</v>
      </c>
      <c r="C36" s="230" t="s">
        <v>160</v>
      </c>
      <c r="D36" s="224" t="s">
        <v>646</v>
      </c>
      <c r="E36" s="224" t="s">
        <v>47</v>
      </c>
      <c r="F36" s="225"/>
      <c r="G36" s="100" t="s">
        <v>40</v>
      </c>
      <c r="H36" s="226">
        <v>4000</v>
      </c>
      <c r="I36" s="227">
        <v>800</v>
      </c>
      <c r="J36" s="224" t="s">
        <v>147</v>
      </c>
      <c r="K36" s="224" t="s">
        <v>41</v>
      </c>
      <c r="M36">
        <f t="shared" si="0"/>
        <v>800</v>
      </c>
    </row>
    <row r="37" spans="1:13" x14ac:dyDescent="0.25">
      <c r="A37" s="228">
        <v>1</v>
      </c>
      <c r="B37" s="230" t="s">
        <v>647</v>
      </c>
      <c r="C37" s="230" t="s">
        <v>160</v>
      </c>
      <c r="D37" s="224" t="s">
        <v>201</v>
      </c>
      <c r="E37" s="224" t="s">
        <v>45</v>
      </c>
      <c r="F37" s="225" t="s">
        <v>648</v>
      </c>
      <c r="G37" s="100" t="s">
        <v>40</v>
      </c>
      <c r="H37" s="226">
        <v>500</v>
      </c>
      <c r="I37" s="227">
        <v>100</v>
      </c>
      <c r="J37" s="224" t="s">
        <v>147</v>
      </c>
      <c r="K37" s="224" t="s">
        <v>41</v>
      </c>
      <c r="M37">
        <f t="shared" si="0"/>
        <v>100</v>
      </c>
    </row>
    <row r="38" spans="1:13" x14ac:dyDescent="0.25">
      <c r="A38" s="228">
        <v>1</v>
      </c>
      <c r="B38" s="230" t="s">
        <v>647</v>
      </c>
      <c r="C38" s="230" t="s">
        <v>160</v>
      </c>
      <c r="D38" s="224" t="s">
        <v>201</v>
      </c>
      <c r="E38" s="224" t="s">
        <v>45</v>
      </c>
      <c r="F38" s="225" t="s">
        <v>648</v>
      </c>
      <c r="G38" s="292" t="s">
        <v>465</v>
      </c>
      <c r="H38" s="234">
        <v>500</v>
      </c>
      <c r="I38" s="235">
        <v>500</v>
      </c>
      <c r="J38" s="224" t="s">
        <v>147</v>
      </c>
      <c r="K38" s="224" t="s">
        <v>41</v>
      </c>
      <c r="M38">
        <f t="shared" si="0"/>
        <v>100</v>
      </c>
    </row>
    <row r="39" spans="1:13" x14ac:dyDescent="0.25">
      <c r="A39" s="228">
        <v>1</v>
      </c>
      <c r="B39" s="230" t="s">
        <v>649</v>
      </c>
      <c r="C39" s="230" t="s">
        <v>160</v>
      </c>
      <c r="D39" s="224" t="s">
        <v>358</v>
      </c>
      <c r="E39" s="224" t="s">
        <v>43</v>
      </c>
      <c r="F39" s="225"/>
      <c r="G39" s="224" t="s">
        <v>40</v>
      </c>
      <c r="H39" s="234">
        <v>1000</v>
      </c>
      <c r="I39" s="235">
        <v>200</v>
      </c>
      <c r="J39" s="224" t="s">
        <v>147</v>
      </c>
      <c r="K39" s="224" t="s">
        <v>41</v>
      </c>
      <c r="M39">
        <f t="shared" si="0"/>
        <v>200</v>
      </c>
    </row>
    <row r="40" spans="1:13" x14ac:dyDescent="0.25">
      <c r="A40" s="228">
        <v>1</v>
      </c>
      <c r="B40" s="230" t="s">
        <v>650</v>
      </c>
      <c r="C40" s="230" t="s">
        <v>160</v>
      </c>
      <c r="D40" s="224" t="s">
        <v>234</v>
      </c>
      <c r="E40" s="224" t="s">
        <v>49</v>
      </c>
      <c r="F40" s="225" t="s">
        <v>651</v>
      </c>
      <c r="G40" s="292" t="s">
        <v>465</v>
      </c>
      <c r="H40" s="234">
        <v>500</v>
      </c>
      <c r="I40" s="235">
        <v>500</v>
      </c>
      <c r="J40" s="224" t="s">
        <v>147</v>
      </c>
      <c r="K40" s="224" t="s">
        <v>41</v>
      </c>
      <c r="M40">
        <f t="shared" si="0"/>
        <v>100</v>
      </c>
    </row>
    <row r="41" spans="1:13" x14ac:dyDescent="0.25">
      <c r="A41" s="228">
        <v>1</v>
      </c>
      <c r="B41" s="230" t="s">
        <v>652</v>
      </c>
      <c r="C41" s="230" t="s">
        <v>160</v>
      </c>
      <c r="D41" s="224" t="s">
        <v>653</v>
      </c>
      <c r="E41" s="224" t="s">
        <v>59</v>
      </c>
      <c r="F41" s="225" t="s">
        <v>654</v>
      </c>
      <c r="G41" s="292" t="s">
        <v>465</v>
      </c>
      <c r="H41" s="234">
        <v>2000</v>
      </c>
      <c r="I41" s="235">
        <v>2000</v>
      </c>
      <c r="J41" s="224" t="s">
        <v>147</v>
      </c>
      <c r="K41" s="224" t="s">
        <v>41</v>
      </c>
      <c r="M41">
        <f t="shared" si="0"/>
        <v>400</v>
      </c>
    </row>
    <row r="42" spans="1:13" s="62" customFormat="1" x14ac:dyDescent="0.25">
      <c r="A42" s="228">
        <v>1</v>
      </c>
      <c r="B42" s="230" t="s">
        <v>655</v>
      </c>
      <c r="C42" s="230" t="s">
        <v>160</v>
      </c>
      <c r="D42" s="224" t="s">
        <v>656</v>
      </c>
      <c r="E42" s="224" t="s">
        <v>48</v>
      </c>
      <c r="F42" s="225"/>
      <c r="G42" s="224" t="s">
        <v>40</v>
      </c>
      <c r="H42" s="234">
        <v>2000</v>
      </c>
      <c r="I42" s="235" t="s">
        <v>152</v>
      </c>
      <c r="J42" s="224" t="s">
        <v>147</v>
      </c>
      <c r="K42" s="224" t="s">
        <v>41</v>
      </c>
      <c r="M42" s="62">
        <f t="shared" si="0"/>
        <v>400</v>
      </c>
    </row>
    <row r="43" spans="1:13" s="62" customFormat="1" x14ac:dyDescent="0.25">
      <c r="A43" s="228">
        <v>1</v>
      </c>
      <c r="B43" s="230" t="s">
        <v>657</v>
      </c>
      <c r="C43" s="230" t="s">
        <v>160</v>
      </c>
      <c r="D43" s="224" t="s">
        <v>467</v>
      </c>
      <c r="E43" s="224" t="s">
        <v>69</v>
      </c>
      <c r="F43" s="225" t="s">
        <v>658</v>
      </c>
      <c r="G43" s="224" t="s">
        <v>40</v>
      </c>
      <c r="H43" s="234">
        <v>2000</v>
      </c>
      <c r="I43" s="235" t="s">
        <v>152</v>
      </c>
      <c r="J43" s="224" t="s">
        <v>147</v>
      </c>
      <c r="K43" s="224" t="s">
        <v>41</v>
      </c>
      <c r="M43" s="62">
        <f t="shared" si="0"/>
        <v>400</v>
      </c>
    </row>
    <row r="44" spans="1:13" s="62" customFormat="1" x14ac:dyDescent="0.25">
      <c r="A44" s="228">
        <v>1</v>
      </c>
      <c r="B44" s="230" t="s">
        <v>659</v>
      </c>
      <c r="C44" s="230" t="s">
        <v>160</v>
      </c>
      <c r="D44" s="224" t="s">
        <v>161</v>
      </c>
      <c r="E44" s="224" t="s">
        <v>54</v>
      </c>
      <c r="F44" s="225"/>
      <c r="G44" s="224" t="s">
        <v>40</v>
      </c>
      <c r="H44" s="234">
        <v>1000</v>
      </c>
      <c r="I44" s="235">
        <v>200</v>
      </c>
      <c r="J44" s="224" t="s">
        <v>147</v>
      </c>
      <c r="K44" s="224" t="s">
        <v>41</v>
      </c>
      <c r="M44" s="62">
        <f t="shared" si="0"/>
        <v>200</v>
      </c>
    </row>
    <row r="45" spans="1:13" s="62" customFormat="1" x14ac:dyDescent="0.25">
      <c r="A45" s="228">
        <v>1</v>
      </c>
      <c r="B45" s="230" t="s">
        <v>660</v>
      </c>
      <c r="C45" s="230" t="s">
        <v>160</v>
      </c>
      <c r="D45" s="224" t="s">
        <v>661</v>
      </c>
      <c r="E45" s="224" t="s">
        <v>55</v>
      </c>
      <c r="F45" s="225" t="s">
        <v>662</v>
      </c>
      <c r="G45" s="224" t="s">
        <v>40</v>
      </c>
      <c r="H45" s="234">
        <v>6500</v>
      </c>
      <c r="I45" s="235">
        <v>1300</v>
      </c>
      <c r="J45" s="224" t="s">
        <v>147</v>
      </c>
      <c r="K45" s="224" t="s">
        <v>41</v>
      </c>
      <c r="M45" s="62">
        <f t="shared" si="0"/>
        <v>1300</v>
      </c>
    </row>
    <row r="46" spans="1:13" s="62" customFormat="1" x14ac:dyDescent="0.25">
      <c r="A46" s="228">
        <v>1</v>
      </c>
      <c r="B46" s="230" t="s">
        <v>660</v>
      </c>
      <c r="C46" s="230" t="s">
        <v>160</v>
      </c>
      <c r="D46" s="224" t="s">
        <v>661</v>
      </c>
      <c r="E46" s="224" t="s">
        <v>55</v>
      </c>
      <c r="F46" s="225" t="s">
        <v>662</v>
      </c>
      <c r="G46" s="292" t="s">
        <v>465</v>
      </c>
      <c r="H46" s="234">
        <v>200</v>
      </c>
      <c r="I46" s="235">
        <v>200</v>
      </c>
      <c r="J46" s="224" t="s">
        <v>147</v>
      </c>
      <c r="K46" s="224" t="s">
        <v>41</v>
      </c>
      <c r="M46" s="62">
        <f t="shared" si="0"/>
        <v>40</v>
      </c>
    </row>
    <row r="47" spans="1:13" s="62" customFormat="1" x14ac:dyDescent="0.25">
      <c r="A47" s="228">
        <v>5</v>
      </c>
      <c r="B47" s="230" t="s">
        <v>663</v>
      </c>
      <c r="C47" s="230" t="s">
        <v>160</v>
      </c>
      <c r="D47" s="230" t="s">
        <v>621</v>
      </c>
      <c r="E47" s="230" t="s">
        <v>69</v>
      </c>
      <c r="F47" s="231" t="s">
        <v>664</v>
      </c>
      <c r="G47" s="230" t="s">
        <v>40</v>
      </c>
      <c r="H47" s="236">
        <v>1000</v>
      </c>
      <c r="I47" s="235" t="s">
        <v>152</v>
      </c>
      <c r="J47" s="224" t="s">
        <v>147</v>
      </c>
      <c r="K47" s="224" t="s">
        <v>41</v>
      </c>
      <c r="M47" s="62">
        <f t="shared" si="0"/>
        <v>200</v>
      </c>
    </row>
    <row r="48" spans="1:13" s="62" customFormat="1" x14ac:dyDescent="0.25">
      <c r="A48" s="228">
        <v>5</v>
      </c>
      <c r="B48" s="230" t="s">
        <v>665</v>
      </c>
      <c r="C48" s="230" t="s">
        <v>160</v>
      </c>
      <c r="D48" s="230" t="s">
        <v>666</v>
      </c>
      <c r="E48" s="230" t="s">
        <v>69</v>
      </c>
      <c r="F48" s="231" t="s">
        <v>667</v>
      </c>
      <c r="G48" s="230" t="s">
        <v>40</v>
      </c>
      <c r="H48" s="236">
        <v>10500</v>
      </c>
      <c r="I48" s="235" t="s">
        <v>152</v>
      </c>
      <c r="J48" s="224" t="s">
        <v>147</v>
      </c>
      <c r="K48" s="224" t="s">
        <v>41</v>
      </c>
      <c r="M48" s="62">
        <f t="shared" si="0"/>
        <v>2100</v>
      </c>
    </row>
    <row r="49" spans="1:17" s="62" customFormat="1" x14ac:dyDescent="0.25">
      <c r="A49" s="228">
        <v>5</v>
      </c>
      <c r="B49" s="230" t="s">
        <v>668</v>
      </c>
      <c r="C49" s="269" t="s">
        <v>163</v>
      </c>
      <c r="D49" s="230" t="s">
        <v>407</v>
      </c>
      <c r="E49" s="230" t="s">
        <v>42</v>
      </c>
      <c r="F49" s="231" t="s">
        <v>669</v>
      </c>
      <c r="G49" s="230" t="s">
        <v>40</v>
      </c>
      <c r="H49" s="236">
        <v>1000</v>
      </c>
      <c r="I49" s="235">
        <v>200</v>
      </c>
      <c r="J49" s="224" t="s">
        <v>147</v>
      </c>
      <c r="K49" s="224" t="s">
        <v>41</v>
      </c>
      <c r="M49" s="62">
        <f t="shared" si="0"/>
        <v>200</v>
      </c>
    </row>
    <row r="50" spans="1:17" s="62" customFormat="1" x14ac:dyDescent="0.25">
      <c r="A50" s="228">
        <v>5</v>
      </c>
      <c r="B50" s="230" t="s">
        <v>668</v>
      </c>
      <c r="C50" s="269" t="s">
        <v>163</v>
      </c>
      <c r="D50" s="230" t="s">
        <v>407</v>
      </c>
      <c r="E50" s="230" t="s">
        <v>42</v>
      </c>
      <c r="F50" s="231" t="s">
        <v>669</v>
      </c>
      <c r="G50" s="230" t="s">
        <v>40</v>
      </c>
      <c r="H50" s="236">
        <v>1500</v>
      </c>
      <c r="I50" s="235" t="s">
        <v>152</v>
      </c>
      <c r="J50" s="224" t="s">
        <v>147</v>
      </c>
      <c r="K50" s="224" t="s">
        <v>41</v>
      </c>
      <c r="M50" s="62">
        <f t="shared" si="0"/>
        <v>300</v>
      </c>
    </row>
    <row r="51" spans="1:17" s="62" customFormat="1" x14ac:dyDescent="0.25">
      <c r="A51" s="228">
        <v>5</v>
      </c>
      <c r="B51" s="230" t="s">
        <v>670</v>
      </c>
      <c r="C51" s="230" t="s">
        <v>160</v>
      </c>
      <c r="D51" s="230" t="s">
        <v>671</v>
      </c>
      <c r="E51" s="230" t="s">
        <v>58</v>
      </c>
      <c r="F51" s="231" t="s">
        <v>672</v>
      </c>
      <c r="G51" s="230" t="s">
        <v>40</v>
      </c>
      <c r="H51" s="236">
        <v>750</v>
      </c>
      <c r="I51" s="235">
        <v>150</v>
      </c>
      <c r="J51" s="224" t="s">
        <v>147</v>
      </c>
      <c r="K51" s="224" t="s">
        <v>41</v>
      </c>
      <c r="M51" s="62">
        <f t="shared" si="0"/>
        <v>150</v>
      </c>
    </row>
    <row r="52" spans="1:17" s="62" customFormat="1" x14ac:dyDescent="0.25">
      <c r="A52" s="228">
        <v>5</v>
      </c>
      <c r="B52" s="230" t="s">
        <v>673</v>
      </c>
      <c r="C52" s="230" t="s">
        <v>160</v>
      </c>
      <c r="D52" s="230" t="s">
        <v>331</v>
      </c>
      <c r="E52" s="230" t="s">
        <v>54</v>
      </c>
      <c r="F52" s="231" t="s">
        <v>674</v>
      </c>
      <c r="G52" s="292" t="s">
        <v>465</v>
      </c>
      <c r="H52" s="236">
        <v>2500</v>
      </c>
      <c r="I52" s="235">
        <v>2500</v>
      </c>
      <c r="J52" s="224" t="s">
        <v>147</v>
      </c>
      <c r="K52" s="224" t="s">
        <v>41</v>
      </c>
      <c r="M52" s="62">
        <f t="shared" si="0"/>
        <v>500</v>
      </c>
      <c r="Q52" s="98"/>
    </row>
    <row r="53" spans="1:17" s="62" customFormat="1" x14ac:dyDescent="0.25">
      <c r="A53" s="228">
        <v>5</v>
      </c>
      <c r="B53" s="230" t="s">
        <v>675</v>
      </c>
      <c r="C53" s="230" t="s">
        <v>160</v>
      </c>
      <c r="D53" s="230"/>
      <c r="E53" s="230" t="s">
        <v>42</v>
      </c>
      <c r="F53" s="231" t="s">
        <v>676</v>
      </c>
      <c r="G53" s="230" t="s">
        <v>40</v>
      </c>
      <c r="H53" s="236">
        <v>3000</v>
      </c>
      <c r="I53" s="235">
        <v>600</v>
      </c>
      <c r="J53" s="224" t="s">
        <v>147</v>
      </c>
      <c r="K53" s="224" t="s">
        <v>41</v>
      </c>
      <c r="M53" s="62">
        <f t="shared" si="0"/>
        <v>600</v>
      </c>
    </row>
    <row r="54" spans="1:17" s="62" customFormat="1" x14ac:dyDescent="0.25">
      <c r="A54" s="228">
        <v>5</v>
      </c>
      <c r="B54" s="230" t="s">
        <v>675</v>
      </c>
      <c r="C54" s="230" t="s">
        <v>160</v>
      </c>
      <c r="D54" s="230"/>
      <c r="E54" s="230" t="s">
        <v>42</v>
      </c>
      <c r="F54" s="231" t="s">
        <v>676</v>
      </c>
      <c r="G54" s="292" t="s">
        <v>465</v>
      </c>
      <c r="H54" s="236">
        <v>500</v>
      </c>
      <c r="I54" s="235">
        <v>500</v>
      </c>
      <c r="J54" s="224" t="s">
        <v>147</v>
      </c>
      <c r="K54" s="224" t="s">
        <v>41</v>
      </c>
      <c r="M54" s="62">
        <f t="shared" si="0"/>
        <v>100</v>
      </c>
    </row>
    <row r="55" spans="1:17" s="62" customFormat="1" x14ac:dyDescent="0.25">
      <c r="A55" s="228">
        <v>5</v>
      </c>
      <c r="B55" s="230" t="s">
        <v>677</v>
      </c>
      <c r="C55" s="230" t="s">
        <v>160</v>
      </c>
      <c r="D55" s="230" t="s">
        <v>678</v>
      </c>
      <c r="E55" s="230" t="s">
        <v>43</v>
      </c>
      <c r="F55" s="231" t="s">
        <v>679</v>
      </c>
      <c r="G55" s="230" t="s">
        <v>40</v>
      </c>
      <c r="H55" s="236">
        <v>400</v>
      </c>
      <c r="I55" s="235">
        <v>80</v>
      </c>
      <c r="J55" s="224" t="s">
        <v>147</v>
      </c>
      <c r="K55" s="224" t="s">
        <v>41</v>
      </c>
      <c r="M55" s="62">
        <f t="shared" si="0"/>
        <v>80</v>
      </c>
    </row>
    <row r="56" spans="1:17" s="62" customFormat="1" x14ac:dyDescent="0.25">
      <c r="A56" s="228">
        <v>5</v>
      </c>
      <c r="B56" s="230" t="s">
        <v>680</v>
      </c>
      <c r="C56" s="230" t="s">
        <v>160</v>
      </c>
      <c r="D56" s="230" t="s">
        <v>290</v>
      </c>
      <c r="E56" s="230" t="s">
        <v>42</v>
      </c>
      <c r="F56" s="231" t="s">
        <v>681</v>
      </c>
      <c r="G56" s="230" t="s">
        <v>40</v>
      </c>
      <c r="H56" s="236">
        <v>3000</v>
      </c>
      <c r="I56" s="235">
        <v>600</v>
      </c>
      <c r="J56" s="224" t="s">
        <v>147</v>
      </c>
      <c r="K56" s="224" t="s">
        <v>41</v>
      </c>
      <c r="M56" s="62">
        <f t="shared" si="0"/>
        <v>600</v>
      </c>
    </row>
    <row r="57" spans="1:17" s="62" customFormat="1" x14ac:dyDescent="0.25">
      <c r="A57" s="228">
        <v>5</v>
      </c>
      <c r="B57" s="230" t="s">
        <v>682</v>
      </c>
      <c r="C57" s="230" t="s">
        <v>160</v>
      </c>
      <c r="D57" s="230" t="s">
        <v>196</v>
      </c>
      <c r="E57" s="230" t="s">
        <v>56</v>
      </c>
      <c r="F57" s="231"/>
      <c r="G57" s="292" t="s">
        <v>465</v>
      </c>
      <c r="H57" s="236">
        <v>5000</v>
      </c>
      <c r="I57" s="235">
        <v>5000</v>
      </c>
      <c r="J57" s="224" t="s">
        <v>147</v>
      </c>
      <c r="K57" s="224" t="s">
        <v>41</v>
      </c>
      <c r="M57" s="62">
        <f t="shared" si="0"/>
        <v>1000</v>
      </c>
    </row>
    <row r="58" spans="1:17" s="62" customFormat="1" x14ac:dyDescent="0.25">
      <c r="A58" s="228">
        <v>5</v>
      </c>
      <c r="B58" s="230" t="s">
        <v>683</v>
      </c>
      <c r="C58" s="230" t="s">
        <v>160</v>
      </c>
      <c r="D58" s="230" t="s">
        <v>167</v>
      </c>
      <c r="E58" s="230" t="s">
        <v>43</v>
      </c>
      <c r="F58" s="231"/>
      <c r="G58" s="292" t="s">
        <v>465</v>
      </c>
      <c r="H58" s="236">
        <v>200</v>
      </c>
      <c r="I58" s="235">
        <v>200</v>
      </c>
      <c r="J58" s="224" t="s">
        <v>147</v>
      </c>
      <c r="K58" s="224" t="s">
        <v>41</v>
      </c>
      <c r="M58" s="62">
        <f t="shared" si="0"/>
        <v>40</v>
      </c>
    </row>
    <row r="59" spans="1:17" s="62" customFormat="1" x14ac:dyDescent="0.25">
      <c r="A59" s="228">
        <v>5</v>
      </c>
      <c r="B59" s="230" t="s">
        <v>684</v>
      </c>
      <c r="C59" s="269" t="s">
        <v>163</v>
      </c>
      <c r="D59" s="230" t="s">
        <v>685</v>
      </c>
      <c r="E59" s="230" t="s">
        <v>46</v>
      </c>
      <c r="F59" s="231"/>
      <c r="G59" s="230" t="s">
        <v>40</v>
      </c>
      <c r="H59" s="236">
        <v>2500</v>
      </c>
      <c r="I59" s="235">
        <v>500</v>
      </c>
      <c r="J59" s="224" t="s">
        <v>147</v>
      </c>
      <c r="K59" s="224" t="s">
        <v>41</v>
      </c>
      <c r="M59" s="62">
        <f t="shared" si="0"/>
        <v>500</v>
      </c>
    </row>
    <row r="60" spans="1:17" s="62" customFormat="1" x14ac:dyDescent="0.25">
      <c r="A60" s="228">
        <v>5</v>
      </c>
      <c r="B60" s="230" t="s">
        <v>686</v>
      </c>
      <c r="C60" s="230" t="s">
        <v>160</v>
      </c>
      <c r="D60" s="230" t="s">
        <v>313</v>
      </c>
      <c r="E60" s="230" t="s">
        <v>49</v>
      </c>
      <c r="F60" s="231" t="s">
        <v>687</v>
      </c>
      <c r="G60" s="230" t="s">
        <v>40</v>
      </c>
      <c r="H60" s="236">
        <v>2000</v>
      </c>
      <c r="I60" s="235">
        <v>400</v>
      </c>
      <c r="J60" s="224" t="s">
        <v>147</v>
      </c>
      <c r="K60" s="224" t="s">
        <v>41</v>
      </c>
      <c r="M60" s="62">
        <f t="shared" si="0"/>
        <v>400</v>
      </c>
    </row>
    <row r="61" spans="1:17" s="62" customFormat="1" x14ac:dyDescent="0.25">
      <c r="A61" s="228">
        <v>5</v>
      </c>
      <c r="B61" s="230" t="s">
        <v>688</v>
      </c>
      <c r="C61" s="230" t="s">
        <v>160</v>
      </c>
      <c r="D61" s="230" t="s">
        <v>666</v>
      </c>
      <c r="E61" s="230" t="s">
        <v>69</v>
      </c>
      <c r="F61" s="231" t="s">
        <v>689</v>
      </c>
      <c r="G61" s="230" t="s">
        <v>40</v>
      </c>
      <c r="H61" s="236">
        <v>300</v>
      </c>
      <c r="I61" s="235">
        <v>60</v>
      </c>
      <c r="J61" s="224" t="s">
        <v>147</v>
      </c>
      <c r="K61" s="224" t="s">
        <v>41</v>
      </c>
      <c r="M61" s="62">
        <f t="shared" si="0"/>
        <v>60</v>
      </c>
    </row>
    <row r="62" spans="1:17" s="62" customFormat="1" x14ac:dyDescent="0.25">
      <c r="A62" s="228">
        <v>5</v>
      </c>
      <c r="B62" s="230" t="s">
        <v>690</v>
      </c>
      <c r="C62" s="230" t="s">
        <v>160</v>
      </c>
      <c r="D62" s="224" t="s">
        <v>661</v>
      </c>
      <c r="E62" s="224" t="s">
        <v>55</v>
      </c>
      <c r="F62" s="225" t="s">
        <v>691</v>
      </c>
      <c r="G62" s="283" t="s">
        <v>377</v>
      </c>
      <c r="H62" s="234">
        <v>2000</v>
      </c>
      <c r="I62" s="235">
        <v>400</v>
      </c>
      <c r="J62" s="224" t="s">
        <v>147</v>
      </c>
      <c r="K62" s="224" t="s">
        <v>41</v>
      </c>
      <c r="M62" s="62">
        <f t="shared" si="0"/>
        <v>400</v>
      </c>
    </row>
    <row r="63" spans="1:17" s="62" customFormat="1" x14ac:dyDescent="0.25">
      <c r="A63" s="228">
        <v>5</v>
      </c>
      <c r="B63" s="230" t="s">
        <v>692</v>
      </c>
      <c r="C63" s="230" t="s">
        <v>160</v>
      </c>
      <c r="D63" s="224" t="s">
        <v>693</v>
      </c>
      <c r="E63" s="224" t="s">
        <v>57</v>
      </c>
      <c r="F63" s="225" t="s">
        <v>694</v>
      </c>
      <c r="G63" s="292" t="s">
        <v>465</v>
      </c>
      <c r="H63" s="234">
        <v>1000</v>
      </c>
      <c r="I63" s="235">
        <v>1000</v>
      </c>
      <c r="J63" s="224" t="s">
        <v>147</v>
      </c>
      <c r="K63" s="224" t="s">
        <v>41</v>
      </c>
      <c r="M63" s="62">
        <f t="shared" si="0"/>
        <v>200</v>
      </c>
    </row>
    <row r="64" spans="1:17" x14ac:dyDescent="0.25">
      <c r="A64" s="228">
        <v>5</v>
      </c>
      <c r="B64" s="230" t="s">
        <v>695</v>
      </c>
      <c r="C64" s="269" t="s">
        <v>163</v>
      </c>
      <c r="D64" s="224" t="s">
        <v>461</v>
      </c>
      <c r="E64" s="224" t="s">
        <v>45</v>
      </c>
      <c r="F64" s="225" t="s">
        <v>696</v>
      </c>
      <c r="G64" s="224" t="s">
        <v>40</v>
      </c>
      <c r="H64" s="234">
        <v>3000</v>
      </c>
      <c r="I64" s="235">
        <v>600</v>
      </c>
      <c r="J64" s="224" t="s">
        <v>147</v>
      </c>
      <c r="K64" s="224" t="s">
        <v>41</v>
      </c>
      <c r="M64">
        <f t="shared" si="0"/>
        <v>600</v>
      </c>
    </row>
    <row r="65" spans="1:13" x14ac:dyDescent="0.25">
      <c r="A65" s="228">
        <v>5</v>
      </c>
      <c r="B65" s="233" t="s">
        <v>697</v>
      </c>
      <c r="C65" s="230" t="s">
        <v>160</v>
      </c>
      <c r="D65" s="224" t="s">
        <v>60</v>
      </c>
      <c r="E65" s="224" t="s">
        <v>53</v>
      </c>
      <c r="F65" s="225"/>
      <c r="G65" s="224" t="s">
        <v>40</v>
      </c>
      <c r="H65" s="234">
        <v>5500</v>
      </c>
      <c r="I65" s="235">
        <v>1100</v>
      </c>
      <c r="J65" s="224" t="s">
        <v>147</v>
      </c>
      <c r="K65" s="224" t="s">
        <v>41</v>
      </c>
      <c r="M65">
        <f t="shared" si="0"/>
        <v>1100</v>
      </c>
    </row>
    <row r="66" spans="1:13" x14ac:dyDescent="0.25">
      <c r="A66" s="246">
        <v>5</v>
      </c>
      <c r="B66" s="233" t="s">
        <v>698</v>
      </c>
      <c r="C66" s="230" t="s">
        <v>160</v>
      </c>
      <c r="D66" s="224" t="s">
        <v>656</v>
      </c>
      <c r="E66" s="224" t="s">
        <v>48</v>
      </c>
      <c r="F66" s="225"/>
      <c r="G66" s="224" t="s">
        <v>40</v>
      </c>
      <c r="H66" s="234">
        <v>300</v>
      </c>
      <c r="I66" s="235">
        <v>60</v>
      </c>
      <c r="J66" s="224" t="s">
        <v>147</v>
      </c>
      <c r="K66" s="224" t="s">
        <v>41</v>
      </c>
      <c r="M66">
        <f t="shared" si="0"/>
        <v>60</v>
      </c>
    </row>
    <row r="67" spans="1:13" x14ac:dyDescent="0.25">
      <c r="A67" s="246">
        <v>5</v>
      </c>
      <c r="B67" s="233" t="s">
        <v>699</v>
      </c>
      <c r="C67" s="230" t="s">
        <v>160</v>
      </c>
      <c r="D67" s="230" t="s">
        <v>700</v>
      </c>
      <c r="E67" s="230" t="s">
        <v>56</v>
      </c>
      <c r="F67" s="231" t="s">
        <v>701</v>
      </c>
      <c r="G67" s="292" t="s">
        <v>465</v>
      </c>
      <c r="H67" s="236">
        <v>150</v>
      </c>
      <c r="I67" s="271">
        <v>150</v>
      </c>
      <c r="J67" s="230" t="s">
        <v>147</v>
      </c>
      <c r="K67" s="230" t="s">
        <v>41</v>
      </c>
      <c r="M67">
        <f t="shared" si="0"/>
        <v>30</v>
      </c>
    </row>
    <row r="68" spans="1:13" x14ac:dyDescent="0.25">
      <c r="A68" s="246">
        <v>5</v>
      </c>
      <c r="B68" s="233" t="s">
        <v>633</v>
      </c>
      <c r="C68" s="230" t="s">
        <v>160</v>
      </c>
      <c r="D68" s="224" t="s">
        <v>634</v>
      </c>
      <c r="E68" s="224" t="s">
        <v>44</v>
      </c>
      <c r="F68" s="225" t="s">
        <v>635</v>
      </c>
      <c r="G68" s="224" t="s">
        <v>40</v>
      </c>
      <c r="H68" s="234">
        <v>500</v>
      </c>
      <c r="I68" s="235">
        <v>100</v>
      </c>
      <c r="J68" s="224" t="s">
        <v>147</v>
      </c>
      <c r="K68" s="224" t="s">
        <v>41</v>
      </c>
      <c r="M68">
        <f t="shared" si="0"/>
        <v>100</v>
      </c>
    </row>
    <row r="69" spans="1:13" x14ac:dyDescent="0.25">
      <c r="A69" s="246">
        <v>5</v>
      </c>
      <c r="B69" s="233" t="s">
        <v>702</v>
      </c>
      <c r="C69" s="230" t="s">
        <v>160</v>
      </c>
      <c r="D69" s="224" t="s">
        <v>703</v>
      </c>
      <c r="E69" s="224" t="s">
        <v>42</v>
      </c>
      <c r="F69" s="225" t="s">
        <v>704</v>
      </c>
      <c r="G69" s="224" t="s">
        <v>40</v>
      </c>
      <c r="H69" s="234">
        <v>1000</v>
      </c>
      <c r="I69" s="235" t="s">
        <v>152</v>
      </c>
      <c r="J69" s="224" t="s">
        <v>147</v>
      </c>
      <c r="K69" s="224" t="s">
        <v>41</v>
      </c>
      <c r="M69">
        <f t="shared" si="0"/>
        <v>200</v>
      </c>
    </row>
    <row r="70" spans="1:13" x14ac:dyDescent="0.25">
      <c r="A70" s="246">
        <v>5</v>
      </c>
      <c r="B70" s="233" t="s">
        <v>705</v>
      </c>
      <c r="C70" s="230" t="s">
        <v>160</v>
      </c>
      <c r="D70" s="224" t="s">
        <v>498</v>
      </c>
      <c r="E70" s="224" t="s">
        <v>48</v>
      </c>
      <c r="F70" s="225" t="s">
        <v>706</v>
      </c>
      <c r="G70" s="224" t="s">
        <v>40</v>
      </c>
      <c r="H70" s="234">
        <v>2600</v>
      </c>
      <c r="I70" s="235">
        <v>520</v>
      </c>
      <c r="J70" s="224" t="s">
        <v>147</v>
      </c>
      <c r="K70" s="224" t="s">
        <v>41</v>
      </c>
      <c r="M70">
        <f t="shared" si="0"/>
        <v>520</v>
      </c>
    </row>
    <row r="71" spans="1:13" x14ac:dyDescent="0.25">
      <c r="A71" s="246">
        <v>5</v>
      </c>
      <c r="B71" s="233" t="s">
        <v>707</v>
      </c>
      <c r="C71" s="230" t="s">
        <v>160</v>
      </c>
      <c r="D71" s="224"/>
      <c r="E71" s="224" t="s">
        <v>48</v>
      </c>
      <c r="F71" s="225" t="s">
        <v>708</v>
      </c>
      <c r="G71" s="224" t="s">
        <v>40</v>
      </c>
      <c r="H71" s="234">
        <v>50</v>
      </c>
      <c r="I71" s="235">
        <v>10</v>
      </c>
      <c r="J71" s="224" t="s">
        <v>147</v>
      </c>
      <c r="K71" s="224" t="s">
        <v>41</v>
      </c>
      <c r="M71">
        <f t="shared" si="0"/>
        <v>10</v>
      </c>
    </row>
    <row r="72" spans="1:13" x14ac:dyDescent="0.25">
      <c r="A72" s="246">
        <v>5</v>
      </c>
      <c r="B72" s="233" t="s">
        <v>709</v>
      </c>
      <c r="C72" s="269" t="s">
        <v>163</v>
      </c>
      <c r="D72" s="224" t="s">
        <v>180</v>
      </c>
      <c r="E72" s="224" t="s">
        <v>70</v>
      </c>
      <c r="F72" s="225" t="s">
        <v>710</v>
      </c>
      <c r="G72" s="224" t="s">
        <v>40</v>
      </c>
      <c r="H72" s="234">
        <v>100</v>
      </c>
      <c r="I72" s="235">
        <v>20</v>
      </c>
      <c r="J72" s="224" t="s">
        <v>147</v>
      </c>
      <c r="K72" s="224" t="s">
        <v>41</v>
      </c>
      <c r="M72">
        <f t="shared" si="0"/>
        <v>20</v>
      </c>
    </row>
    <row r="73" spans="1:13" x14ac:dyDescent="0.25">
      <c r="A73" s="246">
        <v>5</v>
      </c>
      <c r="B73" s="233" t="s">
        <v>711</v>
      </c>
      <c r="C73" s="230" t="s">
        <v>160</v>
      </c>
      <c r="D73" s="224" t="s">
        <v>712</v>
      </c>
      <c r="E73" s="224" t="s">
        <v>61</v>
      </c>
      <c r="F73" s="225" t="s">
        <v>713</v>
      </c>
      <c r="G73" s="224" t="s">
        <v>40</v>
      </c>
      <c r="H73" s="234">
        <v>1000</v>
      </c>
      <c r="I73" s="235">
        <v>200</v>
      </c>
      <c r="J73" s="224" t="s">
        <v>147</v>
      </c>
      <c r="K73" s="224" t="s">
        <v>41</v>
      </c>
      <c r="M73">
        <f t="shared" si="0"/>
        <v>200</v>
      </c>
    </row>
    <row r="74" spans="1:13" x14ac:dyDescent="0.25">
      <c r="A74" s="246">
        <v>5</v>
      </c>
      <c r="B74" s="233" t="s">
        <v>711</v>
      </c>
      <c r="C74" s="230" t="s">
        <v>160</v>
      </c>
      <c r="D74" s="224" t="s">
        <v>712</v>
      </c>
      <c r="E74" s="224" t="s">
        <v>61</v>
      </c>
      <c r="F74" s="225" t="s">
        <v>713</v>
      </c>
      <c r="G74" s="224" t="s">
        <v>40</v>
      </c>
      <c r="H74" s="234">
        <v>500</v>
      </c>
      <c r="I74" s="235" t="s">
        <v>152</v>
      </c>
      <c r="J74" s="224" t="s">
        <v>147</v>
      </c>
      <c r="K74" s="224" t="s">
        <v>41</v>
      </c>
      <c r="M74">
        <f t="shared" si="0"/>
        <v>100</v>
      </c>
    </row>
    <row r="75" spans="1:13" x14ac:dyDescent="0.25">
      <c r="A75" s="246">
        <v>6</v>
      </c>
      <c r="B75" s="233" t="s">
        <v>714</v>
      </c>
      <c r="C75" s="230" t="s">
        <v>160</v>
      </c>
      <c r="D75" s="224" t="s">
        <v>334</v>
      </c>
      <c r="E75" s="224" t="s">
        <v>55</v>
      </c>
      <c r="F75" s="225" t="s">
        <v>335</v>
      </c>
      <c r="G75" s="224" t="s">
        <v>40</v>
      </c>
      <c r="H75" s="234">
        <v>5100</v>
      </c>
      <c r="I75" s="235">
        <v>1020</v>
      </c>
      <c r="J75" s="224" t="s">
        <v>147</v>
      </c>
      <c r="K75" s="224" t="s">
        <v>41</v>
      </c>
      <c r="M75">
        <f t="shared" si="0"/>
        <v>1020</v>
      </c>
    </row>
    <row r="76" spans="1:13" x14ac:dyDescent="0.25">
      <c r="A76" s="246">
        <v>6</v>
      </c>
      <c r="B76" s="233" t="s">
        <v>715</v>
      </c>
      <c r="C76" s="230" t="s">
        <v>160</v>
      </c>
      <c r="D76" s="224" t="s">
        <v>716</v>
      </c>
      <c r="E76" s="224" t="s">
        <v>59</v>
      </c>
      <c r="F76" s="225" t="s">
        <v>717</v>
      </c>
      <c r="G76" s="292" t="s">
        <v>465</v>
      </c>
      <c r="H76" s="234">
        <v>800</v>
      </c>
      <c r="I76" s="235">
        <v>800</v>
      </c>
      <c r="J76" s="224" t="s">
        <v>147</v>
      </c>
      <c r="K76" s="224" t="s">
        <v>41</v>
      </c>
      <c r="M76">
        <f t="shared" si="0"/>
        <v>160</v>
      </c>
    </row>
    <row r="77" spans="1:13" x14ac:dyDescent="0.25">
      <c r="A77" s="246">
        <v>6</v>
      </c>
      <c r="B77" s="233" t="s">
        <v>718</v>
      </c>
      <c r="C77" s="269" t="s">
        <v>163</v>
      </c>
      <c r="D77" s="224" t="s">
        <v>194</v>
      </c>
      <c r="E77" s="224" t="s">
        <v>43</v>
      </c>
      <c r="F77" s="225" t="s">
        <v>719</v>
      </c>
      <c r="G77" s="224" t="s">
        <v>40</v>
      </c>
      <c r="H77" s="234">
        <v>3000</v>
      </c>
      <c r="I77" s="235">
        <v>600</v>
      </c>
      <c r="J77" s="224" t="s">
        <v>147</v>
      </c>
      <c r="K77" s="224" t="s">
        <v>41</v>
      </c>
      <c r="M77">
        <f t="shared" si="0"/>
        <v>600</v>
      </c>
    </row>
    <row r="78" spans="1:13" x14ac:dyDescent="0.25">
      <c r="A78" s="246">
        <v>6</v>
      </c>
      <c r="B78" s="233" t="s">
        <v>720</v>
      </c>
      <c r="C78" s="230" t="s">
        <v>160</v>
      </c>
      <c r="D78" s="224" t="s">
        <v>721</v>
      </c>
      <c r="E78" s="224" t="s">
        <v>65</v>
      </c>
      <c r="F78" s="225" t="s">
        <v>722</v>
      </c>
      <c r="G78" s="283" t="s">
        <v>377</v>
      </c>
      <c r="H78" s="234">
        <v>3000</v>
      </c>
      <c r="I78" s="235">
        <v>600</v>
      </c>
      <c r="J78" s="224" t="s">
        <v>147</v>
      </c>
      <c r="K78" s="224" t="s">
        <v>41</v>
      </c>
      <c r="M78">
        <f t="shared" si="0"/>
        <v>600</v>
      </c>
    </row>
    <row r="79" spans="1:13" x14ac:dyDescent="0.25">
      <c r="A79" s="246">
        <v>6</v>
      </c>
      <c r="B79" s="233" t="s">
        <v>723</v>
      </c>
      <c r="C79" s="230" t="s">
        <v>160</v>
      </c>
      <c r="D79" s="224" t="s">
        <v>194</v>
      </c>
      <c r="E79" s="224" t="s">
        <v>43</v>
      </c>
      <c r="F79" s="225" t="s">
        <v>724</v>
      </c>
      <c r="G79" s="224" t="s">
        <v>40</v>
      </c>
      <c r="H79" s="234">
        <v>5000</v>
      </c>
      <c r="I79" s="235">
        <v>1000</v>
      </c>
      <c r="J79" s="224" t="s">
        <v>147</v>
      </c>
      <c r="K79" s="224" t="s">
        <v>41</v>
      </c>
      <c r="M79">
        <f t="shared" si="0"/>
        <v>1000</v>
      </c>
    </row>
    <row r="80" spans="1:13" x14ac:dyDescent="0.25">
      <c r="A80" s="246">
        <v>6</v>
      </c>
      <c r="B80" s="233" t="s">
        <v>725</v>
      </c>
      <c r="C80" s="230" t="s">
        <v>160</v>
      </c>
      <c r="D80" s="224" t="s">
        <v>726</v>
      </c>
      <c r="E80" s="224" t="s">
        <v>84</v>
      </c>
      <c r="F80" s="225" t="s">
        <v>727</v>
      </c>
      <c r="G80" s="224" t="s">
        <v>40</v>
      </c>
      <c r="H80" s="234">
        <v>5000</v>
      </c>
      <c r="I80" s="235" t="s">
        <v>152</v>
      </c>
      <c r="J80" s="224" t="s">
        <v>147</v>
      </c>
      <c r="K80" s="224" t="s">
        <v>41</v>
      </c>
      <c r="M80">
        <f t="shared" si="0"/>
        <v>1000</v>
      </c>
    </row>
    <row r="81" spans="1:13" x14ac:dyDescent="0.25">
      <c r="A81" s="273">
        <v>6</v>
      </c>
      <c r="B81" s="233" t="s">
        <v>725</v>
      </c>
      <c r="C81" s="230" t="s">
        <v>160</v>
      </c>
      <c r="D81" s="224" t="s">
        <v>726</v>
      </c>
      <c r="E81" s="224" t="s">
        <v>84</v>
      </c>
      <c r="F81" s="225" t="s">
        <v>727</v>
      </c>
      <c r="G81" s="283" t="s">
        <v>377</v>
      </c>
      <c r="H81" s="234">
        <v>200</v>
      </c>
      <c r="I81" s="235" t="s">
        <v>152</v>
      </c>
      <c r="J81" s="224" t="s">
        <v>147</v>
      </c>
      <c r="K81" s="224" t="s">
        <v>41</v>
      </c>
      <c r="M81">
        <f t="shared" si="0"/>
        <v>40</v>
      </c>
    </row>
    <row r="82" spans="1:13" x14ac:dyDescent="0.25">
      <c r="A82" s="246">
        <v>12</v>
      </c>
      <c r="B82" s="233" t="s">
        <v>731</v>
      </c>
      <c r="C82" s="230" t="s">
        <v>160</v>
      </c>
      <c r="D82" s="224" t="s">
        <v>255</v>
      </c>
      <c r="E82" s="224" t="s">
        <v>57</v>
      </c>
      <c r="F82" s="225" t="s">
        <v>732</v>
      </c>
      <c r="G82" s="224" t="s">
        <v>40</v>
      </c>
      <c r="H82" s="234">
        <v>2000</v>
      </c>
      <c r="I82" s="235">
        <v>400</v>
      </c>
      <c r="J82" s="224" t="s">
        <v>147</v>
      </c>
      <c r="K82" s="224" t="s">
        <v>41</v>
      </c>
      <c r="M82">
        <f t="shared" si="0"/>
        <v>400</v>
      </c>
    </row>
    <row r="83" spans="1:13" x14ac:dyDescent="0.25">
      <c r="A83" s="246">
        <v>12</v>
      </c>
      <c r="B83" s="233" t="s">
        <v>733</v>
      </c>
      <c r="C83" s="230" t="s">
        <v>160</v>
      </c>
      <c r="D83" s="224" t="s">
        <v>523</v>
      </c>
      <c r="E83" s="224" t="s">
        <v>42</v>
      </c>
      <c r="F83" s="225" t="s">
        <v>734</v>
      </c>
      <c r="G83" s="224" t="s">
        <v>40</v>
      </c>
      <c r="H83" s="234">
        <v>2500</v>
      </c>
      <c r="I83" s="235">
        <v>500</v>
      </c>
      <c r="J83" s="224" t="s">
        <v>147</v>
      </c>
      <c r="K83" s="224" t="s">
        <v>41</v>
      </c>
      <c r="M83">
        <f t="shared" si="0"/>
        <v>500</v>
      </c>
    </row>
    <row r="84" spans="1:13" x14ac:dyDescent="0.25">
      <c r="A84" s="246">
        <v>12</v>
      </c>
      <c r="B84" s="233" t="s">
        <v>735</v>
      </c>
      <c r="C84" s="230" t="s">
        <v>160</v>
      </c>
      <c r="D84" s="224" t="s">
        <v>588</v>
      </c>
      <c r="E84" s="224" t="s">
        <v>43</v>
      </c>
      <c r="F84" s="225" t="s">
        <v>736</v>
      </c>
      <c r="G84" s="224" t="s">
        <v>40</v>
      </c>
      <c r="H84" s="234">
        <v>700</v>
      </c>
      <c r="I84" s="235">
        <v>140</v>
      </c>
      <c r="J84" s="224" t="s">
        <v>147</v>
      </c>
      <c r="K84" s="224" t="s">
        <v>41</v>
      </c>
      <c r="M84">
        <f t="shared" si="0"/>
        <v>140</v>
      </c>
    </row>
    <row r="85" spans="1:13" x14ac:dyDescent="0.25">
      <c r="A85" s="246">
        <v>12</v>
      </c>
      <c r="B85" s="233" t="s">
        <v>737</v>
      </c>
      <c r="C85" s="230" t="s">
        <v>160</v>
      </c>
      <c r="D85" s="224" t="s">
        <v>738</v>
      </c>
      <c r="E85" s="224" t="s">
        <v>75</v>
      </c>
      <c r="F85" s="225" t="s">
        <v>739</v>
      </c>
      <c r="G85" s="224" t="s">
        <v>40</v>
      </c>
      <c r="H85" s="234">
        <v>1000</v>
      </c>
      <c r="I85" s="235">
        <v>200</v>
      </c>
      <c r="J85" s="224" t="s">
        <v>147</v>
      </c>
      <c r="K85" s="224" t="s">
        <v>41</v>
      </c>
      <c r="M85">
        <f t="shared" si="0"/>
        <v>200</v>
      </c>
    </row>
    <row r="86" spans="1:13" x14ac:dyDescent="0.25">
      <c r="A86" s="246">
        <v>12</v>
      </c>
      <c r="B86" s="233" t="s">
        <v>266</v>
      </c>
      <c r="C86" s="230" t="s">
        <v>160</v>
      </c>
      <c r="D86" s="224" t="s">
        <v>470</v>
      </c>
      <c r="E86" s="224" t="s">
        <v>53</v>
      </c>
      <c r="F86" s="225" t="s">
        <v>268</v>
      </c>
      <c r="G86" s="224" t="s">
        <v>40</v>
      </c>
      <c r="H86" s="234">
        <v>6000</v>
      </c>
      <c r="I86" s="235">
        <v>1200</v>
      </c>
      <c r="J86" s="224" t="s">
        <v>147</v>
      </c>
      <c r="K86" s="224" t="s">
        <v>41</v>
      </c>
      <c r="M86">
        <f t="shared" si="0"/>
        <v>1200</v>
      </c>
    </row>
    <row r="87" spans="1:13" x14ac:dyDescent="0.25">
      <c r="A87" s="246">
        <v>12</v>
      </c>
      <c r="B87" s="233" t="s">
        <v>740</v>
      </c>
      <c r="C87" s="230" t="s">
        <v>160</v>
      </c>
      <c r="D87" s="224" t="s">
        <v>741</v>
      </c>
      <c r="E87" s="224" t="s">
        <v>45</v>
      </c>
      <c r="F87" s="225" t="s">
        <v>742</v>
      </c>
      <c r="G87" s="224" t="s">
        <v>40</v>
      </c>
      <c r="H87" s="234">
        <v>1000</v>
      </c>
      <c r="I87" s="235">
        <v>200</v>
      </c>
      <c r="J87" s="224" t="s">
        <v>147</v>
      </c>
      <c r="K87" s="224" t="s">
        <v>41</v>
      </c>
      <c r="M87">
        <f t="shared" si="0"/>
        <v>200</v>
      </c>
    </row>
    <row r="88" spans="1:13" x14ac:dyDescent="0.25">
      <c r="A88" s="246">
        <v>12</v>
      </c>
      <c r="B88" s="233" t="s">
        <v>743</v>
      </c>
      <c r="C88" s="230" t="s">
        <v>160</v>
      </c>
      <c r="D88" s="224" t="s">
        <v>744</v>
      </c>
      <c r="E88" s="224" t="s">
        <v>56</v>
      </c>
      <c r="F88" s="225" t="s">
        <v>745</v>
      </c>
      <c r="G88" s="224" t="s">
        <v>40</v>
      </c>
      <c r="H88" s="234">
        <v>2000</v>
      </c>
      <c r="I88" s="235">
        <v>400</v>
      </c>
      <c r="J88" s="224" t="s">
        <v>147</v>
      </c>
      <c r="K88" s="224" t="s">
        <v>41</v>
      </c>
      <c r="M88">
        <f t="shared" si="0"/>
        <v>400</v>
      </c>
    </row>
    <row r="89" spans="1:13" x14ac:dyDescent="0.25">
      <c r="A89" s="246">
        <v>12</v>
      </c>
      <c r="B89" s="233" t="s">
        <v>746</v>
      </c>
      <c r="C89" s="230" t="s">
        <v>160</v>
      </c>
      <c r="D89" s="224" t="s">
        <v>194</v>
      </c>
      <c r="E89" s="224" t="s">
        <v>43</v>
      </c>
      <c r="F89" s="225" t="s">
        <v>747</v>
      </c>
      <c r="G89" s="283" t="s">
        <v>377</v>
      </c>
      <c r="H89" s="234">
        <v>100</v>
      </c>
      <c r="I89" s="235">
        <v>20</v>
      </c>
      <c r="J89" s="224" t="s">
        <v>147</v>
      </c>
      <c r="K89" s="224" t="s">
        <v>41</v>
      </c>
      <c r="M89">
        <f t="shared" si="0"/>
        <v>20</v>
      </c>
    </row>
    <row r="90" spans="1:13" x14ac:dyDescent="0.25">
      <c r="A90" s="246">
        <v>12</v>
      </c>
      <c r="B90" s="233" t="s">
        <v>748</v>
      </c>
      <c r="C90" s="269" t="s">
        <v>163</v>
      </c>
      <c r="D90" s="224" t="s">
        <v>749</v>
      </c>
      <c r="E90" s="224" t="s">
        <v>48</v>
      </c>
      <c r="F90" s="225" t="s">
        <v>750</v>
      </c>
      <c r="G90" s="224" t="s">
        <v>40</v>
      </c>
      <c r="H90" s="234">
        <v>500</v>
      </c>
      <c r="I90" s="235" t="s">
        <v>152</v>
      </c>
      <c r="J90" s="224" t="s">
        <v>147</v>
      </c>
      <c r="K90" s="224" t="s">
        <v>41</v>
      </c>
      <c r="M90">
        <f t="shared" si="0"/>
        <v>100</v>
      </c>
    </row>
    <row r="91" spans="1:13" x14ac:dyDescent="0.25">
      <c r="A91" s="246">
        <v>12</v>
      </c>
      <c r="B91" s="233" t="s">
        <v>751</v>
      </c>
      <c r="C91" s="269" t="s">
        <v>163</v>
      </c>
      <c r="D91" s="224" t="s">
        <v>621</v>
      </c>
      <c r="E91" s="224" t="s">
        <v>69</v>
      </c>
      <c r="F91" s="225" t="s">
        <v>752</v>
      </c>
      <c r="G91" s="224" t="s">
        <v>40</v>
      </c>
      <c r="H91" s="234">
        <v>5000</v>
      </c>
      <c r="I91" s="235">
        <v>1000</v>
      </c>
      <c r="J91" s="224" t="s">
        <v>147</v>
      </c>
      <c r="K91" s="224" t="s">
        <v>41</v>
      </c>
      <c r="M91">
        <f t="shared" si="0"/>
        <v>1000</v>
      </c>
    </row>
    <row r="92" spans="1:13" x14ac:dyDescent="0.25">
      <c r="A92" s="246">
        <v>12</v>
      </c>
      <c r="B92" s="233" t="s">
        <v>751</v>
      </c>
      <c r="C92" s="269" t="s">
        <v>163</v>
      </c>
      <c r="D92" s="224" t="s">
        <v>621</v>
      </c>
      <c r="E92" s="224" t="s">
        <v>69</v>
      </c>
      <c r="F92" s="225" t="s">
        <v>752</v>
      </c>
      <c r="G92" s="283" t="s">
        <v>377</v>
      </c>
      <c r="H92" s="234">
        <v>500</v>
      </c>
      <c r="I92" s="235">
        <v>100</v>
      </c>
      <c r="J92" s="224" t="s">
        <v>147</v>
      </c>
      <c r="K92" s="224" t="s">
        <v>41</v>
      </c>
      <c r="M92">
        <f t="shared" si="0"/>
        <v>100</v>
      </c>
    </row>
    <row r="93" spans="1:13" x14ac:dyDescent="0.25">
      <c r="A93" s="246">
        <v>12</v>
      </c>
      <c r="B93" s="233" t="s">
        <v>753</v>
      </c>
      <c r="C93" s="230" t="s">
        <v>160</v>
      </c>
      <c r="D93" s="224" t="s">
        <v>754</v>
      </c>
      <c r="E93" s="224" t="s">
        <v>46</v>
      </c>
      <c r="F93" s="225" t="s">
        <v>755</v>
      </c>
      <c r="G93" s="224" t="s">
        <v>40</v>
      </c>
      <c r="H93" s="234">
        <v>10000</v>
      </c>
      <c r="I93" s="235">
        <v>2000</v>
      </c>
      <c r="J93" s="224" t="s">
        <v>147</v>
      </c>
      <c r="K93" s="224" t="s">
        <v>41</v>
      </c>
      <c r="M93">
        <f t="shared" si="0"/>
        <v>2000</v>
      </c>
    </row>
    <row r="94" spans="1:13" x14ac:dyDescent="0.25">
      <c r="A94" s="246">
        <v>12</v>
      </c>
      <c r="B94" s="233" t="s">
        <v>756</v>
      </c>
      <c r="C94" s="269" t="s">
        <v>163</v>
      </c>
      <c r="D94" s="224"/>
      <c r="E94" s="224" t="s">
        <v>49</v>
      </c>
      <c r="F94" s="225" t="s">
        <v>757</v>
      </c>
      <c r="G94" s="224" t="s">
        <v>40</v>
      </c>
      <c r="H94" s="234">
        <v>200</v>
      </c>
      <c r="I94" s="235">
        <v>40</v>
      </c>
      <c r="J94" s="224" t="s">
        <v>147</v>
      </c>
      <c r="K94" s="224" t="s">
        <v>41</v>
      </c>
      <c r="M94">
        <f t="shared" si="0"/>
        <v>40</v>
      </c>
    </row>
    <row r="95" spans="1:13" x14ac:dyDescent="0.25">
      <c r="A95" s="246">
        <v>12</v>
      </c>
      <c r="B95" s="233" t="s">
        <v>758</v>
      </c>
      <c r="C95" s="269" t="s">
        <v>163</v>
      </c>
      <c r="D95" s="224" t="s">
        <v>167</v>
      </c>
      <c r="E95" s="224" t="s">
        <v>43</v>
      </c>
      <c r="F95" s="225" t="s">
        <v>759</v>
      </c>
      <c r="G95" s="224" t="s">
        <v>40</v>
      </c>
      <c r="H95" s="234">
        <v>20000</v>
      </c>
      <c r="I95" s="235">
        <v>4000</v>
      </c>
      <c r="J95" s="224" t="s">
        <v>147</v>
      </c>
      <c r="K95" s="224" t="s">
        <v>41</v>
      </c>
      <c r="M95">
        <f t="shared" si="0"/>
        <v>4000</v>
      </c>
    </row>
    <row r="96" spans="1:13" x14ac:dyDescent="0.25">
      <c r="A96" s="246">
        <v>12</v>
      </c>
      <c r="B96" s="233" t="s">
        <v>760</v>
      </c>
      <c r="C96" s="230" t="s">
        <v>160</v>
      </c>
      <c r="D96" s="224" t="s">
        <v>189</v>
      </c>
      <c r="E96" s="224" t="s">
        <v>42</v>
      </c>
      <c r="F96" s="225" t="s">
        <v>763</v>
      </c>
      <c r="G96" s="224" t="s">
        <v>40</v>
      </c>
      <c r="H96" s="234">
        <v>5000</v>
      </c>
      <c r="I96" s="235">
        <v>1000</v>
      </c>
      <c r="J96" s="224" t="s">
        <v>147</v>
      </c>
      <c r="K96" s="224" t="s">
        <v>41</v>
      </c>
      <c r="M96">
        <f t="shared" si="0"/>
        <v>1000</v>
      </c>
    </row>
    <row r="97" spans="1:13" x14ac:dyDescent="0.25">
      <c r="A97" s="246">
        <v>12</v>
      </c>
      <c r="B97" s="233" t="s">
        <v>762</v>
      </c>
      <c r="C97" s="230" t="s">
        <v>160</v>
      </c>
      <c r="D97" s="224" t="s">
        <v>703</v>
      </c>
      <c r="E97" s="224" t="s">
        <v>42</v>
      </c>
      <c r="F97" s="225" t="s">
        <v>764</v>
      </c>
      <c r="G97" s="224" t="s">
        <v>40</v>
      </c>
      <c r="H97" s="234">
        <v>3000</v>
      </c>
      <c r="I97" s="235">
        <v>600</v>
      </c>
      <c r="J97" s="224" t="s">
        <v>147</v>
      </c>
      <c r="K97" s="224" t="s">
        <v>41</v>
      </c>
      <c r="M97">
        <f t="shared" si="0"/>
        <v>600</v>
      </c>
    </row>
    <row r="98" spans="1:13" x14ac:dyDescent="0.25">
      <c r="A98" s="246">
        <v>12</v>
      </c>
      <c r="B98" s="233" t="s">
        <v>418</v>
      </c>
      <c r="C98" s="230" t="s">
        <v>160</v>
      </c>
      <c r="D98" s="224" t="s">
        <v>189</v>
      </c>
      <c r="E98" s="224" t="s">
        <v>42</v>
      </c>
      <c r="F98" s="225" t="s">
        <v>761</v>
      </c>
      <c r="G98" s="224" t="s">
        <v>40</v>
      </c>
      <c r="H98" s="234">
        <v>4200</v>
      </c>
      <c r="I98" s="235">
        <v>1260</v>
      </c>
      <c r="J98" s="224" t="s">
        <v>147</v>
      </c>
      <c r="K98" s="224" t="s">
        <v>41</v>
      </c>
      <c r="M98">
        <f t="shared" si="0"/>
        <v>840</v>
      </c>
    </row>
    <row r="99" spans="1:13" x14ac:dyDescent="0.25">
      <c r="A99" s="246">
        <v>12</v>
      </c>
      <c r="B99" s="233" t="s">
        <v>765</v>
      </c>
      <c r="C99" s="230" t="s">
        <v>160</v>
      </c>
      <c r="D99" s="224" t="s">
        <v>618</v>
      </c>
      <c r="E99" s="224" t="s">
        <v>43</v>
      </c>
      <c r="F99" s="225" t="s">
        <v>766</v>
      </c>
      <c r="G99" s="230" t="s">
        <v>40</v>
      </c>
      <c r="H99" s="234">
        <v>2000</v>
      </c>
      <c r="I99" s="235">
        <v>400</v>
      </c>
      <c r="J99" s="224" t="s">
        <v>147</v>
      </c>
      <c r="K99" s="224" t="s">
        <v>41</v>
      </c>
      <c r="M99">
        <f t="shared" si="0"/>
        <v>400</v>
      </c>
    </row>
    <row r="100" spans="1:13" x14ac:dyDescent="0.25">
      <c r="A100" s="246">
        <v>12</v>
      </c>
      <c r="B100" s="233" t="s">
        <v>767</v>
      </c>
      <c r="C100" s="230" t="s">
        <v>160</v>
      </c>
      <c r="D100" s="224" t="s">
        <v>290</v>
      </c>
      <c r="E100" s="224" t="s">
        <v>49</v>
      </c>
      <c r="F100" s="225" t="s">
        <v>768</v>
      </c>
      <c r="G100" s="224" t="s">
        <v>40</v>
      </c>
      <c r="H100" s="234">
        <v>2000</v>
      </c>
      <c r="I100" s="235">
        <v>400</v>
      </c>
      <c r="J100" s="224" t="s">
        <v>147</v>
      </c>
      <c r="K100" s="224" t="s">
        <v>41</v>
      </c>
      <c r="M100">
        <f t="shared" si="0"/>
        <v>400</v>
      </c>
    </row>
    <row r="101" spans="1:13" x14ac:dyDescent="0.25">
      <c r="A101" s="246">
        <v>12</v>
      </c>
      <c r="B101" s="233" t="s">
        <v>769</v>
      </c>
      <c r="C101" s="230" t="s">
        <v>160</v>
      </c>
      <c r="D101" s="224" t="s">
        <v>770</v>
      </c>
      <c r="E101" s="224" t="s">
        <v>47</v>
      </c>
      <c r="F101" s="225" t="s">
        <v>771</v>
      </c>
      <c r="G101" s="224" t="s">
        <v>40</v>
      </c>
      <c r="H101" s="234">
        <v>500</v>
      </c>
      <c r="I101" s="235">
        <v>100</v>
      </c>
      <c r="J101" s="224" t="s">
        <v>147</v>
      </c>
      <c r="K101" s="224" t="s">
        <v>41</v>
      </c>
      <c r="M101">
        <f t="shared" si="0"/>
        <v>100</v>
      </c>
    </row>
    <row r="102" spans="1:13" x14ac:dyDescent="0.25">
      <c r="A102" s="246">
        <v>12</v>
      </c>
      <c r="B102" s="233" t="s">
        <v>772</v>
      </c>
      <c r="C102" s="230" t="s">
        <v>160</v>
      </c>
      <c r="D102" s="224" t="s">
        <v>678</v>
      </c>
      <c r="E102" s="224" t="s">
        <v>43</v>
      </c>
      <c r="F102" s="225"/>
      <c r="G102" s="224" t="s">
        <v>40</v>
      </c>
      <c r="H102" s="234">
        <v>600</v>
      </c>
      <c r="I102" s="235">
        <v>120</v>
      </c>
      <c r="J102" s="224" t="s">
        <v>147</v>
      </c>
      <c r="K102" s="224" t="s">
        <v>41</v>
      </c>
      <c r="M102">
        <f t="shared" si="0"/>
        <v>120</v>
      </c>
    </row>
    <row r="103" spans="1:13" x14ac:dyDescent="0.25">
      <c r="A103" s="246">
        <v>12</v>
      </c>
      <c r="B103" s="233" t="s">
        <v>773</v>
      </c>
      <c r="C103" s="230" t="s">
        <v>160</v>
      </c>
      <c r="D103" s="224" t="s">
        <v>180</v>
      </c>
      <c r="E103" s="224" t="s">
        <v>79</v>
      </c>
      <c r="F103" s="225" t="s">
        <v>342</v>
      </c>
      <c r="G103" s="292" t="s">
        <v>465</v>
      </c>
      <c r="H103" s="234">
        <v>400</v>
      </c>
      <c r="I103" s="235">
        <v>400</v>
      </c>
      <c r="J103" s="224" t="s">
        <v>147</v>
      </c>
      <c r="K103" s="224" t="s">
        <v>41</v>
      </c>
      <c r="M103">
        <f t="shared" si="0"/>
        <v>80</v>
      </c>
    </row>
    <row r="104" spans="1:13" x14ac:dyDescent="0.25">
      <c r="A104" s="246">
        <v>12</v>
      </c>
      <c r="B104" s="233" t="s">
        <v>773</v>
      </c>
      <c r="C104" s="230" t="s">
        <v>160</v>
      </c>
      <c r="D104" s="224" t="s">
        <v>180</v>
      </c>
      <c r="E104" s="224" t="s">
        <v>79</v>
      </c>
      <c r="F104" s="225" t="s">
        <v>342</v>
      </c>
      <c r="G104" s="224" t="s">
        <v>40</v>
      </c>
      <c r="H104" s="234">
        <v>100</v>
      </c>
      <c r="I104" s="235">
        <v>20</v>
      </c>
      <c r="J104" s="224" t="s">
        <v>147</v>
      </c>
      <c r="K104" s="224" t="s">
        <v>41</v>
      </c>
      <c r="M104">
        <f t="shared" si="0"/>
        <v>20</v>
      </c>
    </row>
    <row r="105" spans="1:13" x14ac:dyDescent="0.25">
      <c r="A105" s="246">
        <v>12</v>
      </c>
      <c r="B105" s="233" t="s">
        <v>774</v>
      </c>
      <c r="C105" s="230" t="s">
        <v>160</v>
      </c>
      <c r="D105" s="224" t="s">
        <v>211</v>
      </c>
      <c r="E105" s="224" t="s">
        <v>47</v>
      </c>
      <c r="F105" s="225"/>
      <c r="G105" s="224" t="s">
        <v>40</v>
      </c>
      <c r="H105" s="234">
        <v>1000</v>
      </c>
      <c r="I105" s="235">
        <v>200</v>
      </c>
      <c r="J105" s="224" t="s">
        <v>147</v>
      </c>
      <c r="K105" s="224" t="s">
        <v>41</v>
      </c>
      <c r="M105">
        <f t="shared" si="0"/>
        <v>200</v>
      </c>
    </row>
    <row r="106" spans="1:13" x14ac:dyDescent="0.25">
      <c r="A106" s="246">
        <v>12</v>
      </c>
      <c r="B106" s="233" t="s">
        <v>775</v>
      </c>
      <c r="C106" s="230" t="s">
        <v>160</v>
      </c>
      <c r="D106" s="224" t="s">
        <v>196</v>
      </c>
      <c r="E106" s="224" t="s">
        <v>56</v>
      </c>
      <c r="F106" s="225"/>
      <c r="G106" s="224" t="s">
        <v>40</v>
      </c>
      <c r="H106" s="234">
        <v>1000</v>
      </c>
      <c r="I106" s="235">
        <v>200</v>
      </c>
      <c r="J106" s="224" t="s">
        <v>147</v>
      </c>
      <c r="K106" s="224" t="s">
        <v>41</v>
      </c>
      <c r="M106">
        <f t="shared" si="0"/>
        <v>200</v>
      </c>
    </row>
    <row r="107" spans="1:13" x14ac:dyDescent="0.25">
      <c r="A107" s="246">
        <v>12</v>
      </c>
      <c r="B107" s="233" t="s">
        <v>776</v>
      </c>
      <c r="C107" s="269" t="s">
        <v>163</v>
      </c>
      <c r="D107" s="224" t="s">
        <v>196</v>
      </c>
      <c r="E107" s="224" t="s">
        <v>56</v>
      </c>
      <c r="F107" s="225" t="s">
        <v>777</v>
      </c>
      <c r="G107" s="224" t="s">
        <v>40</v>
      </c>
      <c r="H107" s="234">
        <v>7000</v>
      </c>
      <c r="I107" s="235">
        <v>1400</v>
      </c>
      <c r="J107" s="224" t="s">
        <v>147</v>
      </c>
      <c r="K107" s="224" t="s">
        <v>41</v>
      </c>
      <c r="M107">
        <f t="shared" si="0"/>
        <v>1400</v>
      </c>
    </row>
    <row r="108" spans="1:13" x14ac:dyDescent="0.25">
      <c r="A108" s="246">
        <v>12</v>
      </c>
      <c r="B108" s="233" t="s">
        <v>778</v>
      </c>
      <c r="C108" s="230" t="s">
        <v>160</v>
      </c>
      <c r="D108" s="224" t="s">
        <v>621</v>
      </c>
      <c r="E108" s="224" t="s">
        <v>69</v>
      </c>
      <c r="F108" s="225" t="s">
        <v>779</v>
      </c>
      <c r="G108" s="224" t="s">
        <v>40</v>
      </c>
      <c r="H108" s="234">
        <v>1000</v>
      </c>
      <c r="I108" s="235">
        <v>200</v>
      </c>
      <c r="J108" s="224" t="s">
        <v>147</v>
      </c>
      <c r="K108" s="224" t="s">
        <v>41</v>
      </c>
      <c r="M108">
        <f t="shared" si="0"/>
        <v>200</v>
      </c>
    </row>
    <row r="109" spans="1:13" x14ac:dyDescent="0.25">
      <c r="A109" s="246">
        <v>12</v>
      </c>
      <c r="B109" s="233" t="s">
        <v>780</v>
      </c>
      <c r="C109" s="230" t="s">
        <v>160</v>
      </c>
      <c r="D109" s="224" t="s">
        <v>781</v>
      </c>
      <c r="E109" s="224" t="s">
        <v>50</v>
      </c>
      <c r="F109" s="225"/>
      <c r="G109" s="224" t="s">
        <v>40</v>
      </c>
      <c r="H109" s="234">
        <v>2000</v>
      </c>
      <c r="I109" s="235">
        <v>400</v>
      </c>
      <c r="J109" s="224" t="s">
        <v>147</v>
      </c>
      <c r="K109" s="224" t="s">
        <v>41</v>
      </c>
      <c r="M109">
        <f t="shared" si="0"/>
        <v>400</v>
      </c>
    </row>
    <row r="110" spans="1:13" x14ac:dyDescent="0.25">
      <c r="A110" s="246">
        <v>12</v>
      </c>
      <c r="B110" s="233" t="s">
        <v>469</v>
      </c>
      <c r="C110" s="230" t="s">
        <v>160</v>
      </c>
      <c r="D110" s="224" t="s">
        <v>470</v>
      </c>
      <c r="E110" s="224" t="s">
        <v>45</v>
      </c>
      <c r="F110" s="225" t="s">
        <v>782</v>
      </c>
      <c r="G110" s="224" t="s">
        <v>40</v>
      </c>
      <c r="H110" s="234">
        <v>4500</v>
      </c>
      <c r="I110" s="235">
        <v>900</v>
      </c>
      <c r="J110" s="224" t="s">
        <v>147</v>
      </c>
      <c r="K110" s="224" t="s">
        <v>41</v>
      </c>
      <c r="M110">
        <f t="shared" si="0"/>
        <v>900</v>
      </c>
    </row>
    <row r="111" spans="1:13" x14ac:dyDescent="0.25">
      <c r="A111" s="246">
        <v>12</v>
      </c>
      <c r="B111" s="233" t="s">
        <v>469</v>
      </c>
      <c r="C111" s="230" t="s">
        <v>160</v>
      </c>
      <c r="D111" s="224" t="s">
        <v>470</v>
      </c>
      <c r="E111" s="224" t="s">
        <v>45</v>
      </c>
      <c r="F111" s="225" t="s">
        <v>782</v>
      </c>
      <c r="G111" s="292" t="s">
        <v>465</v>
      </c>
      <c r="H111" s="234">
        <v>1000</v>
      </c>
      <c r="I111" s="235">
        <v>1000</v>
      </c>
      <c r="J111" s="224" t="s">
        <v>147</v>
      </c>
      <c r="K111" s="224" t="s">
        <v>41</v>
      </c>
      <c r="M111">
        <f t="shared" si="0"/>
        <v>200</v>
      </c>
    </row>
    <row r="112" spans="1:13" x14ac:dyDescent="0.25">
      <c r="A112" s="246">
        <v>14</v>
      </c>
      <c r="B112" s="233" t="s">
        <v>783</v>
      </c>
      <c r="C112" s="230" t="s">
        <v>160</v>
      </c>
      <c r="D112" s="224" t="s">
        <v>185</v>
      </c>
      <c r="E112" s="224" t="s">
        <v>42</v>
      </c>
      <c r="F112" s="225"/>
      <c r="G112" s="224" t="s">
        <v>40</v>
      </c>
      <c r="H112" s="234">
        <v>750</v>
      </c>
      <c r="I112" s="235" t="s">
        <v>152</v>
      </c>
      <c r="J112" s="224" t="s">
        <v>147</v>
      </c>
      <c r="K112" s="224" t="s">
        <v>41</v>
      </c>
      <c r="M112">
        <f t="shared" si="0"/>
        <v>150</v>
      </c>
    </row>
    <row r="113" spans="1:13" x14ac:dyDescent="0.25">
      <c r="A113" s="246">
        <v>14</v>
      </c>
      <c r="B113" s="233" t="s">
        <v>784</v>
      </c>
      <c r="C113" s="230" t="s">
        <v>160</v>
      </c>
      <c r="D113" s="224" t="s">
        <v>185</v>
      </c>
      <c r="E113" s="224" t="s">
        <v>42</v>
      </c>
      <c r="F113" s="225" t="s">
        <v>785</v>
      </c>
      <c r="G113" s="224" t="s">
        <v>40</v>
      </c>
      <c r="H113" s="234">
        <v>500</v>
      </c>
      <c r="I113" s="235" t="s">
        <v>152</v>
      </c>
      <c r="J113" s="224" t="s">
        <v>147</v>
      </c>
      <c r="K113" s="224" t="s">
        <v>41</v>
      </c>
      <c r="M113">
        <f t="shared" si="0"/>
        <v>100</v>
      </c>
    </row>
    <row r="114" spans="1:13" x14ac:dyDescent="0.25">
      <c r="A114" s="273">
        <v>14</v>
      </c>
      <c r="B114" s="233" t="s">
        <v>786</v>
      </c>
      <c r="C114" s="230" t="s">
        <v>160</v>
      </c>
      <c r="D114" s="224" t="s">
        <v>177</v>
      </c>
      <c r="E114" s="224" t="s">
        <v>61</v>
      </c>
      <c r="F114" s="225" t="s">
        <v>787</v>
      </c>
      <c r="G114" s="224" t="s">
        <v>40</v>
      </c>
      <c r="H114" s="234">
        <v>500</v>
      </c>
      <c r="I114" s="235" t="s">
        <v>152</v>
      </c>
      <c r="J114" s="224" t="s">
        <v>147</v>
      </c>
      <c r="K114" s="224" t="s">
        <v>41</v>
      </c>
      <c r="M114">
        <f t="shared" si="0"/>
        <v>100</v>
      </c>
    </row>
    <row r="115" spans="1:13" x14ac:dyDescent="0.25">
      <c r="A115" s="246">
        <v>16</v>
      </c>
      <c r="B115" s="233" t="s">
        <v>162</v>
      </c>
      <c r="C115" s="269" t="s">
        <v>163</v>
      </c>
      <c r="D115" s="224" t="s">
        <v>164</v>
      </c>
      <c r="E115" s="224" t="s">
        <v>44</v>
      </c>
      <c r="F115" s="225" t="s">
        <v>165</v>
      </c>
      <c r="G115" s="224" t="s">
        <v>40</v>
      </c>
      <c r="H115" s="234">
        <v>15000</v>
      </c>
      <c r="I115" s="235">
        <v>3000</v>
      </c>
      <c r="J115" s="224" t="s">
        <v>147</v>
      </c>
      <c r="K115" s="224" t="s">
        <v>41</v>
      </c>
      <c r="M115">
        <f t="shared" si="0"/>
        <v>3000</v>
      </c>
    </row>
    <row r="116" spans="1:13" x14ac:dyDescent="0.25">
      <c r="A116" s="246">
        <v>16</v>
      </c>
      <c r="B116" s="233" t="s">
        <v>797</v>
      </c>
      <c r="C116" s="230" t="s">
        <v>160</v>
      </c>
      <c r="D116" s="224" t="s">
        <v>313</v>
      </c>
      <c r="E116" s="224" t="s">
        <v>60</v>
      </c>
      <c r="F116" s="225"/>
      <c r="G116" s="224" t="s">
        <v>40</v>
      </c>
      <c r="H116" s="234">
        <v>1500</v>
      </c>
      <c r="I116" s="235">
        <v>300</v>
      </c>
      <c r="J116" s="224" t="s">
        <v>147</v>
      </c>
      <c r="K116" s="224" t="s">
        <v>41</v>
      </c>
      <c r="M116">
        <f t="shared" si="0"/>
        <v>300</v>
      </c>
    </row>
    <row r="117" spans="1:13" x14ac:dyDescent="0.25">
      <c r="A117" s="246">
        <v>16</v>
      </c>
      <c r="B117" s="233" t="s">
        <v>798</v>
      </c>
      <c r="C117" s="230" t="s">
        <v>160</v>
      </c>
      <c r="D117" s="224" t="s">
        <v>799</v>
      </c>
      <c r="E117" s="224" t="s">
        <v>56</v>
      </c>
      <c r="F117" s="225" t="s">
        <v>800</v>
      </c>
      <c r="G117" s="224" t="s">
        <v>40</v>
      </c>
      <c r="H117" s="234">
        <v>150</v>
      </c>
      <c r="I117" s="235">
        <v>45</v>
      </c>
      <c r="J117" s="224" t="s">
        <v>147</v>
      </c>
      <c r="K117" s="224" t="s">
        <v>41</v>
      </c>
      <c r="M117">
        <f t="shared" si="0"/>
        <v>30</v>
      </c>
    </row>
    <row r="118" spans="1:13" x14ac:dyDescent="0.25">
      <c r="A118" s="246">
        <v>16</v>
      </c>
      <c r="B118" s="233" t="s">
        <v>801</v>
      </c>
      <c r="C118" s="230" t="s">
        <v>160</v>
      </c>
      <c r="D118" s="224" t="s">
        <v>802</v>
      </c>
      <c r="E118" s="224" t="s">
        <v>43</v>
      </c>
      <c r="F118" s="225"/>
      <c r="G118" s="224" t="s">
        <v>40</v>
      </c>
      <c r="H118" s="234">
        <v>1500</v>
      </c>
      <c r="I118" s="235">
        <v>300</v>
      </c>
      <c r="J118" s="224" t="s">
        <v>147</v>
      </c>
      <c r="K118" s="224" t="s">
        <v>41</v>
      </c>
      <c r="M118">
        <f t="shared" si="0"/>
        <v>300</v>
      </c>
    </row>
    <row r="119" spans="1:13" x14ac:dyDescent="0.25">
      <c r="A119" s="246">
        <v>16</v>
      </c>
      <c r="B119" s="233" t="s">
        <v>803</v>
      </c>
      <c r="C119" s="230" t="s">
        <v>160</v>
      </c>
      <c r="D119" s="224" t="s">
        <v>180</v>
      </c>
      <c r="E119" s="224" t="s">
        <v>54</v>
      </c>
      <c r="F119" s="225" t="s">
        <v>804</v>
      </c>
      <c r="G119" s="224" t="s">
        <v>40</v>
      </c>
      <c r="H119" s="234">
        <v>12000</v>
      </c>
      <c r="I119" s="235">
        <v>2400</v>
      </c>
      <c r="J119" s="224" t="s">
        <v>147</v>
      </c>
      <c r="K119" s="224" t="s">
        <v>41</v>
      </c>
      <c r="M119">
        <f t="shared" si="0"/>
        <v>2400</v>
      </c>
    </row>
    <row r="120" spans="1:13" x14ac:dyDescent="0.25">
      <c r="A120" s="246">
        <v>16</v>
      </c>
      <c r="B120" s="233" t="s">
        <v>808</v>
      </c>
      <c r="C120" s="230" t="s">
        <v>160</v>
      </c>
      <c r="D120" s="224" t="s">
        <v>809</v>
      </c>
      <c r="E120" s="224" t="s">
        <v>66</v>
      </c>
      <c r="F120" s="225" t="s">
        <v>810</v>
      </c>
      <c r="G120" s="224" t="s">
        <v>40</v>
      </c>
      <c r="H120" s="234">
        <v>500</v>
      </c>
      <c r="I120" s="235">
        <v>100</v>
      </c>
      <c r="J120" s="224" t="s">
        <v>147</v>
      </c>
      <c r="K120" s="224" t="s">
        <v>41</v>
      </c>
      <c r="M120">
        <f t="shared" si="0"/>
        <v>100</v>
      </c>
    </row>
    <row r="121" spans="1:13" x14ac:dyDescent="0.25">
      <c r="A121" s="246">
        <v>16</v>
      </c>
      <c r="B121" s="233" t="s">
        <v>811</v>
      </c>
      <c r="C121" s="230" t="s">
        <v>160</v>
      </c>
      <c r="D121" s="224" t="s">
        <v>189</v>
      </c>
      <c r="E121" s="224" t="s">
        <v>42</v>
      </c>
      <c r="F121" s="225" t="s">
        <v>812</v>
      </c>
      <c r="G121" s="224" t="s">
        <v>40</v>
      </c>
      <c r="H121" s="234">
        <v>9000</v>
      </c>
      <c r="I121" s="235">
        <v>1800</v>
      </c>
      <c r="J121" s="224" t="s">
        <v>147</v>
      </c>
      <c r="K121" s="224" t="s">
        <v>41</v>
      </c>
      <c r="M121">
        <f t="shared" si="0"/>
        <v>1800</v>
      </c>
    </row>
    <row r="122" spans="1:13" x14ac:dyDescent="0.25">
      <c r="A122" s="246">
        <v>16</v>
      </c>
      <c r="B122" s="233" t="s">
        <v>811</v>
      </c>
      <c r="C122" s="230" t="s">
        <v>160</v>
      </c>
      <c r="D122" s="224" t="s">
        <v>189</v>
      </c>
      <c r="E122" s="224" t="s">
        <v>42</v>
      </c>
      <c r="F122" s="225" t="s">
        <v>812</v>
      </c>
      <c r="G122" s="283" t="s">
        <v>377</v>
      </c>
      <c r="H122" s="234">
        <v>250</v>
      </c>
      <c r="I122" s="235">
        <v>50</v>
      </c>
      <c r="J122" s="224" t="s">
        <v>147</v>
      </c>
      <c r="K122" s="224" t="s">
        <v>41</v>
      </c>
      <c r="M122">
        <f t="shared" si="0"/>
        <v>50</v>
      </c>
    </row>
    <row r="123" spans="1:13" x14ac:dyDescent="0.25">
      <c r="A123" s="246">
        <v>16</v>
      </c>
      <c r="B123" s="233" t="s">
        <v>813</v>
      </c>
      <c r="C123" s="230" t="s">
        <v>160</v>
      </c>
      <c r="D123" s="224" t="s">
        <v>814</v>
      </c>
      <c r="E123" s="224" t="s">
        <v>69</v>
      </c>
      <c r="F123" s="225" t="s">
        <v>815</v>
      </c>
      <c r="G123" s="283" t="s">
        <v>377</v>
      </c>
      <c r="H123" s="234">
        <v>100</v>
      </c>
      <c r="I123" s="235" t="s">
        <v>152</v>
      </c>
      <c r="J123" s="224" t="s">
        <v>147</v>
      </c>
      <c r="K123" s="224" t="s">
        <v>41</v>
      </c>
      <c r="M123">
        <f t="shared" si="0"/>
        <v>20</v>
      </c>
    </row>
    <row r="124" spans="1:13" x14ac:dyDescent="0.25">
      <c r="A124" s="246">
        <v>16</v>
      </c>
      <c r="B124" s="233" t="s">
        <v>816</v>
      </c>
      <c r="C124" s="269" t="s">
        <v>163</v>
      </c>
      <c r="D124" s="224" t="s">
        <v>483</v>
      </c>
      <c r="E124" s="224" t="s">
        <v>82</v>
      </c>
      <c r="F124" s="225"/>
      <c r="G124" s="224" t="s">
        <v>40</v>
      </c>
      <c r="H124" s="234">
        <v>2500</v>
      </c>
      <c r="I124" s="235" t="s">
        <v>152</v>
      </c>
      <c r="J124" s="224" t="s">
        <v>147</v>
      </c>
      <c r="K124" s="224" t="s">
        <v>41</v>
      </c>
      <c r="M124">
        <f t="shared" si="0"/>
        <v>500</v>
      </c>
    </row>
    <row r="125" spans="1:13" x14ac:dyDescent="0.25">
      <c r="A125" s="246">
        <v>16</v>
      </c>
      <c r="B125" s="233" t="s">
        <v>817</v>
      </c>
      <c r="C125" s="230" t="s">
        <v>160</v>
      </c>
      <c r="D125" s="224" t="s">
        <v>177</v>
      </c>
      <c r="E125" s="224" t="s">
        <v>53</v>
      </c>
      <c r="F125" s="225" t="s">
        <v>818</v>
      </c>
      <c r="G125" s="224" t="s">
        <v>40</v>
      </c>
      <c r="H125" s="234">
        <v>100</v>
      </c>
      <c r="I125" s="235" t="s">
        <v>152</v>
      </c>
      <c r="J125" s="224" t="s">
        <v>147</v>
      </c>
      <c r="K125" s="224" t="s">
        <v>41</v>
      </c>
      <c r="M125">
        <f t="shared" si="0"/>
        <v>20</v>
      </c>
    </row>
    <row r="126" spans="1:13" x14ac:dyDescent="0.25">
      <c r="A126" s="246">
        <v>16</v>
      </c>
      <c r="B126" s="233" t="s">
        <v>819</v>
      </c>
      <c r="C126" s="269" t="s">
        <v>163</v>
      </c>
      <c r="D126" s="224" t="s">
        <v>820</v>
      </c>
      <c r="E126" s="224" t="s">
        <v>69</v>
      </c>
      <c r="F126" s="225" t="s">
        <v>821</v>
      </c>
      <c r="G126" s="283" t="s">
        <v>377</v>
      </c>
      <c r="H126" s="234">
        <v>500</v>
      </c>
      <c r="I126" s="235" t="s">
        <v>152</v>
      </c>
      <c r="J126" s="224" t="s">
        <v>147</v>
      </c>
      <c r="K126" s="224" t="s">
        <v>41</v>
      </c>
      <c r="M126">
        <f t="shared" si="0"/>
        <v>100</v>
      </c>
    </row>
    <row r="127" spans="1:13" x14ac:dyDescent="0.25">
      <c r="A127" s="246">
        <v>16</v>
      </c>
      <c r="B127" s="233" t="s">
        <v>822</v>
      </c>
      <c r="C127" s="269" t="s">
        <v>163</v>
      </c>
      <c r="D127" s="224"/>
      <c r="E127" s="224" t="s">
        <v>66</v>
      </c>
      <c r="F127" s="225" t="s">
        <v>823</v>
      </c>
      <c r="G127" s="224" t="s">
        <v>40</v>
      </c>
      <c r="H127" s="234">
        <v>1000</v>
      </c>
      <c r="I127" s="235" t="s">
        <v>152</v>
      </c>
      <c r="J127" s="224" t="s">
        <v>147</v>
      </c>
      <c r="K127" s="224" t="s">
        <v>41</v>
      </c>
      <c r="M127">
        <f t="shared" si="0"/>
        <v>200</v>
      </c>
    </row>
    <row r="128" spans="1:13" x14ac:dyDescent="0.25">
      <c r="A128" s="246">
        <v>16</v>
      </c>
      <c r="B128" s="233" t="s">
        <v>824</v>
      </c>
      <c r="C128" s="230" t="s">
        <v>160</v>
      </c>
      <c r="D128" s="224"/>
      <c r="E128" s="224" t="s">
        <v>66</v>
      </c>
      <c r="F128" s="225" t="s">
        <v>825</v>
      </c>
      <c r="G128" s="224" t="s">
        <v>40</v>
      </c>
      <c r="H128" s="234">
        <v>1000</v>
      </c>
      <c r="I128" s="235" t="s">
        <v>152</v>
      </c>
      <c r="J128" s="224" t="s">
        <v>147</v>
      </c>
      <c r="K128" s="224" t="s">
        <v>41</v>
      </c>
      <c r="M128">
        <f t="shared" si="0"/>
        <v>200</v>
      </c>
    </row>
    <row r="129" spans="1:13" x14ac:dyDescent="0.25">
      <c r="A129" s="246">
        <v>16</v>
      </c>
      <c r="B129" s="233" t="s">
        <v>826</v>
      </c>
      <c r="C129" s="230" t="s">
        <v>160</v>
      </c>
      <c r="D129" s="224" t="s">
        <v>827</v>
      </c>
      <c r="E129" s="224" t="s">
        <v>69</v>
      </c>
      <c r="F129" s="225" t="s">
        <v>828</v>
      </c>
      <c r="G129" s="224" t="s">
        <v>40</v>
      </c>
      <c r="H129" s="234">
        <v>1000</v>
      </c>
      <c r="I129" s="235" t="s">
        <v>152</v>
      </c>
      <c r="J129" s="224" t="s">
        <v>147</v>
      </c>
      <c r="K129" s="224" t="s">
        <v>41</v>
      </c>
      <c r="M129">
        <f t="shared" si="0"/>
        <v>200</v>
      </c>
    </row>
    <row r="130" spans="1:13" x14ac:dyDescent="0.25">
      <c r="A130" s="246">
        <v>16</v>
      </c>
      <c r="B130" s="233" t="s">
        <v>826</v>
      </c>
      <c r="C130" s="230" t="s">
        <v>160</v>
      </c>
      <c r="D130" s="224" t="s">
        <v>827</v>
      </c>
      <c r="E130" s="224" t="s">
        <v>69</v>
      </c>
      <c r="F130" s="225" t="s">
        <v>828</v>
      </c>
      <c r="G130" s="292" t="s">
        <v>465</v>
      </c>
      <c r="H130" s="234">
        <v>400</v>
      </c>
      <c r="I130" s="235" t="s">
        <v>152</v>
      </c>
      <c r="J130" s="224" t="s">
        <v>147</v>
      </c>
      <c r="K130" s="224" t="s">
        <v>41</v>
      </c>
      <c r="M130">
        <f t="shared" si="0"/>
        <v>80</v>
      </c>
    </row>
    <row r="131" spans="1:13" x14ac:dyDescent="0.25">
      <c r="A131" s="246">
        <v>19</v>
      </c>
      <c r="B131" s="233" t="s">
        <v>829</v>
      </c>
      <c r="C131" s="230" t="s">
        <v>160</v>
      </c>
      <c r="D131" s="224" t="s">
        <v>830</v>
      </c>
      <c r="E131" s="224" t="s">
        <v>56</v>
      </c>
      <c r="F131" s="225" t="s">
        <v>831</v>
      </c>
      <c r="G131" s="224" t="s">
        <v>40</v>
      </c>
      <c r="H131" s="234">
        <v>150</v>
      </c>
      <c r="I131" s="235">
        <v>30</v>
      </c>
      <c r="J131" s="224" t="s">
        <v>147</v>
      </c>
      <c r="K131" s="224" t="s">
        <v>41</v>
      </c>
      <c r="M131">
        <f t="shared" si="0"/>
        <v>30</v>
      </c>
    </row>
    <row r="132" spans="1:13" x14ac:dyDescent="0.25">
      <c r="A132" s="246">
        <v>19</v>
      </c>
      <c r="B132" s="233" t="s">
        <v>832</v>
      </c>
      <c r="C132" s="230" t="s">
        <v>160</v>
      </c>
      <c r="D132" s="224" t="s">
        <v>379</v>
      </c>
      <c r="E132" s="224" t="s">
        <v>58</v>
      </c>
      <c r="F132" s="225" t="s">
        <v>833</v>
      </c>
      <c r="G132" s="224" t="s">
        <v>40</v>
      </c>
      <c r="H132" s="234">
        <v>2000</v>
      </c>
      <c r="I132" s="235">
        <v>400</v>
      </c>
      <c r="J132" s="224" t="s">
        <v>147</v>
      </c>
      <c r="K132" s="224" t="s">
        <v>41</v>
      </c>
      <c r="M132">
        <f t="shared" si="0"/>
        <v>400</v>
      </c>
    </row>
    <row r="133" spans="1:13" x14ac:dyDescent="0.25">
      <c r="A133" s="246">
        <v>19</v>
      </c>
      <c r="B133" s="233" t="s">
        <v>834</v>
      </c>
      <c r="C133" s="230" t="s">
        <v>160</v>
      </c>
      <c r="D133" s="224" t="s">
        <v>189</v>
      </c>
      <c r="E133" s="224" t="s">
        <v>63</v>
      </c>
      <c r="F133" s="225" t="s">
        <v>835</v>
      </c>
      <c r="G133" s="283" t="s">
        <v>377</v>
      </c>
      <c r="H133" s="234">
        <v>500</v>
      </c>
      <c r="I133" s="235">
        <v>100</v>
      </c>
      <c r="J133" s="224" t="s">
        <v>147</v>
      </c>
      <c r="K133" s="224" t="s">
        <v>41</v>
      </c>
      <c r="M133">
        <f t="shared" si="0"/>
        <v>100</v>
      </c>
    </row>
    <row r="134" spans="1:13" x14ac:dyDescent="0.25">
      <c r="A134" s="246">
        <v>19</v>
      </c>
      <c r="B134" s="233" t="s">
        <v>836</v>
      </c>
      <c r="C134" s="269" t="s">
        <v>163</v>
      </c>
      <c r="D134" s="224" t="s">
        <v>837</v>
      </c>
      <c r="E134" s="224" t="s">
        <v>45</v>
      </c>
      <c r="F134" s="225" t="s">
        <v>838</v>
      </c>
      <c r="G134" s="224" t="s">
        <v>40</v>
      </c>
      <c r="H134" s="234">
        <v>800</v>
      </c>
      <c r="I134" s="235">
        <v>160</v>
      </c>
      <c r="J134" s="224" t="s">
        <v>147</v>
      </c>
      <c r="K134" s="224" t="s">
        <v>41</v>
      </c>
      <c r="M134">
        <f t="shared" si="0"/>
        <v>160</v>
      </c>
    </row>
    <row r="135" spans="1:13" x14ac:dyDescent="0.25">
      <c r="A135" s="246">
        <v>19</v>
      </c>
      <c r="B135" s="233" t="s">
        <v>839</v>
      </c>
      <c r="C135" s="230" t="s">
        <v>160</v>
      </c>
      <c r="D135" s="224" t="s">
        <v>388</v>
      </c>
      <c r="E135" s="224" t="s">
        <v>48</v>
      </c>
      <c r="F135" s="225" t="s">
        <v>840</v>
      </c>
      <c r="G135" s="224" t="s">
        <v>40</v>
      </c>
      <c r="H135" s="234">
        <v>200</v>
      </c>
      <c r="I135" s="235">
        <v>40</v>
      </c>
      <c r="J135" s="224" t="s">
        <v>147</v>
      </c>
      <c r="K135" s="224" t="s">
        <v>41</v>
      </c>
      <c r="M135">
        <f t="shared" si="0"/>
        <v>40</v>
      </c>
    </row>
    <row r="136" spans="1:13" x14ac:dyDescent="0.25">
      <c r="A136" s="246">
        <v>19</v>
      </c>
      <c r="B136" s="233" t="s">
        <v>841</v>
      </c>
      <c r="C136" s="230" t="s">
        <v>160</v>
      </c>
      <c r="D136" s="224" t="s">
        <v>287</v>
      </c>
      <c r="E136" s="224" t="s">
        <v>47</v>
      </c>
      <c r="F136" s="225" t="s">
        <v>842</v>
      </c>
      <c r="G136" s="224" t="s">
        <v>40</v>
      </c>
      <c r="H136" s="234">
        <v>350</v>
      </c>
      <c r="I136" s="235">
        <v>70</v>
      </c>
      <c r="J136" s="224" t="s">
        <v>147</v>
      </c>
      <c r="K136" s="224" t="s">
        <v>41</v>
      </c>
      <c r="M136">
        <f t="shared" si="0"/>
        <v>70</v>
      </c>
    </row>
    <row r="137" spans="1:13" x14ac:dyDescent="0.25">
      <c r="A137" s="246">
        <v>19</v>
      </c>
      <c r="B137" s="233" t="s">
        <v>843</v>
      </c>
      <c r="C137" s="230" t="s">
        <v>160</v>
      </c>
      <c r="D137" s="224" t="s">
        <v>255</v>
      </c>
      <c r="E137" s="224" t="s">
        <v>57</v>
      </c>
      <c r="F137" s="225" t="s">
        <v>844</v>
      </c>
      <c r="G137" s="224" t="s">
        <v>40</v>
      </c>
      <c r="H137" s="234">
        <v>1500</v>
      </c>
      <c r="I137" s="235">
        <v>300</v>
      </c>
      <c r="J137" s="224" t="s">
        <v>147</v>
      </c>
      <c r="K137" s="224" t="s">
        <v>41</v>
      </c>
      <c r="M137">
        <f t="shared" si="0"/>
        <v>300</v>
      </c>
    </row>
    <row r="138" spans="1:13" x14ac:dyDescent="0.25">
      <c r="A138" s="246">
        <v>19</v>
      </c>
      <c r="B138" s="233" t="s">
        <v>845</v>
      </c>
      <c r="C138" s="269" t="s">
        <v>163</v>
      </c>
      <c r="D138" s="224" t="s">
        <v>375</v>
      </c>
      <c r="E138" s="224" t="s">
        <v>43</v>
      </c>
      <c r="F138" s="225" t="s">
        <v>846</v>
      </c>
      <c r="G138" s="224" t="s">
        <v>40</v>
      </c>
      <c r="H138" s="234">
        <v>5000</v>
      </c>
      <c r="I138" s="235">
        <v>1000</v>
      </c>
      <c r="J138" s="224" t="s">
        <v>147</v>
      </c>
      <c r="K138" s="224" t="s">
        <v>41</v>
      </c>
      <c r="M138">
        <f t="shared" si="0"/>
        <v>1000</v>
      </c>
    </row>
    <row r="139" spans="1:13" x14ac:dyDescent="0.25">
      <c r="A139" s="246">
        <v>19</v>
      </c>
      <c r="B139" s="233" t="s">
        <v>847</v>
      </c>
      <c r="C139" s="230" t="s">
        <v>160</v>
      </c>
      <c r="D139" s="224" t="s">
        <v>299</v>
      </c>
      <c r="E139" s="224" t="s">
        <v>42</v>
      </c>
      <c r="F139" s="225"/>
      <c r="G139" s="283" t="s">
        <v>377</v>
      </c>
      <c r="H139" s="234">
        <v>3000</v>
      </c>
      <c r="I139" s="235">
        <v>600</v>
      </c>
      <c r="J139" s="224" t="s">
        <v>147</v>
      </c>
      <c r="K139" s="224" t="s">
        <v>41</v>
      </c>
      <c r="M139">
        <f t="shared" si="0"/>
        <v>600</v>
      </c>
    </row>
    <row r="140" spans="1:13" x14ac:dyDescent="0.25">
      <c r="A140" s="246">
        <v>19</v>
      </c>
      <c r="B140" s="233" t="s">
        <v>848</v>
      </c>
      <c r="C140" s="230" t="s">
        <v>160</v>
      </c>
      <c r="D140" s="224" t="s">
        <v>262</v>
      </c>
      <c r="E140" s="224" t="s">
        <v>69</v>
      </c>
      <c r="F140" s="225" t="s">
        <v>849</v>
      </c>
      <c r="G140" s="224" t="s">
        <v>40</v>
      </c>
      <c r="H140" s="234">
        <v>5000</v>
      </c>
      <c r="I140" s="235" t="s">
        <v>152</v>
      </c>
      <c r="J140" s="224" t="s">
        <v>147</v>
      </c>
      <c r="K140" s="224" t="s">
        <v>41</v>
      </c>
      <c r="M140">
        <f t="shared" si="0"/>
        <v>1000</v>
      </c>
    </row>
    <row r="141" spans="1:13" x14ac:dyDescent="0.25">
      <c r="A141" s="246">
        <v>19</v>
      </c>
      <c r="B141" s="233" t="s">
        <v>850</v>
      </c>
      <c r="C141" s="230" t="s">
        <v>160</v>
      </c>
      <c r="D141" s="224" t="s">
        <v>523</v>
      </c>
      <c r="E141" s="224" t="s">
        <v>42</v>
      </c>
      <c r="F141" s="225"/>
      <c r="G141" s="230" t="s">
        <v>40</v>
      </c>
      <c r="H141" s="234">
        <v>3500</v>
      </c>
      <c r="I141" s="235">
        <v>700</v>
      </c>
      <c r="J141" s="224" t="s">
        <v>147</v>
      </c>
      <c r="K141" s="224" t="s">
        <v>41</v>
      </c>
      <c r="M141">
        <f t="shared" si="0"/>
        <v>700</v>
      </c>
    </row>
    <row r="142" spans="1:13" x14ac:dyDescent="0.25">
      <c r="A142" s="246">
        <v>19</v>
      </c>
      <c r="B142" s="233" t="s">
        <v>851</v>
      </c>
      <c r="C142" s="230" t="s">
        <v>160</v>
      </c>
      <c r="D142" s="224" t="s">
        <v>483</v>
      </c>
      <c r="E142" s="224" t="s">
        <v>42</v>
      </c>
      <c r="F142" s="225" t="s">
        <v>852</v>
      </c>
      <c r="G142" s="230" t="s">
        <v>40</v>
      </c>
      <c r="H142" s="234">
        <v>1600</v>
      </c>
      <c r="I142" s="235">
        <v>320</v>
      </c>
      <c r="J142" s="224" t="s">
        <v>147</v>
      </c>
      <c r="K142" s="224" t="s">
        <v>41</v>
      </c>
      <c r="M142">
        <f t="shared" si="0"/>
        <v>320</v>
      </c>
    </row>
    <row r="143" spans="1:13" x14ac:dyDescent="0.25">
      <c r="A143" s="246">
        <v>19</v>
      </c>
      <c r="B143" s="233" t="s">
        <v>853</v>
      </c>
      <c r="C143" s="230" t="s">
        <v>160</v>
      </c>
      <c r="D143" s="224" t="s">
        <v>854</v>
      </c>
      <c r="E143" s="224" t="s">
        <v>57</v>
      </c>
      <c r="F143" s="225" t="s">
        <v>855</v>
      </c>
      <c r="G143" s="230" t="s">
        <v>40</v>
      </c>
      <c r="H143" s="234">
        <v>2000</v>
      </c>
      <c r="I143" s="235">
        <v>400</v>
      </c>
      <c r="J143" s="224" t="s">
        <v>147</v>
      </c>
      <c r="K143" s="224" t="s">
        <v>41</v>
      </c>
      <c r="M143">
        <f t="shared" si="0"/>
        <v>400</v>
      </c>
    </row>
    <row r="144" spans="1:13" x14ac:dyDescent="0.25">
      <c r="A144" s="246">
        <v>19</v>
      </c>
      <c r="B144" s="233" t="s">
        <v>856</v>
      </c>
      <c r="C144" s="230" t="s">
        <v>160</v>
      </c>
      <c r="D144" s="224" t="s">
        <v>857</v>
      </c>
      <c r="E144" s="224" t="s">
        <v>79</v>
      </c>
      <c r="F144" s="225" t="s">
        <v>858</v>
      </c>
      <c r="G144" s="230" t="s">
        <v>40</v>
      </c>
      <c r="H144" s="234">
        <v>100</v>
      </c>
      <c r="I144" s="235">
        <v>20</v>
      </c>
      <c r="J144" s="224" t="s">
        <v>147</v>
      </c>
      <c r="K144" s="224" t="s">
        <v>41</v>
      </c>
      <c r="M144">
        <f t="shared" si="0"/>
        <v>20</v>
      </c>
    </row>
    <row r="145" spans="1:13" x14ac:dyDescent="0.25">
      <c r="A145" s="246">
        <v>21</v>
      </c>
      <c r="B145" s="233" t="s">
        <v>859</v>
      </c>
      <c r="C145" s="269" t="s">
        <v>163</v>
      </c>
      <c r="D145" s="224" t="s">
        <v>860</v>
      </c>
      <c r="E145" s="224" t="s">
        <v>75</v>
      </c>
      <c r="F145" s="225" t="s">
        <v>861</v>
      </c>
      <c r="G145" s="230" t="s">
        <v>40</v>
      </c>
      <c r="H145" s="234">
        <v>17000</v>
      </c>
      <c r="I145" s="235">
        <v>3400</v>
      </c>
      <c r="J145" s="224" t="s">
        <v>147</v>
      </c>
      <c r="K145" s="224" t="s">
        <v>41</v>
      </c>
      <c r="M145">
        <f t="shared" si="0"/>
        <v>3400</v>
      </c>
    </row>
    <row r="146" spans="1:13" x14ac:dyDescent="0.25">
      <c r="A146" s="246">
        <v>21</v>
      </c>
      <c r="B146" s="233" t="s">
        <v>862</v>
      </c>
      <c r="C146" s="269" t="s">
        <v>163</v>
      </c>
      <c r="D146" s="224" t="s">
        <v>863</v>
      </c>
      <c r="E146" s="224" t="s">
        <v>75</v>
      </c>
      <c r="F146" s="225" t="s">
        <v>864</v>
      </c>
      <c r="G146" s="230" t="s">
        <v>40</v>
      </c>
      <c r="H146" s="234">
        <v>2500</v>
      </c>
      <c r="I146" s="235">
        <v>500</v>
      </c>
      <c r="J146" s="224" t="s">
        <v>147</v>
      </c>
      <c r="K146" s="224" t="s">
        <v>41</v>
      </c>
      <c r="M146">
        <f t="shared" si="0"/>
        <v>500</v>
      </c>
    </row>
    <row r="147" spans="1:13" x14ac:dyDescent="0.25">
      <c r="A147" s="246">
        <v>21</v>
      </c>
      <c r="B147" s="233" t="s">
        <v>865</v>
      </c>
      <c r="C147" s="230" t="s">
        <v>160</v>
      </c>
      <c r="D147" s="224" t="s">
        <v>226</v>
      </c>
      <c r="E147" s="224" t="s">
        <v>43</v>
      </c>
      <c r="F147" s="225"/>
      <c r="G147" s="283" t="s">
        <v>377</v>
      </c>
      <c r="H147" s="234">
        <v>200</v>
      </c>
      <c r="I147" s="235">
        <v>40</v>
      </c>
      <c r="J147" s="224" t="s">
        <v>147</v>
      </c>
      <c r="K147" s="224" t="s">
        <v>41</v>
      </c>
      <c r="M147">
        <f t="shared" si="0"/>
        <v>40</v>
      </c>
    </row>
    <row r="148" spans="1:13" x14ac:dyDescent="0.25">
      <c r="A148" s="246">
        <v>21</v>
      </c>
      <c r="B148" s="233" t="s">
        <v>866</v>
      </c>
      <c r="C148" s="230" t="s">
        <v>160</v>
      </c>
      <c r="D148" s="224" t="s">
        <v>867</v>
      </c>
      <c r="E148" s="224" t="s">
        <v>69</v>
      </c>
      <c r="F148" s="225" t="s">
        <v>868</v>
      </c>
      <c r="G148" s="230" t="s">
        <v>40</v>
      </c>
      <c r="H148" s="234">
        <v>5000</v>
      </c>
      <c r="I148" s="235">
        <v>1000</v>
      </c>
      <c r="J148" s="224" t="s">
        <v>147</v>
      </c>
      <c r="K148" s="224" t="s">
        <v>41</v>
      </c>
      <c r="M148">
        <f t="shared" si="0"/>
        <v>1000</v>
      </c>
    </row>
    <row r="149" spans="1:13" x14ac:dyDescent="0.25">
      <c r="A149" s="246">
        <v>21</v>
      </c>
      <c r="B149" s="233" t="s">
        <v>866</v>
      </c>
      <c r="C149" s="230" t="s">
        <v>160</v>
      </c>
      <c r="D149" s="224" t="s">
        <v>867</v>
      </c>
      <c r="E149" s="224" t="s">
        <v>69</v>
      </c>
      <c r="F149" s="225" t="s">
        <v>868</v>
      </c>
      <c r="G149" s="230" t="s">
        <v>40</v>
      </c>
      <c r="H149" s="234">
        <v>650</v>
      </c>
      <c r="I149" s="235" t="s">
        <v>152</v>
      </c>
      <c r="J149" s="224" t="s">
        <v>147</v>
      </c>
      <c r="K149" s="224" t="s">
        <v>41</v>
      </c>
      <c r="M149">
        <f t="shared" si="0"/>
        <v>130</v>
      </c>
    </row>
    <row r="150" spans="1:13" x14ac:dyDescent="0.25">
      <c r="A150" s="246">
        <v>21</v>
      </c>
      <c r="B150" s="233" t="s">
        <v>869</v>
      </c>
      <c r="C150" s="230" t="s">
        <v>160</v>
      </c>
      <c r="D150" s="224" t="s">
        <v>870</v>
      </c>
      <c r="E150" s="224" t="s">
        <v>43</v>
      </c>
      <c r="F150" s="225"/>
      <c r="G150" s="283" t="s">
        <v>377</v>
      </c>
      <c r="H150" s="234">
        <v>100</v>
      </c>
      <c r="I150" s="235">
        <v>20</v>
      </c>
      <c r="J150" s="224" t="s">
        <v>147</v>
      </c>
      <c r="K150" s="224" t="s">
        <v>41</v>
      </c>
      <c r="M150">
        <f t="shared" si="0"/>
        <v>20</v>
      </c>
    </row>
    <row r="151" spans="1:13" x14ac:dyDescent="0.25">
      <c r="A151" s="246">
        <v>21</v>
      </c>
      <c r="B151" s="233" t="s">
        <v>871</v>
      </c>
      <c r="C151" s="230" t="s">
        <v>160</v>
      </c>
      <c r="D151" s="224" t="s">
        <v>189</v>
      </c>
      <c r="E151" s="224" t="s">
        <v>54</v>
      </c>
      <c r="F151" s="225"/>
      <c r="G151" s="230" t="s">
        <v>40</v>
      </c>
      <c r="H151" s="234">
        <v>1000</v>
      </c>
      <c r="I151" s="235">
        <v>200</v>
      </c>
      <c r="J151" s="224" t="s">
        <v>147</v>
      </c>
      <c r="K151" s="224" t="s">
        <v>41</v>
      </c>
      <c r="M151">
        <f t="shared" si="0"/>
        <v>200</v>
      </c>
    </row>
    <row r="152" spans="1:13" x14ac:dyDescent="0.25">
      <c r="A152" s="246">
        <v>21</v>
      </c>
      <c r="B152" s="233" t="s">
        <v>876</v>
      </c>
      <c r="C152" s="230" t="s">
        <v>160</v>
      </c>
      <c r="D152" s="224" t="s">
        <v>877</v>
      </c>
      <c r="E152" s="224" t="s">
        <v>42</v>
      </c>
      <c r="F152" s="225" t="s">
        <v>878</v>
      </c>
      <c r="G152" s="230" t="s">
        <v>40</v>
      </c>
      <c r="H152" s="234">
        <v>1500</v>
      </c>
      <c r="I152" s="235">
        <v>300</v>
      </c>
      <c r="J152" s="224" t="s">
        <v>147</v>
      </c>
      <c r="K152" s="224" t="s">
        <v>41</v>
      </c>
      <c r="M152">
        <f t="shared" si="0"/>
        <v>300</v>
      </c>
    </row>
    <row r="153" spans="1:13" x14ac:dyDescent="0.25">
      <c r="A153" s="246">
        <v>21</v>
      </c>
      <c r="B153" s="233" t="s">
        <v>879</v>
      </c>
      <c r="C153" s="230" t="s">
        <v>160</v>
      </c>
      <c r="D153" s="224" t="s">
        <v>880</v>
      </c>
      <c r="E153" s="224" t="s">
        <v>79</v>
      </c>
      <c r="F153" s="225" t="s">
        <v>881</v>
      </c>
      <c r="G153" s="230" t="s">
        <v>40</v>
      </c>
      <c r="H153" s="234">
        <v>1500</v>
      </c>
      <c r="I153" s="235">
        <v>300</v>
      </c>
      <c r="J153" s="224" t="s">
        <v>147</v>
      </c>
      <c r="K153" s="224" t="s">
        <v>41</v>
      </c>
      <c r="M153">
        <f t="shared" si="0"/>
        <v>300</v>
      </c>
    </row>
    <row r="154" spans="1:13" x14ac:dyDescent="0.25">
      <c r="A154" s="246">
        <v>21</v>
      </c>
      <c r="B154" s="233" t="s">
        <v>882</v>
      </c>
      <c r="C154" s="269" t="s">
        <v>163</v>
      </c>
      <c r="D154" s="224" t="s">
        <v>883</v>
      </c>
      <c r="E154" s="224" t="s">
        <v>58</v>
      </c>
      <c r="F154" s="225" t="s">
        <v>884</v>
      </c>
      <c r="G154" s="230" t="s">
        <v>40</v>
      </c>
      <c r="H154" s="234">
        <v>1500</v>
      </c>
      <c r="I154" s="235">
        <v>300</v>
      </c>
      <c r="J154" s="224" t="s">
        <v>147</v>
      </c>
      <c r="K154" s="224" t="s">
        <v>41</v>
      </c>
      <c r="M154">
        <f t="shared" si="0"/>
        <v>300</v>
      </c>
    </row>
    <row r="155" spans="1:13" x14ac:dyDescent="0.25">
      <c r="A155" s="246">
        <v>22</v>
      </c>
      <c r="B155" s="233" t="s">
        <v>885</v>
      </c>
      <c r="C155" s="230" t="s">
        <v>160</v>
      </c>
      <c r="D155" s="224" t="s">
        <v>886</v>
      </c>
      <c r="E155" s="224" t="s">
        <v>57</v>
      </c>
      <c r="F155" s="225" t="s">
        <v>887</v>
      </c>
      <c r="G155" s="230" t="s">
        <v>40</v>
      </c>
      <c r="H155" s="234">
        <v>1500</v>
      </c>
      <c r="I155" s="235">
        <v>300</v>
      </c>
      <c r="J155" s="224" t="s">
        <v>147</v>
      </c>
      <c r="K155" s="224" t="s">
        <v>41</v>
      </c>
      <c r="M155">
        <f t="shared" si="0"/>
        <v>300</v>
      </c>
    </row>
    <row r="156" spans="1:13" x14ac:dyDescent="0.25">
      <c r="A156" s="246">
        <v>22</v>
      </c>
      <c r="B156" s="233" t="s">
        <v>888</v>
      </c>
      <c r="C156" s="230" t="s">
        <v>160</v>
      </c>
      <c r="D156" s="224"/>
      <c r="E156" s="224" t="s">
        <v>43</v>
      </c>
      <c r="F156" s="225" t="s">
        <v>889</v>
      </c>
      <c r="G156" s="230" t="s">
        <v>40</v>
      </c>
      <c r="H156" s="234">
        <v>300</v>
      </c>
      <c r="I156" s="235">
        <v>60</v>
      </c>
      <c r="J156" s="224" t="s">
        <v>147</v>
      </c>
      <c r="K156" s="224" t="s">
        <v>41</v>
      </c>
      <c r="M156">
        <f t="shared" si="0"/>
        <v>60</v>
      </c>
    </row>
    <row r="157" spans="1:13" x14ac:dyDescent="0.25">
      <c r="A157" s="246">
        <v>22</v>
      </c>
      <c r="B157" s="233" t="s">
        <v>890</v>
      </c>
      <c r="C157" s="230" t="s">
        <v>160</v>
      </c>
      <c r="D157" s="224" t="s">
        <v>618</v>
      </c>
      <c r="E157" s="224" t="s">
        <v>43</v>
      </c>
      <c r="F157" s="225" t="s">
        <v>891</v>
      </c>
      <c r="G157" s="230" t="s">
        <v>40</v>
      </c>
      <c r="H157" s="234">
        <v>8500</v>
      </c>
      <c r="I157" s="235">
        <v>1700</v>
      </c>
      <c r="J157" s="224" t="s">
        <v>147</v>
      </c>
      <c r="K157" s="224" t="s">
        <v>41</v>
      </c>
      <c r="M157">
        <f t="shared" si="0"/>
        <v>1700</v>
      </c>
    </row>
    <row r="158" spans="1:13" x14ac:dyDescent="0.25">
      <c r="A158" s="246">
        <v>22</v>
      </c>
      <c r="B158" s="233" t="s">
        <v>892</v>
      </c>
      <c r="C158" s="230" t="s">
        <v>160</v>
      </c>
      <c r="D158" s="224" t="s">
        <v>180</v>
      </c>
      <c r="E158" s="224" t="s">
        <v>69</v>
      </c>
      <c r="F158" s="225" t="s">
        <v>893</v>
      </c>
      <c r="G158" s="230" t="s">
        <v>40</v>
      </c>
      <c r="H158" s="234">
        <v>6000</v>
      </c>
      <c r="I158" s="235" t="s">
        <v>152</v>
      </c>
      <c r="J158" s="224" t="s">
        <v>147</v>
      </c>
      <c r="K158" s="224" t="s">
        <v>41</v>
      </c>
      <c r="M158">
        <f t="shared" si="0"/>
        <v>1200</v>
      </c>
    </row>
    <row r="159" spans="1:13" x14ac:dyDescent="0.25">
      <c r="A159" s="246">
        <v>22</v>
      </c>
      <c r="B159" s="233" t="s">
        <v>894</v>
      </c>
      <c r="C159" s="269" t="s">
        <v>163</v>
      </c>
      <c r="D159" s="224" t="s">
        <v>573</v>
      </c>
      <c r="E159" s="224" t="s">
        <v>69</v>
      </c>
      <c r="F159" s="225" t="s">
        <v>895</v>
      </c>
      <c r="G159" s="230" t="s">
        <v>40</v>
      </c>
      <c r="H159" s="234">
        <v>500</v>
      </c>
      <c r="I159" s="235" t="s">
        <v>152</v>
      </c>
      <c r="J159" s="224" t="s">
        <v>147</v>
      </c>
      <c r="K159" s="224" t="s">
        <v>41</v>
      </c>
      <c r="M159">
        <f t="shared" si="0"/>
        <v>100</v>
      </c>
    </row>
    <row r="160" spans="1:13" x14ac:dyDescent="0.25">
      <c r="A160" s="246">
        <v>22</v>
      </c>
      <c r="B160" s="233" t="s">
        <v>896</v>
      </c>
      <c r="C160" s="230" t="s">
        <v>160</v>
      </c>
      <c r="D160" s="224" t="s">
        <v>897</v>
      </c>
      <c r="E160" s="224" t="s">
        <v>42</v>
      </c>
      <c r="F160" s="225" t="s">
        <v>898</v>
      </c>
      <c r="G160" s="230" t="s">
        <v>40</v>
      </c>
      <c r="H160" s="234">
        <v>1125</v>
      </c>
      <c r="I160" s="235" t="s">
        <v>152</v>
      </c>
      <c r="J160" s="224" t="s">
        <v>147</v>
      </c>
      <c r="K160" s="224" t="s">
        <v>41</v>
      </c>
      <c r="M160">
        <f t="shared" si="0"/>
        <v>225</v>
      </c>
    </row>
    <row r="161" spans="1:16" x14ac:dyDescent="0.25">
      <c r="A161" s="246">
        <v>22</v>
      </c>
      <c r="B161" s="233" t="s">
        <v>902</v>
      </c>
      <c r="C161" s="230" t="s">
        <v>160</v>
      </c>
      <c r="D161" s="224" t="s">
        <v>167</v>
      </c>
      <c r="E161" s="224" t="s">
        <v>43</v>
      </c>
      <c r="F161" s="225" t="s">
        <v>903</v>
      </c>
      <c r="G161" s="230" t="s">
        <v>40</v>
      </c>
      <c r="H161" s="234">
        <v>600</v>
      </c>
      <c r="I161" s="235">
        <v>120</v>
      </c>
      <c r="J161" s="224" t="s">
        <v>147</v>
      </c>
      <c r="K161" s="224" t="s">
        <v>41</v>
      </c>
      <c r="M161">
        <f t="shared" si="0"/>
        <v>120</v>
      </c>
    </row>
    <row r="162" spans="1:16" x14ac:dyDescent="0.25">
      <c r="A162" s="246">
        <v>22</v>
      </c>
      <c r="B162" s="233" t="s">
        <v>904</v>
      </c>
      <c r="C162" s="230" t="s">
        <v>160</v>
      </c>
      <c r="D162" s="224" t="s">
        <v>196</v>
      </c>
      <c r="E162" s="224" t="s">
        <v>56</v>
      </c>
      <c r="F162" s="225" t="s">
        <v>905</v>
      </c>
      <c r="G162" s="230" t="s">
        <v>40</v>
      </c>
      <c r="H162" s="234">
        <v>1200</v>
      </c>
      <c r="I162" s="235">
        <v>240</v>
      </c>
      <c r="J162" s="224" t="s">
        <v>147</v>
      </c>
      <c r="K162" s="224" t="s">
        <v>41</v>
      </c>
      <c r="M162">
        <f t="shared" si="0"/>
        <v>240</v>
      </c>
    </row>
    <row r="163" spans="1:16" x14ac:dyDescent="0.25">
      <c r="A163" s="246">
        <v>22</v>
      </c>
      <c r="B163" s="233" t="s">
        <v>904</v>
      </c>
      <c r="C163" s="230" t="s">
        <v>160</v>
      </c>
      <c r="D163" s="224" t="s">
        <v>196</v>
      </c>
      <c r="E163" s="224" t="s">
        <v>56</v>
      </c>
      <c r="F163" s="225" t="s">
        <v>905</v>
      </c>
      <c r="G163" s="283" t="s">
        <v>377</v>
      </c>
      <c r="H163" s="234">
        <v>1200</v>
      </c>
      <c r="I163" s="235">
        <v>240</v>
      </c>
      <c r="J163" s="224" t="s">
        <v>147</v>
      </c>
      <c r="K163" s="224" t="s">
        <v>41</v>
      </c>
      <c r="M163">
        <f t="shared" si="0"/>
        <v>240</v>
      </c>
    </row>
    <row r="164" spans="1:16" x14ac:dyDescent="0.25">
      <c r="A164" s="246">
        <v>22</v>
      </c>
      <c r="B164" s="233" t="s">
        <v>906</v>
      </c>
      <c r="C164" s="230" t="s">
        <v>160</v>
      </c>
      <c r="D164" s="224" t="s">
        <v>907</v>
      </c>
      <c r="E164" s="224" t="s">
        <v>47</v>
      </c>
      <c r="F164" s="225" t="s">
        <v>908</v>
      </c>
      <c r="G164" s="230" t="s">
        <v>40</v>
      </c>
      <c r="H164" s="234">
        <v>10000</v>
      </c>
      <c r="I164" s="235">
        <v>2000</v>
      </c>
      <c r="J164" s="224" t="s">
        <v>147</v>
      </c>
      <c r="K164" s="224" t="s">
        <v>41</v>
      </c>
      <c r="M164">
        <f t="shared" si="0"/>
        <v>2000</v>
      </c>
    </row>
    <row r="165" spans="1:16" x14ac:dyDescent="0.25">
      <c r="A165" s="246">
        <v>26</v>
      </c>
      <c r="B165" s="233" t="s">
        <v>910</v>
      </c>
      <c r="C165" s="230" t="s">
        <v>160</v>
      </c>
      <c r="D165" s="224" t="s">
        <v>911</v>
      </c>
      <c r="E165" s="224" t="s">
        <v>49</v>
      </c>
      <c r="F165" s="225" t="s">
        <v>912</v>
      </c>
      <c r="G165" s="230" t="s">
        <v>40</v>
      </c>
      <c r="H165" s="234">
        <v>100</v>
      </c>
      <c r="I165" s="235">
        <v>20</v>
      </c>
      <c r="J165" s="224" t="s">
        <v>147</v>
      </c>
      <c r="K165" s="224" t="s">
        <v>41</v>
      </c>
      <c r="M165">
        <f t="shared" si="0"/>
        <v>20</v>
      </c>
    </row>
    <row r="166" spans="1:16" x14ac:dyDescent="0.25">
      <c r="A166" s="246">
        <v>26</v>
      </c>
      <c r="B166" s="233" t="s">
        <v>913</v>
      </c>
      <c r="C166" s="230" t="s">
        <v>160</v>
      </c>
      <c r="D166" s="224" t="s">
        <v>914</v>
      </c>
      <c r="E166" s="224" t="s">
        <v>42</v>
      </c>
      <c r="F166" s="225" t="s">
        <v>915</v>
      </c>
      <c r="G166" s="230" t="s">
        <v>40</v>
      </c>
      <c r="H166" s="234">
        <v>4000</v>
      </c>
      <c r="I166" s="235">
        <v>800</v>
      </c>
      <c r="J166" s="224" t="s">
        <v>147</v>
      </c>
      <c r="K166" s="224" t="s">
        <v>41</v>
      </c>
      <c r="M166">
        <f t="shared" si="0"/>
        <v>800</v>
      </c>
    </row>
    <row r="167" spans="1:16" x14ac:dyDescent="0.25">
      <c r="A167" s="246">
        <v>26</v>
      </c>
      <c r="B167" s="233" t="s">
        <v>916</v>
      </c>
      <c r="C167" s="230" t="s">
        <v>160</v>
      </c>
      <c r="D167" s="224" t="s">
        <v>911</v>
      </c>
      <c r="E167" s="224" t="s">
        <v>49</v>
      </c>
      <c r="F167" s="225" t="s">
        <v>917</v>
      </c>
      <c r="G167" s="224" t="s">
        <v>40</v>
      </c>
      <c r="H167" s="234">
        <v>3000</v>
      </c>
      <c r="I167" s="235">
        <v>600</v>
      </c>
      <c r="J167" s="224" t="s">
        <v>147</v>
      </c>
      <c r="K167" s="224" t="s">
        <v>41</v>
      </c>
      <c r="M167">
        <f t="shared" si="0"/>
        <v>600</v>
      </c>
    </row>
    <row r="168" spans="1:16" x14ac:dyDescent="0.25">
      <c r="A168" s="246">
        <v>26</v>
      </c>
      <c r="B168" s="233" t="s">
        <v>918</v>
      </c>
      <c r="C168" s="230" t="s">
        <v>160</v>
      </c>
      <c r="D168" s="224" t="s">
        <v>621</v>
      </c>
      <c r="E168" s="224" t="s">
        <v>69</v>
      </c>
      <c r="F168" s="225" t="s">
        <v>919</v>
      </c>
      <c r="G168" s="224" t="s">
        <v>40</v>
      </c>
      <c r="H168" s="234">
        <v>2000</v>
      </c>
      <c r="I168" s="235">
        <v>400</v>
      </c>
      <c r="J168" s="224" t="s">
        <v>147</v>
      </c>
      <c r="K168" s="224" t="s">
        <v>41</v>
      </c>
      <c r="M168">
        <f t="shared" si="0"/>
        <v>400</v>
      </c>
    </row>
    <row r="169" spans="1:16" x14ac:dyDescent="0.25">
      <c r="A169" s="246">
        <v>26</v>
      </c>
      <c r="B169" s="233" t="s">
        <v>920</v>
      </c>
      <c r="C169" s="230" t="s">
        <v>160</v>
      </c>
      <c r="D169" s="224" t="s">
        <v>237</v>
      </c>
      <c r="E169" s="224" t="s">
        <v>42</v>
      </c>
      <c r="F169" s="225" t="s">
        <v>921</v>
      </c>
      <c r="G169" s="224" t="s">
        <v>40</v>
      </c>
      <c r="H169" s="234">
        <v>1500</v>
      </c>
      <c r="I169" s="235">
        <v>300</v>
      </c>
      <c r="J169" s="224" t="s">
        <v>147</v>
      </c>
      <c r="K169" s="224" t="s">
        <v>41</v>
      </c>
      <c r="M169">
        <f t="shared" si="0"/>
        <v>300</v>
      </c>
      <c r="P169" s="69"/>
    </row>
    <row r="170" spans="1:16" x14ac:dyDescent="0.25">
      <c r="A170" s="246">
        <v>26</v>
      </c>
      <c r="B170" s="233" t="s">
        <v>922</v>
      </c>
      <c r="C170" s="230" t="s">
        <v>160</v>
      </c>
      <c r="D170" s="224" t="s">
        <v>290</v>
      </c>
      <c r="E170" s="224" t="s">
        <v>49</v>
      </c>
      <c r="F170" s="225" t="s">
        <v>923</v>
      </c>
      <c r="G170" s="224" t="s">
        <v>40</v>
      </c>
      <c r="H170" s="234">
        <v>1500</v>
      </c>
      <c r="I170" s="235">
        <v>300</v>
      </c>
      <c r="J170" s="224" t="s">
        <v>147</v>
      </c>
      <c r="K170" s="224" t="s">
        <v>41</v>
      </c>
      <c r="M170">
        <f t="shared" si="0"/>
        <v>300</v>
      </c>
      <c r="P170" s="69"/>
    </row>
    <row r="171" spans="1:16" x14ac:dyDescent="0.25">
      <c r="A171" s="246">
        <v>26</v>
      </c>
      <c r="B171" s="233" t="s">
        <v>924</v>
      </c>
      <c r="C171" s="230" t="s">
        <v>160</v>
      </c>
      <c r="D171" s="224" t="s">
        <v>299</v>
      </c>
      <c r="E171" s="224" t="s">
        <v>42</v>
      </c>
      <c r="F171" s="225" t="s">
        <v>925</v>
      </c>
      <c r="G171" s="224" t="s">
        <v>40</v>
      </c>
      <c r="H171" s="234">
        <v>2000</v>
      </c>
      <c r="I171" s="235">
        <v>400</v>
      </c>
      <c r="J171" s="224" t="s">
        <v>147</v>
      </c>
      <c r="K171" s="224" t="s">
        <v>41</v>
      </c>
      <c r="M171">
        <f t="shared" si="0"/>
        <v>400</v>
      </c>
    </row>
    <row r="172" spans="1:16" x14ac:dyDescent="0.25">
      <c r="A172" s="246">
        <v>26</v>
      </c>
      <c r="B172" s="233" t="s">
        <v>926</v>
      </c>
      <c r="C172" s="269" t="s">
        <v>163</v>
      </c>
      <c r="D172" s="224" t="s">
        <v>830</v>
      </c>
      <c r="E172" s="224" t="s">
        <v>56</v>
      </c>
      <c r="F172" s="225"/>
      <c r="G172" s="224" t="s">
        <v>40</v>
      </c>
      <c r="H172" s="234">
        <v>900</v>
      </c>
      <c r="I172" s="235">
        <v>180</v>
      </c>
      <c r="J172" s="224" t="s">
        <v>147</v>
      </c>
      <c r="K172" s="224" t="s">
        <v>41</v>
      </c>
      <c r="M172">
        <f t="shared" si="0"/>
        <v>180</v>
      </c>
    </row>
    <row r="173" spans="1:16" x14ac:dyDescent="0.25">
      <c r="A173" s="246">
        <v>26</v>
      </c>
      <c r="B173" s="233" t="s">
        <v>612</v>
      </c>
      <c r="C173" s="230" t="s">
        <v>160</v>
      </c>
      <c r="D173" s="224" t="s">
        <v>191</v>
      </c>
      <c r="E173" s="224" t="s">
        <v>43</v>
      </c>
      <c r="F173" s="225"/>
      <c r="G173" s="224" t="s">
        <v>40</v>
      </c>
      <c r="H173" s="234">
        <v>700</v>
      </c>
      <c r="I173" s="235">
        <v>140</v>
      </c>
      <c r="J173" s="224" t="s">
        <v>147</v>
      </c>
      <c r="K173" s="224" t="s">
        <v>41</v>
      </c>
      <c r="M173">
        <f t="shared" si="0"/>
        <v>140</v>
      </c>
    </row>
    <row r="174" spans="1:16" x14ac:dyDescent="0.25">
      <c r="A174" s="246">
        <v>26</v>
      </c>
      <c r="B174" s="233" t="s">
        <v>927</v>
      </c>
      <c r="C174" s="230" t="s">
        <v>160</v>
      </c>
      <c r="D174" s="224" t="s">
        <v>194</v>
      </c>
      <c r="E174" s="224" t="s">
        <v>43</v>
      </c>
      <c r="F174" s="225"/>
      <c r="G174" s="224" t="s">
        <v>40</v>
      </c>
      <c r="H174" s="234">
        <v>3000</v>
      </c>
      <c r="I174" s="235">
        <v>600</v>
      </c>
      <c r="J174" s="224" t="s">
        <v>147</v>
      </c>
      <c r="K174" s="224" t="s">
        <v>41</v>
      </c>
      <c r="M174">
        <f t="shared" si="0"/>
        <v>600</v>
      </c>
      <c r="P174" s="69"/>
    </row>
    <row r="175" spans="1:16" x14ac:dyDescent="0.25">
      <c r="A175" s="246">
        <v>26</v>
      </c>
      <c r="B175" s="233" t="s">
        <v>928</v>
      </c>
      <c r="C175" s="230" t="s">
        <v>160</v>
      </c>
      <c r="D175" s="224" t="s">
        <v>929</v>
      </c>
      <c r="E175" s="224" t="s">
        <v>50</v>
      </c>
      <c r="F175" s="225" t="s">
        <v>930</v>
      </c>
      <c r="G175" s="224" t="s">
        <v>40</v>
      </c>
      <c r="H175" s="234">
        <v>500</v>
      </c>
      <c r="I175" s="235">
        <v>100</v>
      </c>
      <c r="J175" s="224" t="s">
        <v>147</v>
      </c>
      <c r="K175" s="224" t="s">
        <v>41</v>
      </c>
      <c r="M175">
        <f t="shared" si="0"/>
        <v>100</v>
      </c>
    </row>
    <row r="176" spans="1:16" x14ac:dyDescent="0.25">
      <c r="A176" s="246">
        <v>26</v>
      </c>
      <c r="B176" s="233" t="s">
        <v>931</v>
      </c>
      <c r="C176" s="230" t="s">
        <v>160</v>
      </c>
      <c r="D176" s="224" t="s">
        <v>929</v>
      </c>
      <c r="E176" s="224" t="s">
        <v>50</v>
      </c>
      <c r="F176" s="225" t="s">
        <v>932</v>
      </c>
      <c r="G176" s="224" t="s">
        <v>40</v>
      </c>
      <c r="H176" s="234">
        <v>12000</v>
      </c>
      <c r="I176" s="235">
        <v>2400</v>
      </c>
      <c r="J176" s="224" t="s">
        <v>147</v>
      </c>
      <c r="K176" s="224" t="s">
        <v>41</v>
      </c>
      <c r="M176">
        <f t="shared" si="0"/>
        <v>2400</v>
      </c>
    </row>
    <row r="177" spans="1:13" x14ac:dyDescent="0.25">
      <c r="A177" s="246">
        <v>26</v>
      </c>
      <c r="B177" s="233" t="s">
        <v>933</v>
      </c>
      <c r="C177" s="269" t="s">
        <v>163</v>
      </c>
      <c r="D177" s="224" t="s">
        <v>498</v>
      </c>
      <c r="E177" s="224" t="s">
        <v>48</v>
      </c>
      <c r="F177" s="225" t="s">
        <v>934</v>
      </c>
      <c r="G177" s="224" t="s">
        <v>40</v>
      </c>
      <c r="H177" s="234">
        <v>2000</v>
      </c>
      <c r="I177" s="235">
        <v>400</v>
      </c>
      <c r="J177" s="224" t="s">
        <v>147</v>
      </c>
      <c r="K177" s="224" t="s">
        <v>41</v>
      </c>
      <c r="M177">
        <f t="shared" si="0"/>
        <v>400</v>
      </c>
    </row>
    <row r="178" spans="1:13" x14ac:dyDescent="0.25">
      <c r="A178" s="246">
        <v>26</v>
      </c>
      <c r="B178" s="233" t="s">
        <v>935</v>
      </c>
      <c r="C178" s="230" t="s">
        <v>160</v>
      </c>
      <c r="D178" s="224" t="s">
        <v>220</v>
      </c>
      <c r="E178" s="224" t="s">
        <v>61</v>
      </c>
      <c r="F178" s="225" t="s">
        <v>936</v>
      </c>
      <c r="G178" s="224" t="s">
        <v>40</v>
      </c>
      <c r="H178" s="234">
        <v>7000</v>
      </c>
      <c r="I178" s="235">
        <v>1400</v>
      </c>
      <c r="J178" s="224" t="s">
        <v>147</v>
      </c>
      <c r="K178" s="224" t="s">
        <v>41</v>
      </c>
      <c r="M178">
        <f t="shared" si="0"/>
        <v>1400</v>
      </c>
    </row>
    <row r="179" spans="1:13" x14ac:dyDescent="0.25">
      <c r="A179" s="246">
        <v>26</v>
      </c>
      <c r="B179" s="233" t="s">
        <v>937</v>
      </c>
      <c r="C179" s="230" t="s">
        <v>160</v>
      </c>
      <c r="D179" s="224" t="s">
        <v>180</v>
      </c>
      <c r="E179" s="224" t="s">
        <v>54</v>
      </c>
      <c r="F179" s="225" t="s">
        <v>938</v>
      </c>
      <c r="G179" s="224" t="s">
        <v>40</v>
      </c>
      <c r="H179" s="234">
        <v>5000</v>
      </c>
      <c r="I179" s="235">
        <v>1000</v>
      </c>
      <c r="J179" s="224" t="s">
        <v>147</v>
      </c>
      <c r="K179" s="224" t="s">
        <v>41</v>
      </c>
      <c r="M179">
        <f t="shared" si="0"/>
        <v>1000</v>
      </c>
    </row>
    <row r="180" spans="1:13" x14ac:dyDescent="0.25">
      <c r="A180" s="246">
        <v>26</v>
      </c>
      <c r="B180" s="233" t="s">
        <v>939</v>
      </c>
      <c r="C180" s="230" t="s">
        <v>160</v>
      </c>
      <c r="D180" s="224" t="s">
        <v>226</v>
      </c>
      <c r="E180" s="224" t="s">
        <v>43</v>
      </c>
      <c r="F180" s="225"/>
      <c r="G180" s="230" t="s">
        <v>40</v>
      </c>
      <c r="H180" s="234">
        <v>2000</v>
      </c>
      <c r="I180" s="235">
        <v>400</v>
      </c>
      <c r="J180" s="224" t="s">
        <v>147</v>
      </c>
      <c r="K180" s="224" t="s">
        <v>41</v>
      </c>
      <c r="M180">
        <f t="shared" si="0"/>
        <v>400</v>
      </c>
    </row>
    <row r="181" spans="1:13" x14ac:dyDescent="0.25">
      <c r="A181" s="246">
        <v>26</v>
      </c>
      <c r="B181" s="233" t="s">
        <v>940</v>
      </c>
      <c r="C181" s="230" t="s">
        <v>160</v>
      </c>
      <c r="D181" s="224" t="s">
        <v>262</v>
      </c>
      <c r="E181" s="224" t="s">
        <v>69</v>
      </c>
      <c r="F181" s="225" t="s">
        <v>941</v>
      </c>
      <c r="G181" s="224" t="s">
        <v>40</v>
      </c>
      <c r="H181" s="234">
        <v>2000</v>
      </c>
      <c r="I181" s="235" t="s">
        <v>152</v>
      </c>
      <c r="J181" s="224" t="s">
        <v>147</v>
      </c>
      <c r="K181" s="224" t="s">
        <v>41</v>
      </c>
      <c r="M181">
        <f t="shared" si="0"/>
        <v>400</v>
      </c>
    </row>
    <row r="182" spans="1:13" x14ac:dyDescent="0.25">
      <c r="A182" s="246">
        <v>27</v>
      </c>
      <c r="B182" s="233" t="s">
        <v>942</v>
      </c>
      <c r="C182" s="230" t="s">
        <v>160</v>
      </c>
      <c r="D182" s="224" t="s">
        <v>317</v>
      </c>
      <c r="E182" s="224" t="s">
        <v>69</v>
      </c>
      <c r="F182" s="225" t="s">
        <v>943</v>
      </c>
      <c r="G182" s="224" t="s">
        <v>40</v>
      </c>
      <c r="H182" s="234">
        <v>1000</v>
      </c>
      <c r="I182" s="235" t="s">
        <v>152</v>
      </c>
      <c r="J182" s="224" t="s">
        <v>147</v>
      </c>
      <c r="K182" s="224" t="s">
        <v>41</v>
      </c>
      <c r="M182">
        <f t="shared" si="0"/>
        <v>200</v>
      </c>
    </row>
    <row r="183" spans="1:13" x14ac:dyDescent="0.25">
      <c r="A183" s="246">
        <v>27</v>
      </c>
      <c r="B183" s="233" t="s">
        <v>944</v>
      </c>
      <c r="C183" s="230" t="s">
        <v>160</v>
      </c>
      <c r="D183" s="224" t="s">
        <v>60</v>
      </c>
      <c r="E183" s="224" t="s">
        <v>61</v>
      </c>
      <c r="F183" s="225" t="s">
        <v>945</v>
      </c>
      <c r="G183" s="224" t="s">
        <v>40</v>
      </c>
      <c r="H183" s="234">
        <v>5000</v>
      </c>
      <c r="I183" s="235">
        <v>1000</v>
      </c>
      <c r="J183" s="224" t="s">
        <v>147</v>
      </c>
      <c r="K183" s="224" t="s">
        <v>41</v>
      </c>
      <c r="M183">
        <f t="shared" si="0"/>
        <v>1000</v>
      </c>
    </row>
    <row r="184" spans="1:13" x14ac:dyDescent="0.25">
      <c r="A184" s="246">
        <v>27</v>
      </c>
      <c r="B184" s="233" t="s">
        <v>946</v>
      </c>
      <c r="C184" s="269" t="s">
        <v>163</v>
      </c>
      <c r="D184" s="224" t="s">
        <v>947</v>
      </c>
      <c r="E184" s="224" t="s">
        <v>60</v>
      </c>
      <c r="F184" s="225" t="s">
        <v>948</v>
      </c>
      <c r="G184" s="224" t="s">
        <v>40</v>
      </c>
      <c r="H184" s="234">
        <v>1600</v>
      </c>
      <c r="I184" s="235">
        <v>320</v>
      </c>
      <c r="J184" s="224" t="s">
        <v>147</v>
      </c>
      <c r="K184" s="224" t="s">
        <v>41</v>
      </c>
      <c r="M184">
        <f t="shared" si="0"/>
        <v>320</v>
      </c>
    </row>
    <row r="185" spans="1:13" x14ac:dyDescent="0.25">
      <c r="A185" s="246">
        <v>27</v>
      </c>
      <c r="B185" s="233" t="s">
        <v>951</v>
      </c>
      <c r="C185" s="230" t="s">
        <v>160</v>
      </c>
      <c r="D185" s="224" t="s">
        <v>382</v>
      </c>
      <c r="E185" s="224" t="s">
        <v>56</v>
      </c>
      <c r="F185" s="225" t="s">
        <v>952</v>
      </c>
      <c r="G185" s="224" t="s">
        <v>40</v>
      </c>
      <c r="H185" s="234">
        <v>1000</v>
      </c>
      <c r="I185" s="235">
        <v>200</v>
      </c>
      <c r="J185" s="224" t="s">
        <v>147</v>
      </c>
      <c r="K185" s="224" t="s">
        <v>41</v>
      </c>
      <c r="M185">
        <f t="shared" si="0"/>
        <v>200</v>
      </c>
    </row>
    <row r="186" spans="1:13" x14ac:dyDescent="0.25">
      <c r="A186" s="246">
        <v>27</v>
      </c>
      <c r="B186" s="233" t="s">
        <v>953</v>
      </c>
      <c r="C186" s="230" t="s">
        <v>160</v>
      </c>
      <c r="D186" s="224" t="s">
        <v>954</v>
      </c>
      <c r="E186" s="224" t="s">
        <v>43</v>
      </c>
      <c r="F186" s="225" t="s">
        <v>955</v>
      </c>
      <c r="G186" s="224" t="s">
        <v>40</v>
      </c>
      <c r="H186" s="234">
        <v>2500</v>
      </c>
      <c r="I186" s="235">
        <v>500</v>
      </c>
      <c r="J186" s="224" t="s">
        <v>147</v>
      </c>
      <c r="K186" s="224" t="s">
        <v>41</v>
      </c>
      <c r="M186">
        <f t="shared" si="0"/>
        <v>500</v>
      </c>
    </row>
    <row r="187" spans="1:13" x14ac:dyDescent="0.25">
      <c r="A187" s="246">
        <v>27</v>
      </c>
      <c r="B187" s="233" t="s">
        <v>956</v>
      </c>
      <c r="C187" s="230" t="s">
        <v>160</v>
      </c>
      <c r="D187" s="224" t="s">
        <v>529</v>
      </c>
      <c r="E187" s="224" t="s">
        <v>69</v>
      </c>
      <c r="F187" s="225"/>
      <c r="G187" s="224" t="s">
        <v>40</v>
      </c>
      <c r="H187" s="234">
        <v>7200</v>
      </c>
      <c r="I187" s="235" t="s">
        <v>152</v>
      </c>
      <c r="J187" s="224" t="s">
        <v>147</v>
      </c>
      <c r="K187" s="224" t="s">
        <v>41</v>
      </c>
      <c r="M187">
        <f t="shared" si="0"/>
        <v>1440</v>
      </c>
    </row>
    <row r="188" spans="1:13" x14ac:dyDescent="0.25">
      <c r="A188" s="246">
        <v>28</v>
      </c>
      <c r="B188" s="233" t="s">
        <v>957</v>
      </c>
      <c r="C188" s="230" t="s">
        <v>160</v>
      </c>
      <c r="D188" s="224" t="s">
        <v>958</v>
      </c>
      <c r="E188" s="224" t="s">
        <v>69</v>
      </c>
      <c r="F188" s="225" t="s">
        <v>959</v>
      </c>
      <c r="G188" s="224" t="s">
        <v>40</v>
      </c>
      <c r="H188" s="234">
        <v>500</v>
      </c>
      <c r="I188" s="235" t="s">
        <v>152</v>
      </c>
      <c r="J188" s="224" t="s">
        <v>147</v>
      </c>
      <c r="K188" s="224" t="s">
        <v>41</v>
      </c>
      <c r="M188">
        <f t="shared" si="0"/>
        <v>100</v>
      </c>
    </row>
    <row r="189" spans="1:13" x14ac:dyDescent="0.25">
      <c r="A189" s="246">
        <v>28</v>
      </c>
      <c r="B189" s="233" t="s">
        <v>960</v>
      </c>
      <c r="C189" s="230" t="s">
        <v>160</v>
      </c>
      <c r="D189" s="224" t="s">
        <v>958</v>
      </c>
      <c r="E189" s="224" t="s">
        <v>69</v>
      </c>
      <c r="F189" s="225" t="s">
        <v>961</v>
      </c>
      <c r="G189" s="224" t="s">
        <v>40</v>
      </c>
      <c r="H189" s="234">
        <v>500</v>
      </c>
      <c r="I189" s="235" t="s">
        <v>152</v>
      </c>
      <c r="J189" s="224" t="s">
        <v>147</v>
      </c>
      <c r="K189" s="224" t="s">
        <v>41</v>
      </c>
      <c r="M189">
        <f t="shared" si="0"/>
        <v>100</v>
      </c>
    </row>
    <row r="190" spans="1:13" x14ac:dyDescent="0.25">
      <c r="A190" s="273">
        <v>28</v>
      </c>
      <c r="B190" s="233" t="s">
        <v>962</v>
      </c>
      <c r="C190" s="269" t="s">
        <v>163</v>
      </c>
      <c r="D190" s="224" t="s">
        <v>867</v>
      </c>
      <c r="E190" s="224" t="s">
        <v>69</v>
      </c>
      <c r="F190" s="225"/>
      <c r="G190" s="224" t="s">
        <v>40</v>
      </c>
      <c r="H190" s="234">
        <v>2520</v>
      </c>
      <c r="I190" s="235" t="s">
        <v>152</v>
      </c>
      <c r="J190" s="224" t="s">
        <v>147</v>
      </c>
      <c r="K190" s="224" t="s">
        <v>41</v>
      </c>
      <c r="M190">
        <f t="shared" si="0"/>
        <v>504</v>
      </c>
    </row>
    <row r="191" spans="1:13" x14ac:dyDescent="0.25">
      <c r="A191" s="222"/>
      <c r="B191" s="100"/>
      <c r="C191" s="224"/>
      <c r="D191" s="224"/>
      <c r="E191" s="224"/>
      <c r="F191" s="225"/>
      <c r="G191" s="224"/>
      <c r="H191" s="234"/>
      <c r="I191" s="235"/>
      <c r="J191" s="224"/>
      <c r="K191" s="224"/>
    </row>
    <row r="192" spans="1:13" x14ac:dyDescent="0.25">
      <c r="A192" s="222"/>
      <c r="B192" s="100"/>
      <c r="C192" s="224"/>
      <c r="D192" s="224"/>
      <c r="E192" s="224"/>
      <c r="F192" s="225"/>
      <c r="G192" s="224"/>
      <c r="H192" s="234"/>
      <c r="I192" s="235"/>
      <c r="J192" s="224"/>
      <c r="K192" s="224"/>
      <c r="M192">
        <f>SUM(M12:M105)</f>
        <v>41720</v>
      </c>
    </row>
    <row r="193" spans="1:16" x14ac:dyDescent="0.25">
      <c r="A193" s="285"/>
      <c r="B193" s="60"/>
      <c r="C193" s="60"/>
      <c r="D193" s="60"/>
      <c r="E193" s="60"/>
      <c r="F193" s="60"/>
      <c r="G193" s="60"/>
      <c r="H193" s="61"/>
      <c r="I193" s="121"/>
      <c r="J193" s="60"/>
    </row>
    <row r="195" spans="1:16" x14ac:dyDescent="0.25">
      <c r="I195" s="123" t="s">
        <v>19</v>
      </c>
      <c r="J195" s="70"/>
    </row>
    <row r="196" spans="1:16" ht="16.5" customHeight="1" x14ac:dyDescent="0.25">
      <c r="B196" s="62" t="s">
        <v>20</v>
      </c>
      <c r="E196" s="62" t="s">
        <v>21</v>
      </c>
      <c r="I196" s="103" t="s">
        <v>109</v>
      </c>
      <c r="J196" s="127">
        <v>161</v>
      </c>
      <c r="P196" s="30"/>
    </row>
    <row r="197" spans="1:16" x14ac:dyDescent="0.25">
      <c r="I197" s="103" t="s">
        <v>110</v>
      </c>
      <c r="J197" s="127"/>
      <c r="K197" s="98"/>
    </row>
    <row r="198" spans="1:16" x14ac:dyDescent="0.25">
      <c r="I198" s="103" t="s">
        <v>138</v>
      </c>
      <c r="J198" s="128">
        <v>393145</v>
      </c>
    </row>
    <row r="199" spans="1:16" x14ac:dyDescent="0.25">
      <c r="B199" s="124" t="s">
        <v>966</v>
      </c>
      <c r="E199" s="617" t="s">
        <v>157</v>
      </c>
      <c r="F199" s="617"/>
      <c r="G199" s="617"/>
      <c r="H199" s="617"/>
      <c r="I199" s="103" t="s">
        <v>111</v>
      </c>
      <c r="J199" s="128">
        <v>0</v>
      </c>
    </row>
    <row r="200" spans="1:16" x14ac:dyDescent="0.25">
      <c r="B200" s="62" t="s">
        <v>967</v>
      </c>
      <c r="E200" s="618" t="s">
        <v>158</v>
      </c>
      <c r="F200" s="618"/>
      <c r="G200" s="618"/>
      <c r="H200" s="618"/>
      <c r="I200" s="103" t="s">
        <v>112</v>
      </c>
      <c r="J200" s="127">
        <v>0</v>
      </c>
    </row>
    <row r="201" spans="1:16" x14ac:dyDescent="0.25">
      <c r="I201" s="103" t="s">
        <v>114</v>
      </c>
      <c r="J201" s="128">
        <v>38800</v>
      </c>
    </row>
    <row r="202" spans="1:16" s="62" customFormat="1" x14ac:dyDescent="0.25">
      <c r="A202" s="289"/>
      <c r="I202" s="103" t="s">
        <v>22</v>
      </c>
      <c r="J202" s="288">
        <v>41720</v>
      </c>
      <c r="L202"/>
      <c r="M202"/>
      <c r="N202"/>
    </row>
    <row r="203" spans="1:16" s="62" customFormat="1" x14ac:dyDescent="0.25">
      <c r="A203" s="289"/>
      <c r="I203" s="125" t="s">
        <v>107</v>
      </c>
      <c r="J203" s="128"/>
      <c r="L203"/>
      <c r="M203"/>
      <c r="N203"/>
    </row>
    <row r="204" spans="1:16" s="62" customFormat="1" x14ac:dyDescent="0.25">
      <c r="A204" s="289"/>
      <c r="B204" s="99"/>
      <c r="E204" s="99"/>
      <c r="F204" s="99"/>
      <c r="G204" s="99"/>
      <c r="I204" s="125" t="s">
        <v>108</v>
      </c>
      <c r="J204" s="71"/>
      <c r="L204"/>
      <c r="M204"/>
      <c r="N204"/>
    </row>
    <row r="205" spans="1:16" s="62" customFormat="1" x14ac:dyDescent="0.25">
      <c r="A205" s="289"/>
      <c r="I205" s="103"/>
      <c r="J205" s="70"/>
      <c r="L205"/>
      <c r="M205"/>
      <c r="N205"/>
    </row>
    <row r="206" spans="1:16" s="62" customFormat="1" x14ac:dyDescent="0.25">
      <c r="A206" s="289"/>
      <c r="I206" s="103"/>
      <c r="J206" s="70"/>
      <c r="L206"/>
      <c r="M206"/>
      <c r="N206"/>
    </row>
    <row r="207" spans="1:16" s="62" customFormat="1" x14ac:dyDescent="0.25">
      <c r="A207" s="289"/>
      <c r="I207" s="103"/>
      <c r="J207" s="71"/>
      <c r="L207"/>
      <c r="M207"/>
      <c r="N207"/>
    </row>
    <row r="208" spans="1:16" s="62" customFormat="1" x14ac:dyDescent="0.25">
      <c r="A208" s="289"/>
      <c r="I208" s="103"/>
      <c r="J208" s="71"/>
      <c r="L208"/>
      <c r="M208"/>
      <c r="N208"/>
    </row>
    <row r="228" spans="12:12" x14ac:dyDescent="0.25">
      <c r="L228" s="30"/>
    </row>
    <row r="251" spans="12:12" x14ac:dyDescent="0.25">
      <c r="L251" s="30"/>
    </row>
    <row r="378" spans="12:12" x14ac:dyDescent="0.25">
      <c r="L378" s="30"/>
    </row>
  </sheetData>
  <mergeCells count="8">
    <mergeCell ref="E199:H199"/>
    <mergeCell ref="E200:H200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/>
  </sheetPr>
  <dimension ref="A1:O39"/>
  <sheetViews>
    <sheetView view="pageBreakPreview" zoomScale="96" zoomScaleNormal="100" zoomScaleSheetLayoutView="96" workbookViewId="0">
      <selection activeCell="C32" sqref="C32"/>
    </sheetView>
  </sheetViews>
  <sheetFormatPr defaultRowHeight="15" x14ac:dyDescent="0.25"/>
  <cols>
    <col min="1" max="1" width="4.7109375" customWidth="1"/>
    <col min="2" max="2" width="23.42578125" customWidth="1"/>
    <col min="3" max="3" width="8.140625" customWidth="1"/>
    <col min="4" max="4" width="12.7109375" customWidth="1"/>
    <col min="5" max="5" width="15.7109375" customWidth="1"/>
    <col min="6" max="6" width="18.7109375" customWidth="1"/>
    <col min="7" max="7" width="21.7109375" customWidth="1"/>
    <col min="8" max="8" width="15.7109375" customWidth="1"/>
    <col min="9" max="9" width="17.5703125" customWidth="1"/>
    <col min="10" max="10" width="12.28515625" customWidth="1"/>
    <col min="11" max="11" width="8.28515625" customWidth="1"/>
    <col min="12" max="12" width="18.5703125" customWidth="1"/>
  </cols>
  <sheetData>
    <row r="1" spans="1:15" ht="23.25" x14ac:dyDescent="0.35">
      <c r="A1" s="607" t="s">
        <v>0</v>
      </c>
      <c r="B1" s="607"/>
      <c r="C1" s="607"/>
      <c r="D1" s="607"/>
      <c r="E1" s="607"/>
      <c r="F1" s="607"/>
      <c r="G1" s="607"/>
      <c r="H1" s="607"/>
      <c r="I1" s="607"/>
      <c r="J1" s="607"/>
      <c r="K1" s="607"/>
      <c r="L1" s="607"/>
    </row>
    <row r="2" spans="1:15" ht="18" x14ac:dyDescent="0.25">
      <c r="A2" s="608" t="s">
        <v>155</v>
      </c>
      <c r="B2" s="609"/>
      <c r="C2" s="609"/>
      <c r="D2" s="609"/>
      <c r="E2" s="609"/>
      <c r="F2" s="609"/>
      <c r="G2" s="609"/>
      <c r="H2" s="609"/>
      <c r="I2" s="609"/>
      <c r="J2" s="609"/>
      <c r="K2" s="609"/>
      <c r="L2" s="609"/>
    </row>
    <row r="3" spans="1:15" x14ac:dyDescent="0.25">
      <c r="A3" s="213"/>
      <c r="B3" s="1"/>
      <c r="C3" s="31"/>
      <c r="D3" s="1"/>
      <c r="E3" s="1"/>
      <c r="G3" s="1"/>
      <c r="H3" s="31"/>
      <c r="I3" s="30"/>
      <c r="J3" s="32"/>
      <c r="K3" s="610" t="s">
        <v>599</v>
      </c>
      <c r="L3" s="611"/>
    </row>
    <row r="4" spans="1:15" x14ac:dyDescent="0.25">
      <c r="A4" s="213"/>
      <c r="B4" s="1"/>
      <c r="C4" s="31"/>
      <c r="D4" s="1"/>
      <c r="E4" s="1"/>
      <c r="G4" s="1"/>
      <c r="H4" s="31"/>
      <c r="I4" s="30"/>
      <c r="J4" s="32"/>
      <c r="K4" s="34" t="s">
        <v>36</v>
      </c>
      <c r="L4" s="129">
        <v>9</v>
      </c>
    </row>
    <row r="5" spans="1:15" x14ac:dyDescent="0.25">
      <c r="A5" s="213"/>
      <c r="B5" s="1"/>
      <c r="C5" s="31"/>
      <c r="D5" s="1"/>
      <c r="E5" s="4"/>
      <c r="G5" s="1"/>
      <c r="H5" s="31"/>
      <c r="I5" s="30"/>
      <c r="J5" s="32"/>
      <c r="K5" s="34" t="s">
        <v>37</v>
      </c>
      <c r="L5" s="129">
        <v>5</v>
      </c>
    </row>
    <row r="6" spans="1:15" ht="18" x14ac:dyDescent="0.25">
      <c r="A6" s="612" t="s">
        <v>116</v>
      </c>
      <c r="B6" s="612"/>
      <c r="C6" s="35"/>
      <c r="D6" s="4"/>
      <c r="E6" s="5"/>
      <c r="F6" s="2"/>
      <c r="G6" s="4"/>
      <c r="H6" s="36"/>
      <c r="I6" s="27"/>
      <c r="J6" s="32"/>
      <c r="K6" s="6" t="s">
        <v>38</v>
      </c>
      <c r="L6" s="37"/>
    </row>
    <row r="7" spans="1:15" x14ac:dyDescent="0.25">
      <c r="A7" s="7"/>
      <c r="B7" s="8"/>
      <c r="C7" s="38" t="s">
        <v>23</v>
      </c>
      <c r="D7" s="9"/>
      <c r="E7" s="9"/>
      <c r="F7" s="39" t="s">
        <v>24</v>
      </c>
      <c r="G7" s="40" t="s">
        <v>25</v>
      </c>
      <c r="H7" s="613" t="s">
        <v>26</v>
      </c>
      <c r="I7" s="614"/>
      <c r="J7" s="41"/>
      <c r="K7" s="615" t="s">
        <v>2</v>
      </c>
      <c r="L7" s="616"/>
    </row>
    <row r="8" spans="1:15" x14ac:dyDescent="0.25">
      <c r="A8" s="605" t="s">
        <v>27</v>
      </c>
      <c r="B8" s="606"/>
      <c r="C8" s="42" t="s">
        <v>28</v>
      </c>
      <c r="D8" s="212" t="s">
        <v>5</v>
      </c>
      <c r="E8" s="10" t="s">
        <v>6</v>
      </c>
      <c r="F8" s="39" t="s">
        <v>29</v>
      </c>
      <c r="G8" s="43" t="s">
        <v>30</v>
      </c>
      <c r="H8" s="44"/>
      <c r="I8" s="45" t="s">
        <v>8</v>
      </c>
      <c r="J8" s="13" t="s">
        <v>9</v>
      </c>
      <c r="K8" s="14"/>
      <c r="L8" s="33"/>
    </row>
    <row r="9" spans="1:15" x14ac:dyDescent="0.25">
      <c r="A9" s="165"/>
      <c r="B9" s="15"/>
      <c r="C9" s="42" t="s">
        <v>31</v>
      </c>
      <c r="D9" s="16"/>
      <c r="E9" s="15"/>
      <c r="F9" s="39" t="s">
        <v>32</v>
      </c>
      <c r="G9" s="43" t="s">
        <v>33</v>
      </c>
      <c r="H9" s="46" t="s">
        <v>11</v>
      </c>
      <c r="I9" s="47" t="s">
        <v>12</v>
      </c>
      <c r="J9" s="48"/>
      <c r="K9" s="212" t="s">
        <v>13</v>
      </c>
      <c r="L9" s="212" t="s">
        <v>14</v>
      </c>
    </row>
    <row r="10" spans="1:15" x14ac:dyDescent="0.25">
      <c r="A10" s="19"/>
      <c r="B10" s="20"/>
      <c r="C10" s="49"/>
      <c r="D10" s="21"/>
      <c r="E10" s="21"/>
      <c r="F10" s="50" t="s">
        <v>34</v>
      </c>
      <c r="G10" s="51"/>
      <c r="H10" s="52"/>
      <c r="I10" s="53" t="s">
        <v>35</v>
      </c>
      <c r="J10" s="54"/>
      <c r="K10" s="23"/>
      <c r="L10" s="24" t="s">
        <v>16</v>
      </c>
    </row>
    <row r="11" spans="1:15" x14ac:dyDescent="0.25">
      <c r="A11" s="55" t="s">
        <v>17</v>
      </c>
      <c r="B11" s="56"/>
      <c r="C11" s="57"/>
      <c r="D11" s="56"/>
      <c r="E11" s="56"/>
      <c r="F11" s="25"/>
      <c r="G11" s="56"/>
      <c r="H11" s="57"/>
      <c r="I11" s="26"/>
      <c r="J11" s="58"/>
      <c r="K11" s="25"/>
      <c r="L11" s="25"/>
    </row>
    <row r="12" spans="1:15" x14ac:dyDescent="0.25">
      <c r="A12" s="237">
        <v>2</v>
      </c>
      <c r="B12" s="238" t="s">
        <v>216</v>
      </c>
      <c r="C12" s="57"/>
      <c r="D12" s="56"/>
      <c r="E12" s="56"/>
      <c r="F12" s="270" t="s">
        <v>218</v>
      </c>
      <c r="G12" s="238" t="s">
        <v>217</v>
      </c>
      <c r="H12" s="238" t="s">
        <v>40</v>
      </c>
      <c r="I12" s="239">
        <v>5000</v>
      </c>
      <c r="J12" s="220" t="s">
        <v>152</v>
      </c>
      <c r="K12" s="100"/>
      <c r="L12" s="181" t="s">
        <v>41</v>
      </c>
    </row>
    <row r="13" spans="1:15" x14ac:dyDescent="0.25">
      <c r="A13" s="237">
        <v>5</v>
      </c>
      <c r="B13" s="238" t="s">
        <v>248</v>
      </c>
      <c r="C13" s="57"/>
      <c r="D13" s="56"/>
      <c r="E13" s="56"/>
      <c r="F13" s="270" t="s">
        <v>250</v>
      </c>
      <c r="G13" s="238" t="s">
        <v>249</v>
      </c>
      <c r="H13" s="238" t="s">
        <v>40</v>
      </c>
      <c r="I13" s="239">
        <v>28700</v>
      </c>
      <c r="J13" s="220" t="s">
        <v>152</v>
      </c>
      <c r="K13" s="100"/>
      <c r="L13" s="181" t="s">
        <v>41</v>
      </c>
    </row>
    <row r="14" spans="1:15" s="62" customFormat="1" ht="15" customHeight="1" x14ac:dyDescent="0.25">
      <c r="A14" s="275">
        <v>5</v>
      </c>
      <c r="B14" s="181" t="s">
        <v>251</v>
      </c>
      <c r="C14" s="216"/>
      <c r="D14" s="181"/>
      <c r="E14" s="181"/>
      <c r="F14" s="217" t="s">
        <v>252</v>
      </c>
      <c r="G14" s="181" t="s">
        <v>253</v>
      </c>
      <c r="H14" s="218" t="s">
        <v>40</v>
      </c>
      <c r="I14" s="219">
        <v>6500</v>
      </c>
      <c r="J14" s="220" t="s">
        <v>152</v>
      </c>
      <c r="K14" s="100"/>
      <c r="L14" s="181" t="s">
        <v>41</v>
      </c>
      <c r="M14" s="166"/>
    </row>
    <row r="15" spans="1:15" s="62" customFormat="1" ht="30.75" customHeight="1" x14ac:dyDescent="0.25">
      <c r="A15" s="215">
        <v>10</v>
      </c>
      <c r="B15" s="277" t="s">
        <v>323</v>
      </c>
      <c r="C15" s="216"/>
      <c r="D15" s="181" t="s">
        <v>324</v>
      </c>
      <c r="E15" s="181" t="s">
        <v>88</v>
      </c>
      <c r="F15" s="217" t="s">
        <v>325</v>
      </c>
      <c r="G15" s="181" t="s">
        <v>326</v>
      </c>
      <c r="H15" s="218" t="s">
        <v>40</v>
      </c>
      <c r="I15" s="221">
        <v>5000</v>
      </c>
      <c r="J15" s="220" t="s">
        <v>152</v>
      </c>
      <c r="K15" s="100"/>
      <c r="L15" s="181" t="s">
        <v>41</v>
      </c>
      <c r="M15" s="166"/>
      <c r="O15" s="98"/>
    </row>
    <row r="16" spans="1:15" s="62" customFormat="1" ht="34.5" customHeight="1" x14ac:dyDescent="0.25">
      <c r="A16" s="215">
        <v>10</v>
      </c>
      <c r="B16" s="277" t="s">
        <v>323</v>
      </c>
      <c r="C16" s="216"/>
      <c r="D16" s="181" t="s">
        <v>324</v>
      </c>
      <c r="E16" s="181" t="s">
        <v>88</v>
      </c>
      <c r="F16" s="217" t="s">
        <v>325</v>
      </c>
      <c r="G16" s="181" t="s">
        <v>326</v>
      </c>
      <c r="H16" s="242" t="s">
        <v>327</v>
      </c>
      <c r="I16" s="221">
        <v>60</v>
      </c>
      <c r="J16" s="220" t="s">
        <v>152</v>
      </c>
      <c r="K16" s="100"/>
      <c r="L16" s="181" t="s">
        <v>41</v>
      </c>
      <c r="O16" s="98"/>
    </row>
    <row r="17" spans="1:15" s="62" customFormat="1" ht="18" customHeight="1" x14ac:dyDescent="0.25">
      <c r="A17" s="275">
        <v>12</v>
      </c>
      <c r="B17" s="277" t="s">
        <v>346</v>
      </c>
      <c r="C17" s="216"/>
      <c r="D17" s="181"/>
      <c r="E17" s="181"/>
      <c r="F17" s="217"/>
      <c r="G17" s="181" t="s">
        <v>347</v>
      </c>
      <c r="H17" s="242" t="s">
        <v>40</v>
      </c>
      <c r="I17" s="221">
        <v>26500</v>
      </c>
      <c r="J17" s="220" t="s">
        <v>152</v>
      </c>
      <c r="K17" s="100"/>
      <c r="L17" s="181" t="s">
        <v>41</v>
      </c>
      <c r="O17" s="98"/>
    </row>
    <row r="18" spans="1:15" s="62" customFormat="1" ht="18" customHeight="1" x14ac:dyDescent="0.25">
      <c r="A18" s="215">
        <v>16</v>
      </c>
      <c r="B18" s="277" t="s">
        <v>384</v>
      </c>
      <c r="C18" s="216"/>
      <c r="D18" s="181"/>
      <c r="E18" s="181"/>
      <c r="F18" s="217" t="s">
        <v>385</v>
      </c>
      <c r="G18" s="181" t="s">
        <v>386</v>
      </c>
      <c r="H18" s="242" t="s">
        <v>40</v>
      </c>
      <c r="I18" s="221">
        <v>300</v>
      </c>
      <c r="J18" s="220" t="s">
        <v>152</v>
      </c>
      <c r="K18" s="100"/>
      <c r="L18" s="181" t="s">
        <v>41</v>
      </c>
      <c r="O18" s="98"/>
    </row>
    <row r="19" spans="1:15" s="62" customFormat="1" ht="18" customHeight="1" x14ac:dyDescent="0.25">
      <c r="A19" s="215">
        <v>17</v>
      </c>
      <c r="B19" s="277" t="s">
        <v>389</v>
      </c>
      <c r="C19" s="216"/>
      <c r="D19" s="181"/>
      <c r="E19" s="181"/>
      <c r="F19" s="217" t="s">
        <v>390</v>
      </c>
      <c r="G19" s="181" t="s">
        <v>387</v>
      </c>
      <c r="H19" s="242" t="s">
        <v>40</v>
      </c>
      <c r="I19" s="221">
        <v>24000</v>
      </c>
      <c r="J19" s="220" t="s">
        <v>152</v>
      </c>
      <c r="K19" s="100"/>
      <c r="L19" s="181" t="s">
        <v>41</v>
      </c>
      <c r="O19" s="98"/>
    </row>
    <row r="20" spans="1:15" s="62" customFormat="1" ht="18" customHeight="1" x14ac:dyDescent="0.25">
      <c r="A20" s="215">
        <v>19</v>
      </c>
      <c r="B20" s="277" t="s">
        <v>411</v>
      </c>
      <c r="C20" s="216"/>
      <c r="D20" s="181"/>
      <c r="E20" s="181"/>
      <c r="F20" s="217"/>
      <c r="G20" s="181" t="s">
        <v>412</v>
      </c>
      <c r="H20" s="242" t="s">
        <v>40</v>
      </c>
      <c r="I20" s="221">
        <v>24050</v>
      </c>
      <c r="J20" s="220" t="s">
        <v>152</v>
      </c>
      <c r="K20" s="100"/>
      <c r="L20" s="181" t="s">
        <v>41</v>
      </c>
      <c r="O20" s="98"/>
    </row>
    <row r="21" spans="1:15" s="62" customFormat="1" ht="18" customHeight="1" x14ac:dyDescent="0.25">
      <c r="A21" s="215">
        <v>22</v>
      </c>
      <c r="B21" s="277" t="s">
        <v>451</v>
      </c>
      <c r="C21" s="216"/>
      <c r="D21" s="181"/>
      <c r="E21" s="181"/>
      <c r="F21" s="217" t="s">
        <v>453</v>
      </c>
      <c r="G21" s="181" t="s">
        <v>452</v>
      </c>
      <c r="H21" s="242" t="s">
        <v>40</v>
      </c>
      <c r="I21" s="221">
        <v>7000</v>
      </c>
      <c r="J21" s="220" t="s">
        <v>152</v>
      </c>
      <c r="K21" s="100"/>
      <c r="L21" s="181" t="s">
        <v>41</v>
      </c>
      <c r="O21" s="98"/>
    </row>
    <row r="22" spans="1:15" s="62" customFormat="1" ht="18" customHeight="1" x14ac:dyDescent="0.25">
      <c r="A22" s="275">
        <v>23</v>
      </c>
      <c r="B22" s="277" t="s">
        <v>489</v>
      </c>
      <c r="C22" s="216"/>
      <c r="D22" s="181"/>
      <c r="E22" s="181"/>
      <c r="F22" s="217" t="s">
        <v>490</v>
      </c>
      <c r="G22" s="181" t="s">
        <v>491</v>
      </c>
      <c r="H22" s="242" t="s">
        <v>40</v>
      </c>
      <c r="I22" s="221">
        <v>150000</v>
      </c>
      <c r="J22" s="220" t="s">
        <v>152</v>
      </c>
      <c r="K22" s="100"/>
      <c r="L22" s="181" t="s">
        <v>41</v>
      </c>
      <c r="O22" s="98"/>
    </row>
    <row r="23" spans="1:15" s="62" customFormat="1" ht="18" customHeight="1" x14ac:dyDescent="0.25">
      <c r="A23" s="215">
        <v>29</v>
      </c>
      <c r="B23" s="277" t="s">
        <v>451</v>
      </c>
      <c r="C23" s="216"/>
      <c r="D23" s="181"/>
      <c r="E23" s="181"/>
      <c r="F23" s="217" t="s">
        <v>453</v>
      </c>
      <c r="G23" s="181" t="s">
        <v>452</v>
      </c>
      <c r="H23" s="242" t="s">
        <v>40</v>
      </c>
      <c r="I23" s="221">
        <v>4000</v>
      </c>
      <c r="J23" s="220" t="s">
        <v>152</v>
      </c>
      <c r="K23" s="100"/>
      <c r="L23" s="181" t="s">
        <v>41</v>
      </c>
      <c r="O23" s="98"/>
    </row>
    <row r="24" spans="1:15" s="62" customFormat="1" ht="18" customHeight="1" x14ac:dyDescent="0.25">
      <c r="A24" s="215">
        <v>30</v>
      </c>
      <c r="B24" s="277" t="s">
        <v>411</v>
      </c>
      <c r="C24" s="216"/>
      <c r="D24" s="181"/>
      <c r="E24" s="181"/>
      <c r="F24" s="217" t="s">
        <v>581</v>
      </c>
      <c r="G24" s="181" t="s">
        <v>580</v>
      </c>
      <c r="H24" s="242" t="s">
        <v>465</v>
      </c>
      <c r="I24" s="221">
        <v>100</v>
      </c>
      <c r="J24" s="220" t="s">
        <v>152</v>
      </c>
      <c r="K24" s="100"/>
      <c r="L24" s="181" t="s">
        <v>41</v>
      </c>
      <c r="O24" s="98"/>
    </row>
    <row r="25" spans="1:15" s="62" customFormat="1" ht="16.5" customHeight="1" x14ac:dyDescent="0.25">
      <c r="A25" s="240">
        <v>30</v>
      </c>
      <c r="B25" s="207" t="s">
        <v>589</v>
      </c>
      <c r="C25" s="100"/>
      <c r="D25" s="100" t="s">
        <v>590</v>
      </c>
      <c r="E25" s="100" t="s">
        <v>61</v>
      </c>
      <c r="F25" s="241" t="s">
        <v>591</v>
      </c>
      <c r="G25" s="218" t="s">
        <v>592</v>
      </c>
      <c r="H25" s="242" t="s">
        <v>40</v>
      </c>
      <c r="I25" s="221">
        <v>4000</v>
      </c>
      <c r="J25" s="220" t="s">
        <v>152</v>
      </c>
      <c r="K25" s="100"/>
      <c r="L25" s="181" t="s">
        <v>41</v>
      </c>
      <c r="O25" s="98"/>
    </row>
    <row r="26" spans="1:15" s="62" customFormat="1" ht="16.5" customHeight="1" x14ac:dyDescent="0.25">
      <c r="A26" s="240">
        <v>31</v>
      </c>
      <c r="B26" s="207" t="s">
        <v>594</v>
      </c>
      <c r="C26" s="100"/>
      <c r="D26" s="100"/>
      <c r="E26" s="100"/>
      <c r="F26" s="241"/>
      <c r="G26" s="100" t="s">
        <v>595</v>
      </c>
      <c r="H26" s="242" t="s">
        <v>40</v>
      </c>
      <c r="I26" s="221">
        <v>210000</v>
      </c>
      <c r="J26" s="220" t="s">
        <v>152</v>
      </c>
      <c r="K26" s="100"/>
      <c r="L26" s="181" t="s">
        <v>41</v>
      </c>
      <c r="O26" s="98"/>
    </row>
    <row r="27" spans="1:15" s="62" customFormat="1" x14ac:dyDescent="0.25">
      <c r="A27" s="240"/>
      <c r="B27" s="100"/>
      <c r="C27" s="216"/>
      <c r="D27" s="100"/>
      <c r="E27" s="100"/>
      <c r="F27" s="241"/>
      <c r="G27" s="100"/>
      <c r="H27" s="140"/>
      <c r="I27" s="221"/>
      <c r="J27" s="216"/>
      <c r="K27" s="100"/>
      <c r="L27" s="100"/>
      <c r="O27" s="98"/>
    </row>
    <row r="28" spans="1:15" x14ac:dyDescent="0.25">
      <c r="I28" s="28"/>
      <c r="J28" s="28"/>
    </row>
    <row r="29" spans="1:15" x14ac:dyDescent="0.25">
      <c r="I29" s="63" t="s">
        <v>19</v>
      </c>
      <c r="J29" s="28"/>
    </row>
    <row r="30" spans="1:15" x14ac:dyDescent="0.25">
      <c r="I30" s="28" t="s">
        <v>109</v>
      </c>
      <c r="J30" s="28"/>
      <c r="K30" s="274" t="s">
        <v>311</v>
      </c>
      <c r="L30" s="276">
        <f>SUM(I12:I14)</f>
        <v>40200</v>
      </c>
    </row>
    <row r="31" spans="1:15" x14ac:dyDescent="0.25">
      <c r="B31" t="s">
        <v>20</v>
      </c>
      <c r="E31" t="s">
        <v>21</v>
      </c>
      <c r="I31" s="28" t="s">
        <v>110</v>
      </c>
      <c r="J31" s="132">
        <v>14</v>
      </c>
      <c r="K31" t="s">
        <v>348</v>
      </c>
      <c r="L31" s="69">
        <f>SUM(I15,I17)</f>
        <v>31500</v>
      </c>
    </row>
    <row r="32" spans="1:15" x14ac:dyDescent="0.25">
      <c r="I32" s="28" t="s">
        <v>149</v>
      </c>
      <c r="J32" s="132">
        <v>521550</v>
      </c>
      <c r="L32">
        <v>60</v>
      </c>
    </row>
    <row r="33" spans="2:12" x14ac:dyDescent="0.25">
      <c r="I33" s="28" t="s">
        <v>601</v>
      </c>
      <c r="J33" s="132">
        <v>60</v>
      </c>
      <c r="K33" s="274" t="s">
        <v>492</v>
      </c>
      <c r="L33" s="69">
        <f>SUM(I17:I22)</f>
        <v>231850</v>
      </c>
    </row>
    <row r="34" spans="2:12" x14ac:dyDescent="0.25">
      <c r="I34" s="28" t="s">
        <v>111</v>
      </c>
      <c r="J34" s="130">
        <v>0</v>
      </c>
      <c r="K34" s="274" t="s">
        <v>593</v>
      </c>
      <c r="L34" s="287">
        <f>SUM(I23,I25:I26)</f>
        <v>218000</v>
      </c>
    </row>
    <row r="35" spans="2:12" x14ac:dyDescent="0.25">
      <c r="B35" s="29"/>
      <c r="E35" s="251"/>
      <c r="F35" s="251"/>
      <c r="G35" s="251"/>
      <c r="H35" s="251"/>
      <c r="I35" s="28" t="s">
        <v>113</v>
      </c>
      <c r="J35" s="132">
        <v>0</v>
      </c>
      <c r="L35" s="69">
        <v>100</v>
      </c>
    </row>
    <row r="36" spans="2:12" x14ac:dyDescent="0.25">
      <c r="B36" s="267" t="s">
        <v>156</v>
      </c>
      <c r="C36" s="267"/>
      <c r="D36" s="267"/>
      <c r="E36" s="268" t="s">
        <v>157</v>
      </c>
      <c r="F36" s="252"/>
      <c r="G36" s="252"/>
      <c r="H36" s="252"/>
      <c r="I36" s="28" t="s">
        <v>114</v>
      </c>
      <c r="J36" s="130">
        <v>100</v>
      </c>
      <c r="L36" s="69"/>
    </row>
    <row r="37" spans="2:12" x14ac:dyDescent="0.25">
      <c r="B37" t="s">
        <v>148</v>
      </c>
      <c r="E37" t="s">
        <v>158</v>
      </c>
      <c r="I37" s="28" t="s">
        <v>22</v>
      </c>
      <c r="J37" s="131"/>
    </row>
    <row r="38" spans="2:12" x14ac:dyDescent="0.25">
      <c r="I38" s="3" t="s">
        <v>115</v>
      </c>
      <c r="J38" s="132"/>
      <c r="L38" s="30">
        <f>SUM(L30,L31,L33,L34)</f>
        <v>521550</v>
      </c>
    </row>
    <row r="39" spans="2:12" x14ac:dyDescent="0.25">
      <c r="I39" s="3" t="s">
        <v>87</v>
      </c>
      <c r="J39" s="132"/>
    </row>
  </sheetData>
  <mergeCells count="7">
    <mergeCell ref="A8:B8"/>
    <mergeCell ref="A1:L1"/>
    <mergeCell ref="A2:L2"/>
    <mergeCell ref="K3:L3"/>
    <mergeCell ref="A6:B6"/>
    <mergeCell ref="H7:I7"/>
    <mergeCell ref="K7:L7"/>
  </mergeCells>
  <printOptions horizontalCentered="1"/>
  <pageMargins left="0.25" right="0.25" top="0.75" bottom="0.75" header="0.3" footer="0.3"/>
  <pageSetup paperSize="155" scale="90" orientation="landscape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T394"/>
  <sheetViews>
    <sheetView view="pageBreakPreview" topLeftCell="A81" zoomScale="106" zoomScaleNormal="100" zoomScaleSheetLayoutView="106" workbookViewId="0">
      <selection activeCell="B96" sqref="B96"/>
    </sheetView>
  </sheetViews>
  <sheetFormatPr defaultRowHeight="15" x14ac:dyDescent="0.25"/>
  <cols>
    <col min="1" max="1" width="4.7109375" style="210" customWidth="1"/>
    <col min="2" max="2" width="25" style="62" customWidth="1"/>
    <col min="3" max="3" width="7.28515625" style="62" customWidth="1"/>
    <col min="4" max="4" width="17.7109375" style="62" customWidth="1"/>
    <col min="5" max="5" width="14.5703125" style="62" customWidth="1"/>
    <col min="6" max="6" width="14.28515625" style="62" customWidth="1"/>
    <col min="7" max="7" width="14" style="62" customWidth="1"/>
    <col min="8" max="8" width="16.42578125" style="62" customWidth="1"/>
    <col min="9" max="9" width="16.85546875" style="122" customWidth="1"/>
    <col min="10" max="10" width="9.5703125" style="62" customWidth="1"/>
    <col min="11" max="11" width="17.85546875" style="62" customWidth="1"/>
    <col min="15" max="15" width="4.5703125" customWidth="1"/>
    <col min="16" max="16" width="14.28515625" customWidth="1"/>
    <col min="17" max="17" width="12.42578125" customWidth="1"/>
  </cols>
  <sheetData>
    <row r="1" spans="1:20" ht="23.25" x14ac:dyDescent="0.35">
      <c r="A1" s="619" t="s">
        <v>0</v>
      </c>
      <c r="B1" s="619"/>
      <c r="C1" s="619"/>
      <c r="D1" s="619"/>
      <c r="E1" s="619"/>
      <c r="F1" s="619"/>
      <c r="G1" s="619"/>
      <c r="H1" s="619"/>
      <c r="I1" s="619"/>
      <c r="J1" s="619"/>
      <c r="K1" s="619"/>
    </row>
    <row r="2" spans="1:20" ht="18" x14ac:dyDescent="0.25">
      <c r="A2" s="620" t="s">
        <v>155</v>
      </c>
      <c r="B2" s="621"/>
      <c r="C2" s="621"/>
      <c r="D2" s="621"/>
      <c r="E2" s="621"/>
      <c r="F2" s="621"/>
      <c r="G2" s="621"/>
      <c r="H2" s="621"/>
      <c r="I2" s="621"/>
      <c r="J2" s="621"/>
      <c r="K2" s="621"/>
    </row>
    <row r="3" spans="1:20" x14ac:dyDescent="0.25">
      <c r="B3" s="102"/>
      <c r="C3" s="78"/>
      <c r="D3" s="102"/>
      <c r="E3" s="102"/>
      <c r="G3" s="78"/>
      <c r="H3" s="83"/>
      <c r="I3" s="103"/>
      <c r="J3" s="104" t="s">
        <v>598</v>
      </c>
      <c r="K3" s="105"/>
    </row>
    <row r="4" spans="1:20" x14ac:dyDescent="0.25">
      <c r="B4" s="102"/>
      <c r="C4" s="78"/>
      <c r="D4" s="102"/>
      <c r="E4" s="102"/>
      <c r="G4" s="78"/>
      <c r="H4" s="83"/>
      <c r="I4" s="106"/>
      <c r="J4" s="95" t="s">
        <v>89</v>
      </c>
      <c r="K4" s="126">
        <v>150</v>
      </c>
    </row>
    <row r="5" spans="1:20" x14ac:dyDescent="0.25">
      <c r="B5" s="102"/>
      <c r="C5" s="78"/>
      <c r="D5" s="102"/>
      <c r="E5" s="107"/>
      <c r="G5" s="78"/>
      <c r="H5" s="83"/>
      <c r="I5" s="106"/>
      <c r="J5" s="95" t="s">
        <v>91</v>
      </c>
      <c r="K5" s="126">
        <v>33</v>
      </c>
    </row>
    <row r="6" spans="1:20" x14ac:dyDescent="0.25">
      <c r="A6" s="622" t="s">
        <v>117</v>
      </c>
      <c r="B6" s="622"/>
      <c r="C6" s="79"/>
      <c r="D6" s="107"/>
      <c r="E6" s="108"/>
      <c r="F6" s="60"/>
      <c r="G6" s="79"/>
      <c r="H6" s="84"/>
      <c r="I6" s="103"/>
      <c r="J6" s="101" t="s">
        <v>600</v>
      </c>
      <c r="K6" s="109"/>
    </row>
    <row r="7" spans="1:20" x14ac:dyDescent="0.25">
      <c r="A7" s="110"/>
      <c r="B7" s="111"/>
      <c r="C7" s="80"/>
      <c r="D7" s="169"/>
      <c r="E7" s="169"/>
      <c r="F7" s="613" t="s">
        <v>1</v>
      </c>
      <c r="G7" s="623"/>
      <c r="H7" s="614"/>
      <c r="I7" s="112"/>
      <c r="J7" s="624" t="s">
        <v>2</v>
      </c>
      <c r="K7" s="625"/>
      <c r="P7" s="30"/>
    </row>
    <row r="8" spans="1:20" x14ac:dyDescent="0.25">
      <c r="A8" s="629" t="s">
        <v>3</v>
      </c>
      <c r="B8" s="630"/>
      <c r="C8" s="18" t="s">
        <v>4</v>
      </c>
      <c r="D8" s="211" t="s">
        <v>5</v>
      </c>
      <c r="E8" s="73" t="s">
        <v>6</v>
      </c>
      <c r="F8" s="11" t="s">
        <v>7</v>
      </c>
      <c r="G8" s="81"/>
      <c r="H8" s="12" t="s">
        <v>8</v>
      </c>
      <c r="I8" s="74" t="s">
        <v>9</v>
      </c>
      <c r="J8" s="96"/>
      <c r="K8" s="113"/>
      <c r="P8" s="214"/>
    </row>
    <row r="9" spans="1:20" x14ac:dyDescent="0.25">
      <c r="A9" s="114"/>
      <c r="B9" s="115"/>
      <c r="C9" s="81"/>
      <c r="D9" s="116"/>
      <c r="E9" s="115"/>
      <c r="F9" s="17" t="s">
        <v>10</v>
      </c>
      <c r="G9" s="18" t="s">
        <v>11</v>
      </c>
      <c r="H9" s="12" t="s">
        <v>12</v>
      </c>
      <c r="I9" s="117"/>
      <c r="J9" s="211" t="s">
        <v>13</v>
      </c>
      <c r="K9" s="211" t="s">
        <v>14</v>
      </c>
      <c r="P9" s="214"/>
    </row>
    <row r="10" spans="1:20" x14ac:dyDescent="0.25">
      <c r="A10" s="118"/>
      <c r="B10" s="119"/>
      <c r="C10" s="82"/>
      <c r="D10" s="170"/>
      <c r="E10" s="170"/>
      <c r="F10" s="22"/>
      <c r="G10" s="85"/>
      <c r="H10" s="86" t="s">
        <v>15</v>
      </c>
      <c r="I10" s="120"/>
      <c r="J10" s="22"/>
      <c r="K10" s="51" t="s">
        <v>16</v>
      </c>
      <c r="P10" s="214"/>
    </row>
    <row r="11" spans="1:20" x14ac:dyDescent="0.25">
      <c r="A11" s="142" t="s">
        <v>17</v>
      </c>
      <c r="B11" s="59"/>
      <c r="C11" s="59"/>
      <c r="D11" s="59"/>
      <c r="E11" s="59"/>
      <c r="F11" s="59"/>
      <c r="G11" s="59"/>
      <c r="H11" s="59"/>
      <c r="I11" s="75"/>
      <c r="J11" s="59"/>
      <c r="K11" s="59"/>
      <c r="P11" s="272" t="s">
        <v>308</v>
      </c>
      <c r="R11" t="s">
        <v>160</v>
      </c>
      <c r="S11" t="s">
        <v>163</v>
      </c>
      <c r="T11" t="s">
        <v>309</v>
      </c>
    </row>
    <row r="12" spans="1:20" x14ac:dyDescent="0.25">
      <c r="A12" s="223">
        <v>2</v>
      </c>
      <c r="B12" s="224" t="s">
        <v>159</v>
      </c>
      <c r="C12" s="224" t="s">
        <v>160</v>
      </c>
      <c r="D12" s="224" t="s">
        <v>161</v>
      </c>
      <c r="E12" s="224" t="s">
        <v>54</v>
      </c>
      <c r="F12" s="225"/>
      <c r="G12" s="100" t="s">
        <v>40</v>
      </c>
      <c r="H12" s="226">
        <v>10000</v>
      </c>
      <c r="I12" s="227">
        <v>2000</v>
      </c>
      <c r="J12" s="224" t="s">
        <v>147</v>
      </c>
      <c r="K12" s="224" t="s">
        <v>41</v>
      </c>
      <c r="M12">
        <f>H12/5</f>
        <v>2000</v>
      </c>
      <c r="O12" s="30"/>
      <c r="P12" t="s">
        <v>138</v>
      </c>
      <c r="Q12" s="30">
        <f>SUM(H12:H72)</f>
        <v>168450</v>
      </c>
      <c r="R12">
        <v>48</v>
      </c>
      <c r="S12">
        <v>11</v>
      </c>
      <c r="T12" t="s">
        <v>310</v>
      </c>
    </row>
    <row r="13" spans="1:20" x14ac:dyDescent="0.25">
      <c r="A13" s="223">
        <v>2</v>
      </c>
      <c r="B13" s="224" t="s">
        <v>162</v>
      </c>
      <c r="C13" s="269" t="s">
        <v>163</v>
      </c>
      <c r="D13" s="224" t="s">
        <v>164</v>
      </c>
      <c r="E13" s="224" t="s">
        <v>44</v>
      </c>
      <c r="F13" s="225" t="s">
        <v>165</v>
      </c>
      <c r="G13" s="100" t="s">
        <v>40</v>
      </c>
      <c r="H13" s="226">
        <v>10000</v>
      </c>
      <c r="I13" s="227">
        <v>2000</v>
      </c>
      <c r="J13" s="224" t="s">
        <v>147</v>
      </c>
      <c r="K13" s="224" t="s">
        <v>41</v>
      </c>
      <c r="M13">
        <f t="shared" ref="M13:M206" si="0">H13/5</f>
        <v>2000</v>
      </c>
      <c r="O13" s="30"/>
      <c r="P13" s="272" t="s">
        <v>349</v>
      </c>
    </row>
    <row r="14" spans="1:20" x14ac:dyDescent="0.25">
      <c r="A14" s="223">
        <v>2</v>
      </c>
      <c r="B14" s="224" t="s">
        <v>166</v>
      </c>
      <c r="C14" s="224" t="s">
        <v>160</v>
      </c>
      <c r="D14" s="224" t="s">
        <v>167</v>
      </c>
      <c r="E14" s="224" t="s">
        <v>43</v>
      </c>
      <c r="F14" s="225"/>
      <c r="G14" s="100" t="s">
        <v>40</v>
      </c>
      <c r="H14" s="226">
        <v>3500</v>
      </c>
      <c r="I14" s="227">
        <v>700</v>
      </c>
      <c r="J14" s="224" t="s">
        <v>147</v>
      </c>
      <c r="K14" s="224" t="s">
        <v>41</v>
      </c>
      <c r="M14">
        <f t="shared" si="0"/>
        <v>700</v>
      </c>
      <c r="O14" s="30"/>
      <c r="P14" t="s">
        <v>138</v>
      </c>
      <c r="Q14" s="69">
        <f>SUM(H73:H84)</f>
        <v>34200</v>
      </c>
      <c r="R14">
        <v>9</v>
      </c>
      <c r="S14">
        <v>3</v>
      </c>
      <c r="T14" t="s">
        <v>350</v>
      </c>
    </row>
    <row r="15" spans="1:20" x14ac:dyDescent="0.25">
      <c r="A15" s="228">
        <v>2</v>
      </c>
      <c r="B15" s="224" t="s">
        <v>168</v>
      </c>
      <c r="C15" s="224" t="s">
        <v>160</v>
      </c>
      <c r="D15" s="224" t="s">
        <v>169</v>
      </c>
      <c r="E15" s="224" t="s">
        <v>45</v>
      </c>
      <c r="F15" s="225" t="s">
        <v>170</v>
      </c>
      <c r="G15" s="100" t="s">
        <v>40</v>
      </c>
      <c r="H15" s="226">
        <v>2000</v>
      </c>
      <c r="I15" s="229">
        <v>400</v>
      </c>
      <c r="J15" s="224" t="s">
        <v>147</v>
      </c>
      <c r="K15" s="224" t="s">
        <v>41</v>
      </c>
      <c r="M15">
        <f t="shared" si="0"/>
        <v>400</v>
      </c>
      <c r="P15" s="272" t="s">
        <v>493</v>
      </c>
    </row>
    <row r="16" spans="1:20" x14ac:dyDescent="0.25">
      <c r="A16" s="223">
        <v>2</v>
      </c>
      <c r="B16" s="224" t="s">
        <v>171</v>
      </c>
      <c r="C16" s="269" t="s">
        <v>163</v>
      </c>
      <c r="D16" s="224" t="s">
        <v>172</v>
      </c>
      <c r="E16" s="224" t="s">
        <v>47</v>
      </c>
      <c r="F16" s="225" t="s">
        <v>173</v>
      </c>
      <c r="G16" s="100" t="s">
        <v>40</v>
      </c>
      <c r="H16" s="226">
        <v>3500</v>
      </c>
      <c r="I16" s="227">
        <v>700</v>
      </c>
      <c r="J16" s="224" t="s">
        <v>147</v>
      </c>
      <c r="K16" s="224" t="s">
        <v>41</v>
      </c>
      <c r="M16">
        <f t="shared" si="0"/>
        <v>700</v>
      </c>
      <c r="P16" t="s">
        <v>138</v>
      </c>
      <c r="Q16" s="69">
        <f>SUM(H85:H140,H143,H150,H152,H154)</f>
        <v>159050</v>
      </c>
      <c r="R16">
        <v>48</v>
      </c>
      <c r="S16">
        <v>9</v>
      </c>
      <c r="T16" t="s">
        <v>494</v>
      </c>
    </row>
    <row r="17" spans="1:20" x14ac:dyDescent="0.25">
      <c r="A17" s="223">
        <v>2</v>
      </c>
      <c r="B17" s="224" t="s">
        <v>174</v>
      </c>
      <c r="C17" s="224" t="s">
        <v>160</v>
      </c>
      <c r="D17" s="224"/>
      <c r="E17" s="224" t="s">
        <v>55</v>
      </c>
      <c r="F17" s="225" t="s">
        <v>175</v>
      </c>
      <c r="G17" s="100" t="s">
        <v>40</v>
      </c>
      <c r="H17" s="226">
        <v>500</v>
      </c>
      <c r="I17" s="227">
        <v>100</v>
      </c>
      <c r="J17" s="224" t="s">
        <v>147</v>
      </c>
      <c r="K17" s="224" t="s">
        <v>41</v>
      </c>
      <c r="M17">
        <f t="shared" si="0"/>
        <v>100</v>
      </c>
      <c r="O17" s="69"/>
      <c r="P17" t="s">
        <v>465</v>
      </c>
      <c r="Q17" s="69">
        <f>SUM(H141:H142,H144:H149,H151,H153,H155)</f>
        <v>25250</v>
      </c>
      <c r="R17">
        <v>11</v>
      </c>
    </row>
    <row r="18" spans="1:20" x14ac:dyDescent="0.25">
      <c r="A18" s="223">
        <v>2</v>
      </c>
      <c r="B18" s="224" t="s">
        <v>176</v>
      </c>
      <c r="C18" s="224" t="s">
        <v>160</v>
      </c>
      <c r="D18" s="224" t="s">
        <v>177</v>
      </c>
      <c r="E18" s="224" t="s">
        <v>61</v>
      </c>
      <c r="F18" s="225" t="s">
        <v>178</v>
      </c>
      <c r="G18" s="100" t="s">
        <v>40</v>
      </c>
      <c r="H18" s="226">
        <v>500</v>
      </c>
      <c r="I18" s="227">
        <v>100</v>
      </c>
      <c r="J18" s="224" t="s">
        <v>147</v>
      </c>
      <c r="K18" s="224" t="s">
        <v>41</v>
      </c>
      <c r="M18">
        <f t="shared" si="0"/>
        <v>100</v>
      </c>
      <c r="P18" s="272" t="s">
        <v>596</v>
      </c>
      <c r="Q18" s="30"/>
    </row>
    <row r="19" spans="1:20" x14ac:dyDescent="0.25">
      <c r="A19" s="223">
        <v>2</v>
      </c>
      <c r="B19" s="224" t="s">
        <v>179</v>
      </c>
      <c r="C19" s="224" t="s">
        <v>160</v>
      </c>
      <c r="D19" s="224" t="s">
        <v>180</v>
      </c>
      <c r="E19" s="224" t="s">
        <v>49</v>
      </c>
      <c r="F19" s="225" t="s">
        <v>181</v>
      </c>
      <c r="G19" s="100" t="s">
        <v>40</v>
      </c>
      <c r="H19" s="226">
        <v>3000</v>
      </c>
      <c r="I19" s="227">
        <v>600</v>
      </c>
      <c r="J19" s="224" t="s">
        <v>147</v>
      </c>
      <c r="K19" s="224" t="s">
        <v>41</v>
      </c>
      <c r="M19">
        <f t="shared" si="0"/>
        <v>600</v>
      </c>
      <c r="O19" s="30"/>
      <c r="P19" t="s">
        <v>138</v>
      </c>
      <c r="Q19" s="69">
        <f>SUM(H156:H165,H167:H206)</f>
        <v>91710</v>
      </c>
      <c r="R19">
        <v>37</v>
      </c>
      <c r="S19">
        <v>10</v>
      </c>
      <c r="T19" t="s">
        <v>602</v>
      </c>
    </row>
    <row r="20" spans="1:20" s="62" customFormat="1" x14ac:dyDescent="0.25">
      <c r="A20" s="223">
        <v>2</v>
      </c>
      <c r="B20" s="224" t="s">
        <v>182</v>
      </c>
      <c r="C20" s="224" t="s">
        <v>160</v>
      </c>
      <c r="D20" s="224" t="s">
        <v>183</v>
      </c>
      <c r="E20" s="224" t="s">
        <v>56</v>
      </c>
      <c r="F20" s="225"/>
      <c r="G20" s="100" t="s">
        <v>40</v>
      </c>
      <c r="H20" s="226">
        <v>200</v>
      </c>
      <c r="I20" s="227">
        <v>40</v>
      </c>
      <c r="J20" s="224" t="s">
        <v>147</v>
      </c>
      <c r="K20" s="224" t="s">
        <v>41</v>
      </c>
      <c r="M20" s="62">
        <f t="shared" si="0"/>
        <v>40</v>
      </c>
      <c r="P20" s="62" t="s">
        <v>465</v>
      </c>
      <c r="Q20" s="62">
        <v>100</v>
      </c>
      <c r="S20" s="62">
        <v>1</v>
      </c>
      <c r="T20" s="62" t="s">
        <v>603</v>
      </c>
    </row>
    <row r="21" spans="1:20" x14ac:dyDescent="0.25">
      <c r="A21" s="223">
        <v>2</v>
      </c>
      <c r="B21" s="224" t="s">
        <v>184</v>
      </c>
      <c r="C21" s="224" t="s">
        <v>160</v>
      </c>
      <c r="D21" s="224" t="s">
        <v>185</v>
      </c>
      <c r="E21" s="224" t="s">
        <v>42</v>
      </c>
      <c r="F21" s="225"/>
      <c r="G21" s="100" t="s">
        <v>40</v>
      </c>
      <c r="H21" s="226">
        <v>3000</v>
      </c>
      <c r="I21" s="227">
        <v>600</v>
      </c>
      <c r="J21" s="224" t="s">
        <v>147</v>
      </c>
      <c r="K21" s="224" t="s">
        <v>41</v>
      </c>
      <c r="M21">
        <f t="shared" si="0"/>
        <v>600</v>
      </c>
    </row>
    <row r="22" spans="1:20" x14ac:dyDescent="0.25">
      <c r="A22" s="223">
        <v>2</v>
      </c>
      <c r="B22" s="224" t="s">
        <v>186</v>
      </c>
      <c r="C22" s="224" t="s">
        <v>160</v>
      </c>
      <c r="D22" s="224" t="s">
        <v>180</v>
      </c>
      <c r="E22" s="224" t="s">
        <v>57</v>
      </c>
      <c r="F22" s="225" t="s">
        <v>187</v>
      </c>
      <c r="G22" s="100" t="s">
        <v>40</v>
      </c>
      <c r="H22" s="226">
        <v>4000</v>
      </c>
      <c r="I22" s="227">
        <v>800</v>
      </c>
      <c r="J22" s="224" t="s">
        <v>147</v>
      </c>
      <c r="K22" s="224" t="s">
        <v>41</v>
      </c>
      <c r="M22">
        <f t="shared" si="0"/>
        <v>800</v>
      </c>
    </row>
    <row r="23" spans="1:20" x14ac:dyDescent="0.25">
      <c r="A23" s="223">
        <v>2</v>
      </c>
      <c r="B23" s="224" t="s">
        <v>188</v>
      </c>
      <c r="C23" s="269" t="s">
        <v>163</v>
      </c>
      <c r="D23" s="224" t="s">
        <v>189</v>
      </c>
      <c r="E23" s="224" t="s">
        <v>42</v>
      </c>
      <c r="F23" s="225"/>
      <c r="G23" s="100" t="s">
        <v>40</v>
      </c>
      <c r="H23" s="226">
        <v>6000</v>
      </c>
      <c r="I23" s="227">
        <v>1200</v>
      </c>
      <c r="J23" s="224" t="s">
        <v>147</v>
      </c>
      <c r="K23" s="224" t="s">
        <v>41</v>
      </c>
      <c r="M23">
        <f t="shared" si="0"/>
        <v>1200</v>
      </c>
    </row>
    <row r="24" spans="1:20" x14ac:dyDescent="0.25">
      <c r="A24" s="223">
        <v>2</v>
      </c>
      <c r="B24" s="224" t="s">
        <v>190</v>
      </c>
      <c r="C24" s="224" t="s">
        <v>160</v>
      </c>
      <c r="D24" s="224" t="s">
        <v>191</v>
      </c>
      <c r="E24" s="224" t="s">
        <v>43</v>
      </c>
      <c r="F24" s="225"/>
      <c r="G24" s="100" t="s">
        <v>40</v>
      </c>
      <c r="H24" s="226">
        <v>2000</v>
      </c>
      <c r="I24" s="227">
        <v>400</v>
      </c>
      <c r="J24" s="224" t="s">
        <v>147</v>
      </c>
      <c r="K24" s="224" t="s">
        <v>41</v>
      </c>
      <c r="M24">
        <f t="shared" si="0"/>
        <v>400</v>
      </c>
      <c r="P24" s="30"/>
    </row>
    <row r="25" spans="1:20" x14ac:dyDescent="0.25">
      <c r="A25" s="228">
        <v>2</v>
      </c>
      <c r="B25" s="230" t="s">
        <v>192</v>
      </c>
      <c r="C25" s="230" t="s">
        <v>160</v>
      </c>
      <c r="D25" s="230" t="s">
        <v>161</v>
      </c>
      <c r="E25" s="230" t="s">
        <v>54</v>
      </c>
      <c r="F25" s="231"/>
      <c r="G25" s="100" t="s">
        <v>40</v>
      </c>
      <c r="H25" s="232">
        <v>1000</v>
      </c>
      <c r="I25" s="229">
        <v>200</v>
      </c>
      <c r="J25" s="224" t="s">
        <v>147</v>
      </c>
      <c r="K25" s="224" t="s">
        <v>41</v>
      </c>
      <c r="M25">
        <f t="shared" si="0"/>
        <v>200</v>
      </c>
      <c r="P25" s="30"/>
    </row>
    <row r="26" spans="1:20" x14ac:dyDescent="0.25">
      <c r="A26" s="223">
        <v>2</v>
      </c>
      <c r="B26" s="230" t="s">
        <v>193</v>
      </c>
      <c r="C26" s="230" t="s">
        <v>160</v>
      </c>
      <c r="D26" s="230" t="s">
        <v>194</v>
      </c>
      <c r="E26" s="230" t="s">
        <v>43</v>
      </c>
      <c r="F26" s="231"/>
      <c r="G26" s="233" t="s">
        <v>40</v>
      </c>
      <c r="H26" s="232">
        <v>1500</v>
      </c>
      <c r="I26" s="229">
        <v>300</v>
      </c>
      <c r="J26" s="224" t="s">
        <v>147</v>
      </c>
      <c r="K26" s="224" t="s">
        <v>41</v>
      </c>
      <c r="M26">
        <f t="shared" si="0"/>
        <v>300</v>
      </c>
      <c r="P26" s="30"/>
      <c r="Q26" s="30">
        <f>SUM(Q12,Q14,Q16,Q19)</f>
        <v>453410</v>
      </c>
    </row>
    <row r="27" spans="1:20" x14ac:dyDescent="0.25">
      <c r="A27" s="223">
        <v>2</v>
      </c>
      <c r="B27" s="224" t="s">
        <v>195</v>
      </c>
      <c r="C27" s="269" t="s">
        <v>163</v>
      </c>
      <c r="D27" s="224" t="s">
        <v>196</v>
      </c>
      <c r="E27" s="224" t="s">
        <v>56</v>
      </c>
      <c r="F27" s="225"/>
      <c r="G27" s="100" t="s">
        <v>40</v>
      </c>
      <c r="H27" s="226">
        <v>500</v>
      </c>
      <c r="I27" s="227">
        <v>100</v>
      </c>
      <c r="J27" s="224" t="s">
        <v>147</v>
      </c>
      <c r="K27" s="224" t="s">
        <v>41</v>
      </c>
      <c r="M27">
        <f t="shared" si="0"/>
        <v>100</v>
      </c>
      <c r="Q27" s="69">
        <f>SUM(Q17,Q20)</f>
        <v>25350</v>
      </c>
    </row>
    <row r="28" spans="1:20" x14ac:dyDescent="0.25">
      <c r="A28" s="223">
        <v>2</v>
      </c>
      <c r="B28" s="224" t="s">
        <v>197</v>
      </c>
      <c r="C28" s="224" t="s">
        <v>160</v>
      </c>
      <c r="D28" s="224" t="s">
        <v>198</v>
      </c>
      <c r="E28" s="224" t="s">
        <v>54</v>
      </c>
      <c r="F28" s="225" t="s">
        <v>199</v>
      </c>
      <c r="G28" s="100" t="s">
        <v>40</v>
      </c>
      <c r="H28" s="226">
        <v>1000</v>
      </c>
      <c r="I28" s="227">
        <v>200</v>
      </c>
      <c r="J28" s="224" t="s">
        <v>147</v>
      </c>
      <c r="K28" s="224" t="s">
        <v>41</v>
      </c>
      <c r="M28">
        <f t="shared" si="0"/>
        <v>200</v>
      </c>
      <c r="P28" s="30"/>
    </row>
    <row r="29" spans="1:20" x14ac:dyDescent="0.25">
      <c r="A29" s="223">
        <v>2</v>
      </c>
      <c r="B29" s="224" t="s">
        <v>200</v>
      </c>
      <c r="C29" s="224" t="s">
        <v>160</v>
      </c>
      <c r="D29" s="224" t="s">
        <v>201</v>
      </c>
      <c r="E29" s="224" t="s">
        <v>45</v>
      </c>
      <c r="F29" s="225"/>
      <c r="G29" s="100" t="s">
        <v>40</v>
      </c>
      <c r="H29" s="226">
        <v>1000</v>
      </c>
      <c r="I29" s="227">
        <v>200</v>
      </c>
      <c r="J29" s="224" t="s">
        <v>147</v>
      </c>
      <c r="K29" s="224" t="s">
        <v>41</v>
      </c>
      <c r="M29">
        <f t="shared" si="0"/>
        <v>200</v>
      </c>
    </row>
    <row r="30" spans="1:20" x14ac:dyDescent="0.25">
      <c r="A30" s="223">
        <v>2</v>
      </c>
      <c r="B30" s="224" t="s">
        <v>202</v>
      </c>
      <c r="C30" s="269" t="s">
        <v>163</v>
      </c>
      <c r="D30" s="224" t="s">
        <v>203</v>
      </c>
      <c r="E30" s="224" t="s">
        <v>54</v>
      </c>
      <c r="F30" s="225" t="s">
        <v>204</v>
      </c>
      <c r="G30" s="100" t="s">
        <v>40</v>
      </c>
      <c r="H30" s="226">
        <v>2000</v>
      </c>
      <c r="I30" s="227">
        <v>400</v>
      </c>
      <c r="J30" s="224" t="s">
        <v>147</v>
      </c>
      <c r="K30" s="224" t="s">
        <v>41</v>
      </c>
      <c r="M30">
        <f t="shared" si="0"/>
        <v>400</v>
      </c>
    </row>
    <row r="31" spans="1:20" x14ac:dyDescent="0.25">
      <c r="A31" s="223">
        <v>2</v>
      </c>
      <c r="B31" s="224" t="s">
        <v>205</v>
      </c>
      <c r="C31" s="224" t="s">
        <v>160</v>
      </c>
      <c r="D31" s="224" t="s">
        <v>206</v>
      </c>
      <c r="E31" s="224" t="s">
        <v>55</v>
      </c>
      <c r="F31" s="225" t="s">
        <v>207</v>
      </c>
      <c r="G31" s="100" t="s">
        <v>40</v>
      </c>
      <c r="H31" s="226">
        <v>500</v>
      </c>
      <c r="I31" s="227">
        <v>100</v>
      </c>
      <c r="J31" s="224" t="s">
        <v>147</v>
      </c>
      <c r="K31" s="224" t="s">
        <v>41</v>
      </c>
      <c r="M31">
        <f t="shared" si="0"/>
        <v>100</v>
      </c>
    </row>
    <row r="32" spans="1:20" x14ac:dyDescent="0.25">
      <c r="A32" s="223">
        <v>2</v>
      </c>
      <c r="B32" s="224" t="s">
        <v>208</v>
      </c>
      <c r="C32" s="224" t="s">
        <v>160</v>
      </c>
      <c r="D32" s="224" t="s">
        <v>196</v>
      </c>
      <c r="E32" s="224" t="s">
        <v>56</v>
      </c>
      <c r="F32" s="225" t="s">
        <v>209</v>
      </c>
      <c r="G32" s="100" t="s">
        <v>40</v>
      </c>
      <c r="H32" s="226">
        <v>2000</v>
      </c>
      <c r="I32" s="227">
        <v>400</v>
      </c>
      <c r="J32" s="224" t="s">
        <v>147</v>
      </c>
      <c r="K32" s="224" t="s">
        <v>41</v>
      </c>
      <c r="M32">
        <f t="shared" si="0"/>
        <v>400</v>
      </c>
    </row>
    <row r="33" spans="1:13" x14ac:dyDescent="0.25">
      <c r="A33" s="223">
        <v>2</v>
      </c>
      <c r="B33" s="224" t="s">
        <v>210</v>
      </c>
      <c r="C33" s="224" t="s">
        <v>160</v>
      </c>
      <c r="D33" s="224" t="s">
        <v>211</v>
      </c>
      <c r="E33" s="224" t="s">
        <v>47</v>
      </c>
      <c r="F33" s="225" t="s">
        <v>212</v>
      </c>
      <c r="G33" s="100" t="s">
        <v>40</v>
      </c>
      <c r="H33" s="226">
        <v>1000</v>
      </c>
      <c r="I33" s="227">
        <v>200</v>
      </c>
      <c r="J33" s="224" t="s">
        <v>147</v>
      </c>
      <c r="K33" s="224" t="s">
        <v>41</v>
      </c>
      <c r="M33">
        <f t="shared" si="0"/>
        <v>200</v>
      </c>
    </row>
    <row r="34" spans="1:13" x14ac:dyDescent="0.25">
      <c r="A34" s="223">
        <v>2</v>
      </c>
      <c r="B34" s="224" t="s">
        <v>213</v>
      </c>
      <c r="C34" s="269" t="s">
        <v>163</v>
      </c>
      <c r="D34" s="224" t="s">
        <v>214</v>
      </c>
      <c r="E34" s="224" t="s">
        <v>54</v>
      </c>
      <c r="F34" s="225" t="s">
        <v>215</v>
      </c>
      <c r="G34" s="100" t="s">
        <v>40</v>
      </c>
      <c r="H34" s="226">
        <v>2500</v>
      </c>
      <c r="I34" s="227">
        <v>500</v>
      </c>
      <c r="J34" s="224" t="s">
        <v>147</v>
      </c>
      <c r="K34" s="224" t="s">
        <v>41</v>
      </c>
      <c r="M34">
        <f t="shared" si="0"/>
        <v>500</v>
      </c>
    </row>
    <row r="35" spans="1:13" x14ac:dyDescent="0.25">
      <c r="A35" s="223">
        <v>2</v>
      </c>
      <c r="B35" s="224" t="s">
        <v>213</v>
      </c>
      <c r="C35" s="269" t="s">
        <v>163</v>
      </c>
      <c r="D35" s="224" t="s">
        <v>214</v>
      </c>
      <c r="E35" s="224" t="s">
        <v>54</v>
      </c>
      <c r="F35" s="225" t="s">
        <v>215</v>
      </c>
      <c r="G35" s="100" t="s">
        <v>40</v>
      </c>
      <c r="H35" s="226">
        <v>500</v>
      </c>
      <c r="I35" s="227" t="s">
        <v>152</v>
      </c>
      <c r="J35" s="224" t="s">
        <v>147</v>
      </c>
      <c r="K35" s="224" t="s">
        <v>41</v>
      </c>
      <c r="M35">
        <f t="shared" si="0"/>
        <v>100</v>
      </c>
    </row>
    <row r="36" spans="1:13" x14ac:dyDescent="0.25">
      <c r="A36" s="223">
        <v>2</v>
      </c>
      <c r="B36" s="224" t="s">
        <v>219</v>
      </c>
      <c r="C36" s="224" t="s">
        <v>160</v>
      </c>
      <c r="D36" s="224" t="s">
        <v>220</v>
      </c>
      <c r="E36" s="224" t="s">
        <v>61</v>
      </c>
      <c r="F36" s="225" t="s">
        <v>221</v>
      </c>
      <c r="G36" s="100" t="s">
        <v>40</v>
      </c>
      <c r="H36" s="226">
        <v>5000</v>
      </c>
      <c r="I36" s="227">
        <v>1000</v>
      </c>
      <c r="J36" s="224" t="s">
        <v>147</v>
      </c>
      <c r="K36" s="224" t="s">
        <v>41</v>
      </c>
      <c r="M36">
        <f t="shared" si="0"/>
        <v>1000</v>
      </c>
    </row>
    <row r="37" spans="1:13" x14ac:dyDescent="0.25">
      <c r="A37" s="223">
        <v>3</v>
      </c>
      <c r="B37" s="224" t="s">
        <v>222</v>
      </c>
      <c r="C37" s="224" t="s">
        <v>160</v>
      </c>
      <c r="D37" s="224" t="s">
        <v>500</v>
      </c>
      <c r="E37" s="224" t="s">
        <v>58</v>
      </c>
      <c r="F37" s="225"/>
      <c r="G37" s="100" t="s">
        <v>40</v>
      </c>
      <c r="H37" s="226">
        <v>500</v>
      </c>
      <c r="I37" s="227">
        <v>100</v>
      </c>
      <c r="J37" s="224" t="s">
        <v>147</v>
      </c>
      <c r="K37" s="224" t="s">
        <v>41</v>
      </c>
      <c r="M37">
        <f t="shared" si="0"/>
        <v>100</v>
      </c>
    </row>
    <row r="38" spans="1:13" x14ac:dyDescent="0.25">
      <c r="A38" s="223">
        <v>3</v>
      </c>
      <c r="B38" s="224" t="s">
        <v>223</v>
      </c>
      <c r="C38" s="269" t="s">
        <v>163</v>
      </c>
      <c r="D38" s="224" t="s">
        <v>201</v>
      </c>
      <c r="E38" s="224" t="s">
        <v>45</v>
      </c>
      <c r="F38" s="225" t="s">
        <v>224</v>
      </c>
      <c r="G38" s="224" t="s">
        <v>40</v>
      </c>
      <c r="H38" s="234">
        <v>1000</v>
      </c>
      <c r="I38" s="235">
        <v>200</v>
      </c>
      <c r="J38" s="224" t="s">
        <v>147</v>
      </c>
      <c r="K38" s="224" t="s">
        <v>41</v>
      </c>
      <c r="M38">
        <f t="shared" si="0"/>
        <v>200</v>
      </c>
    </row>
    <row r="39" spans="1:13" x14ac:dyDescent="0.25">
      <c r="A39" s="223">
        <v>3</v>
      </c>
      <c r="B39" s="224" t="s">
        <v>225</v>
      </c>
      <c r="C39" s="269" t="s">
        <v>163</v>
      </c>
      <c r="D39" s="224" t="s">
        <v>226</v>
      </c>
      <c r="E39" s="224" t="s">
        <v>43</v>
      </c>
      <c r="F39" s="225"/>
      <c r="G39" s="224" t="s">
        <v>40</v>
      </c>
      <c r="H39" s="234">
        <v>2000</v>
      </c>
      <c r="I39" s="235">
        <v>400</v>
      </c>
      <c r="J39" s="224" t="s">
        <v>147</v>
      </c>
      <c r="K39" s="224" t="s">
        <v>41</v>
      </c>
      <c r="M39">
        <f t="shared" si="0"/>
        <v>400</v>
      </c>
    </row>
    <row r="40" spans="1:13" x14ac:dyDescent="0.25">
      <c r="A40" s="223">
        <v>4</v>
      </c>
      <c r="B40" s="224" t="s">
        <v>227</v>
      </c>
      <c r="C40" s="224" t="s">
        <v>160</v>
      </c>
      <c r="D40" s="224" t="s">
        <v>228</v>
      </c>
      <c r="E40" s="224" t="s">
        <v>45</v>
      </c>
      <c r="F40" s="225" t="s">
        <v>229</v>
      </c>
      <c r="G40" s="224" t="s">
        <v>40</v>
      </c>
      <c r="H40" s="234">
        <v>1500</v>
      </c>
      <c r="I40" s="235">
        <v>300</v>
      </c>
      <c r="J40" s="224" t="s">
        <v>147</v>
      </c>
      <c r="K40" s="224" t="s">
        <v>41</v>
      </c>
      <c r="M40">
        <f t="shared" si="0"/>
        <v>300</v>
      </c>
    </row>
    <row r="41" spans="1:13" x14ac:dyDescent="0.25">
      <c r="A41" s="223">
        <v>4</v>
      </c>
      <c r="B41" s="224" t="s">
        <v>230</v>
      </c>
      <c r="C41" s="224" t="s">
        <v>160</v>
      </c>
      <c r="D41" s="224" t="s">
        <v>194</v>
      </c>
      <c r="E41" s="224" t="s">
        <v>43</v>
      </c>
      <c r="F41" s="225"/>
      <c r="G41" s="224" t="s">
        <v>40</v>
      </c>
      <c r="H41" s="234">
        <v>2000</v>
      </c>
      <c r="I41" s="235">
        <v>400</v>
      </c>
      <c r="J41" s="224" t="s">
        <v>147</v>
      </c>
      <c r="K41" s="224" t="s">
        <v>41</v>
      </c>
      <c r="M41">
        <f t="shared" si="0"/>
        <v>400</v>
      </c>
    </row>
    <row r="42" spans="1:13" s="62" customFormat="1" x14ac:dyDescent="0.25">
      <c r="A42" s="223">
        <v>4</v>
      </c>
      <c r="B42" s="224" t="s">
        <v>231</v>
      </c>
      <c r="C42" s="224" t="s">
        <v>160</v>
      </c>
      <c r="D42" s="224" t="s">
        <v>167</v>
      </c>
      <c r="E42" s="224" t="s">
        <v>43</v>
      </c>
      <c r="F42" s="225" t="s">
        <v>232</v>
      </c>
      <c r="G42" s="224" t="s">
        <v>40</v>
      </c>
      <c r="H42" s="234">
        <v>2000</v>
      </c>
      <c r="I42" s="235">
        <v>400</v>
      </c>
      <c r="J42" s="224" t="s">
        <v>147</v>
      </c>
      <c r="K42" s="224" t="s">
        <v>41</v>
      </c>
      <c r="M42" s="62">
        <f t="shared" si="0"/>
        <v>400</v>
      </c>
    </row>
    <row r="43" spans="1:13" s="62" customFormat="1" x14ac:dyDescent="0.25">
      <c r="A43" s="223">
        <v>4</v>
      </c>
      <c r="B43" s="224" t="s">
        <v>233</v>
      </c>
      <c r="C43" s="224" t="s">
        <v>160</v>
      </c>
      <c r="D43" s="224" t="s">
        <v>234</v>
      </c>
      <c r="E43" s="224" t="s">
        <v>49</v>
      </c>
      <c r="F43" s="225" t="s">
        <v>235</v>
      </c>
      <c r="G43" s="224" t="s">
        <v>40</v>
      </c>
      <c r="H43" s="234">
        <v>500</v>
      </c>
      <c r="I43" s="235">
        <v>100</v>
      </c>
      <c r="J43" s="224" t="s">
        <v>147</v>
      </c>
      <c r="K43" s="224" t="s">
        <v>41</v>
      </c>
      <c r="M43" s="62">
        <f t="shared" si="0"/>
        <v>100</v>
      </c>
    </row>
    <row r="44" spans="1:13" s="62" customFormat="1" x14ac:dyDescent="0.25">
      <c r="A44" s="223">
        <v>4</v>
      </c>
      <c r="B44" s="224" t="s">
        <v>236</v>
      </c>
      <c r="C44" s="224" t="s">
        <v>160</v>
      </c>
      <c r="D44" s="224" t="s">
        <v>237</v>
      </c>
      <c r="E44" s="224" t="s">
        <v>42</v>
      </c>
      <c r="F44" s="225"/>
      <c r="G44" s="224" t="s">
        <v>40</v>
      </c>
      <c r="H44" s="234">
        <v>500</v>
      </c>
      <c r="I44" s="235">
        <v>100</v>
      </c>
      <c r="J44" s="224" t="s">
        <v>147</v>
      </c>
      <c r="K44" s="224" t="s">
        <v>41</v>
      </c>
      <c r="M44" s="62">
        <f t="shared" si="0"/>
        <v>100</v>
      </c>
    </row>
    <row r="45" spans="1:13" s="62" customFormat="1" x14ac:dyDescent="0.25">
      <c r="A45" s="223">
        <v>5</v>
      </c>
      <c r="B45" s="224" t="s">
        <v>238</v>
      </c>
      <c r="C45" s="224" t="s">
        <v>160</v>
      </c>
      <c r="D45" s="224" t="s">
        <v>167</v>
      </c>
      <c r="E45" s="224" t="s">
        <v>43</v>
      </c>
      <c r="F45" s="225" t="s">
        <v>239</v>
      </c>
      <c r="G45" s="224" t="s">
        <v>40</v>
      </c>
      <c r="H45" s="234">
        <v>1500</v>
      </c>
      <c r="I45" s="235">
        <v>300</v>
      </c>
      <c r="J45" s="224" t="s">
        <v>147</v>
      </c>
      <c r="K45" s="224" t="s">
        <v>41</v>
      </c>
      <c r="M45" s="62">
        <f t="shared" si="0"/>
        <v>300</v>
      </c>
    </row>
    <row r="46" spans="1:13" s="62" customFormat="1" x14ac:dyDescent="0.25">
      <c r="A46" s="223">
        <v>5</v>
      </c>
      <c r="B46" s="224" t="s">
        <v>240</v>
      </c>
      <c r="C46" s="224" t="s">
        <v>160</v>
      </c>
      <c r="D46" s="224" t="s">
        <v>194</v>
      </c>
      <c r="E46" s="224" t="s">
        <v>43</v>
      </c>
      <c r="F46" s="225" t="s">
        <v>241</v>
      </c>
      <c r="G46" s="224" t="s">
        <v>40</v>
      </c>
      <c r="H46" s="234">
        <v>5000</v>
      </c>
      <c r="I46" s="235">
        <v>1000</v>
      </c>
      <c r="J46" s="224" t="s">
        <v>147</v>
      </c>
      <c r="K46" s="224" t="s">
        <v>41</v>
      </c>
      <c r="M46" s="62">
        <f t="shared" si="0"/>
        <v>1000</v>
      </c>
    </row>
    <row r="47" spans="1:13" s="62" customFormat="1" x14ac:dyDescent="0.25">
      <c r="A47" s="228">
        <v>5</v>
      </c>
      <c r="B47" s="230" t="s">
        <v>242</v>
      </c>
      <c r="C47" s="269" t="s">
        <v>163</v>
      </c>
      <c r="D47" s="230" t="s">
        <v>243</v>
      </c>
      <c r="E47" s="230" t="s">
        <v>56</v>
      </c>
      <c r="F47" s="231" t="s">
        <v>244</v>
      </c>
      <c r="G47" s="230" t="s">
        <v>40</v>
      </c>
      <c r="H47" s="236">
        <v>1000</v>
      </c>
      <c r="I47" s="235">
        <v>200</v>
      </c>
      <c r="J47" s="224" t="s">
        <v>147</v>
      </c>
      <c r="K47" s="224" t="s">
        <v>41</v>
      </c>
      <c r="M47" s="62">
        <f t="shared" si="0"/>
        <v>200</v>
      </c>
    </row>
    <row r="48" spans="1:13" s="62" customFormat="1" x14ac:dyDescent="0.25">
      <c r="A48" s="228">
        <v>5</v>
      </c>
      <c r="B48" s="230" t="s">
        <v>245</v>
      </c>
      <c r="C48" s="230" t="s">
        <v>160</v>
      </c>
      <c r="D48" s="230" t="s">
        <v>246</v>
      </c>
      <c r="E48" s="230" t="s">
        <v>47</v>
      </c>
      <c r="F48" s="231" t="s">
        <v>247</v>
      </c>
      <c r="G48" s="230" t="s">
        <v>40</v>
      </c>
      <c r="H48" s="236">
        <v>1500</v>
      </c>
      <c r="I48" s="235">
        <v>300</v>
      </c>
      <c r="J48" s="224" t="s">
        <v>147</v>
      </c>
      <c r="K48" s="224" t="s">
        <v>41</v>
      </c>
      <c r="M48" s="62">
        <f t="shared" si="0"/>
        <v>300</v>
      </c>
    </row>
    <row r="49" spans="1:17" s="62" customFormat="1" x14ac:dyDescent="0.25">
      <c r="A49" s="228">
        <v>8</v>
      </c>
      <c r="B49" s="230" t="s">
        <v>254</v>
      </c>
      <c r="C49" s="269" t="s">
        <v>163</v>
      </c>
      <c r="D49" s="230" t="s">
        <v>255</v>
      </c>
      <c r="E49" s="230" t="s">
        <v>57</v>
      </c>
      <c r="F49" s="231"/>
      <c r="G49" s="230" t="s">
        <v>40</v>
      </c>
      <c r="H49" s="236">
        <v>3500</v>
      </c>
      <c r="I49" s="235">
        <v>700</v>
      </c>
      <c r="J49" s="224" t="s">
        <v>147</v>
      </c>
      <c r="K49" s="224" t="s">
        <v>41</v>
      </c>
      <c r="M49" s="62">
        <f t="shared" si="0"/>
        <v>700</v>
      </c>
    </row>
    <row r="50" spans="1:17" s="62" customFormat="1" x14ac:dyDescent="0.25">
      <c r="A50" s="228">
        <v>8</v>
      </c>
      <c r="B50" s="230" t="s">
        <v>256</v>
      </c>
      <c r="C50" s="230" t="s">
        <v>160</v>
      </c>
      <c r="D50" s="230" t="s">
        <v>257</v>
      </c>
      <c r="E50" s="230" t="s">
        <v>58</v>
      </c>
      <c r="F50" s="231"/>
      <c r="G50" s="230" t="s">
        <v>40</v>
      </c>
      <c r="H50" s="236">
        <v>1000</v>
      </c>
      <c r="I50" s="235">
        <v>200</v>
      </c>
      <c r="J50" s="224" t="s">
        <v>147</v>
      </c>
      <c r="K50" s="224" t="s">
        <v>41</v>
      </c>
      <c r="M50" s="62">
        <f t="shared" si="0"/>
        <v>200</v>
      </c>
    </row>
    <row r="51" spans="1:17" s="62" customFormat="1" x14ac:dyDescent="0.25">
      <c r="A51" s="228">
        <v>8</v>
      </c>
      <c r="B51" s="230" t="s">
        <v>258</v>
      </c>
      <c r="C51" s="230" t="s">
        <v>160</v>
      </c>
      <c r="D51" s="230" t="s">
        <v>259</v>
      </c>
      <c r="E51" s="230" t="s">
        <v>49</v>
      </c>
      <c r="F51" s="231" t="s">
        <v>260</v>
      </c>
      <c r="G51" s="230" t="s">
        <v>40</v>
      </c>
      <c r="H51" s="236">
        <v>2000</v>
      </c>
      <c r="I51" s="235">
        <v>400</v>
      </c>
      <c r="J51" s="224" t="s">
        <v>147</v>
      </c>
      <c r="K51" s="224" t="s">
        <v>41</v>
      </c>
      <c r="M51" s="62">
        <f t="shared" si="0"/>
        <v>400</v>
      </c>
    </row>
    <row r="52" spans="1:17" s="62" customFormat="1" x14ac:dyDescent="0.25">
      <c r="A52" s="228">
        <v>8</v>
      </c>
      <c r="B52" s="230" t="s">
        <v>261</v>
      </c>
      <c r="C52" s="230" t="s">
        <v>160</v>
      </c>
      <c r="D52" s="230" t="s">
        <v>262</v>
      </c>
      <c r="E52" s="230" t="s">
        <v>53</v>
      </c>
      <c r="F52" s="231"/>
      <c r="G52" s="230" t="s">
        <v>40</v>
      </c>
      <c r="H52" s="236">
        <v>1500</v>
      </c>
      <c r="I52" s="235">
        <v>300</v>
      </c>
      <c r="J52" s="224" t="s">
        <v>147</v>
      </c>
      <c r="K52" s="224" t="s">
        <v>41</v>
      </c>
      <c r="M52" s="62">
        <f t="shared" si="0"/>
        <v>300</v>
      </c>
      <c r="Q52" s="98"/>
    </row>
    <row r="53" spans="1:17" s="62" customFormat="1" x14ac:dyDescent="0.25">
      <c r="A53" s="228">
        <v>8</v>
      </c>
      <c r="B53" s="230" t="s">
        <v>263</v>
      </c>
      <c r="C53" s="230" t="s">
        <v>160</v>
      </c>
      <c r="D53" s="230" t="s">
        <v>264</v>
      </c>
      <c r="E53" s="230" t="s">
        <v>43</v>
      </c>
      <c r="F53" s="231" t="s">
        <v>265</v>
      </c>
      <c r="G53" s="230" t="s">
        <v>40</v>
      </c>
      <c r="H53" s="236">
        <v>500</v>
      </c>
      <c r="I53" s="235">
        <v>100</v>
      </c>
      <c r="J53" s="224" t="s">
        <v>147</v>
      </c>
      <c r="K53" s="224" t="s">
        <v>41</v>
      </c>
      <c r="M53" s="62">
        <f t="shared" si="0"/>
        <v>100</v>
      </c>
    </row>
    <row r="54" spans="1:17" s="62" customFormat="1" x14ac:dyDescent="0.25">
      <c r="A54" s="228">
        <v>8</v>
      </c>
      <c r="B54" s="230" t="s">
        <v>266</v>
      </c>
      <c r="C54" s="230" t="s">
        <v>160</v>
      </c>
      <c r="D54" s="230" t="s">
        <v>267</v>
      </c>
      <c r="E54" s="230" t="s">
        <v>53</v>
      </c>
      <c r="F54" s="231" t="s">
        <v>268</v>
      </c>
      <c r="G54" s="230" t="s">
        <v>40</v>
      </c>
      <c r="H54" s="236">
        <v>6000</v>
      </c>
      <c r="I54" s="235">
        <v>1200</v>
      </c>
      <c r="J54" s="224" t="s">
        <v>147</v>
      </c>
      <c r="K54" s="224" t="s">
        <v>41</v>
      </c>
      <c r="M54" s="62">
        <f t="shared" si="0"/>
        <v>1200</v>
      </c>
    </row>
    <row r="55" spans="1:17" s="62" customFormat="1" x14ac:dyDescent="0.25">
      <c r="A55" s="228">
        <v>8</v>
      </c>
      <c r="B55" s="230" t="s">
        <v>269</v>
      </c>
      <c r="C55" s="230" t="s">
        <v>160</v>
      </c>
      <c r="D55" s="230" t="s">
        <v>270</v>
      </c>
      <c r="E55" s="230" t="s">
        <v>45</v>
      </c>
      <c r="F55" s="231" t="s">
        <v>271</v>
      </c>
      <c r="G55" s="230" t="s">
        <v>40</v>
      </c>
      <c r="H55" s="236">
        <v>1250</v>
      </c>
      <c r="I55" s="235">
        <v>250</v>
      </c>
      <c r="J55" s="224" t="s">
        <v>147</v>
      </c>
      <c r="K55" s="224" t="s">
        <v>41</v>
      </c>
      <c r="M55" s="62">
        <f t="shared" si="0"/>
        <v>250</v>
      </c>
    </row>
    <row r="56" spans="1:17" s="62" customFormat="1" x14ac:dyDescent="0.25">
      <c r="A56" s="228">
        <v>8</v>
      </c>
      <c r="B56" s="230" t="s">
        <v>272</v>
      </c>
      <c r="C56" s="230" t="s">
        <v>160</v>
      </c>
      <c r="D56" s="230" t="s">
        <v>273</v>
      </c>
      <c r="E56" s="230" t="s">
        <v>42</v>
      </c>
      <c r="F56" s="231" t="s">
        <v>274</v>
      </c>
      <c r="G56" s="230" t="s">
        <v>40</v>
      </c>
      <c r="H56" s="236">
        <v>5000</v>
      </c>
      <c r="I56" s="235">
        <v>1000</v>
      </c>
      <c r="J56" s="224" t="s">
        <v>147</v>
      </c>
      <c r="K56" s="224" t="s">
        <v>41</v>
      </c>
      <c r="M56" s="62">
        <f t="shared" si="0"/>
        <v>1000</v>
      </c>
    </row>
    <row r="57" spans="1:17" s="62" customFormat="1" x14ac:dyDescent="0.25">
      <c r="A57" s="228">
        <v>8</v>
      </c>
      <c r="B57" s="230" t="s">
        <v>275</v>
      </c>
      <c r="C57" s="230" t="s">
        <v>160</v>
      </c>
      <c r="D57" s="230" t="s">
        <v>164</v>
      </c>
      <c r="E57" s="230" t="s">
        <v>44</v>
      </c>
      <c r="F57" s="231" t="s">
        <v>276</v>
      </c>
      <c r="G57" s="230" t="s">
        <v>40</v>
      </c>
      <c r="H57" s="236">
        <v>8000</v>
      </c>
      <c r="I57" s="235">
        <v>1600</v>
      </c>
      <c r="J57" s="224" t="s">
        <v>147</v>
      </c>
      <c r="K57" s="224" t="s">
        <v>41</v>
      </c>
      <c r="M57" s="62">
        <f t="shared" si="0"/>
        <v>1600</v>
      </c>
    </row>
    <row r="58" spans="1:17" s="62" customFormat="1" x14ac:dyDescent="0.25">
      <c r="A58" s="228">
        <v>8</v>
      </c>
      <c r="B58" s="230" t="s">
        <v>277</v>
      </c>
      <c r="C58" s="230" t="s">
        <v>160</v>
      </c>
      <c r="D58" s="230" t="s">
        <v>259</v>
      </c>
      <c r="E58" s="230" t="s">
        <v>49</v>
      </c>
      <c r="F58" s="231" t="s">
        <v>278</v>
      </c>
      <c r="G58" s="230" t="s">
        <v>40</v>
      </c>
      <c r="H58" s="236">
        <v>2000</v>
      </c>
      <c r="I58" s="235">
        <v>400</v>
      </c>
      <c r="J58" s="224" t="s">
        <v>147</v>
      </c>
      <c r="K58" s="224" t="s">
        <v>41</v>
      </c>
      <c r="M58" s="62">
        <f t="shared" si="0"/>
        <v>400</v>
      </c>
    </row>
    <row r="59" spans="1:17" s="62" customFormat="1" x14ac:dyDescent="0.25">
      <c r="A59" s="228">
        <v>8</v>
      </c>
      <c r="B59" s="230" t="s">
        <v>279</v>
      </c>
      <c r="C59" s="230" t="s">
        <v>160</v>
      </c>
      <c r="D59" s="230" t="s">
        <v>211</v>
      </c>
      <c r="E59" s="230" t="s">
        <v>47</v>
      </c>
      <c r="F59" s="231" t="s">
        <v>280</v>
      </c>
      <c r="G59" s="230" t="s">
        <v>40</v>
      </c>
      <c r="H59" s="236">
        <v>500</v>
      </c>
      <c r="I59" s="235">
        <v>100</v>
      </c>
      <c r="J59" s="224" t="s">
        <v>147</v>
      </c>
      <c r="K59" s="224" t="s">
        <v>41</v>
      </c>
      <c r="M59" s="62">
        <f t="shared" si="0"/>
        <v>100</v>
      </c>
    </row>
    <row r="60" spans="1:17" s="62" customFormat="1" x14ac:dyDescent="0.25">
      <c r="A60" s="228">
        <v>8</v>
      </c>
      <c r="B60" s="230" t="s">
        <v>281</v>
      </c>
      <c r="C60" s="230" t="s">
        <v>160</v>
      </c>
      <c r="D60" s="230" t="s">
        <v>194</v>
      </c>
      <c r="E60" s="230" t="s">
        <v>43</v>
      </c>
      <c r="F60" s="231" t="s">
        <v>282</v>
      </c>
      <c r="G60" s="230" t="s">
        <v>40</v>
      </c>
      <c r="H60" s="236">
        <v>2000</v>
      </c>
      <c r="I60" s="235">
        <v>400</v>
      </c>
      <c r="J60" s="224" t="s">
        <v>147</v>
      </c>
      <c r="K60" s="224" t="s">
        <v>41</v>
      </c>
      <c r="M60" s="62">
        <f t="shared" si="0"/>
        <v>400</v>
      </c>
    </row>
    <row r="61" spans="1:17" s="62" customFormat="1" x14ac:dyDescent="0.25">
      <c r="A61" s="228">
        <v>8</v>
      </c>
      <c r="B61" s="230" t="s">
        <v>283</v>
      </c>
      <c r="C61" s="230" t="s">
        <v>160</v>
      </c>
      <c r="D61" s="230" t="s">
        <v>284</v>
      </c>
      <c r="E61" s="230" t="s">
        <v>47</v>
      </c>
      <c r="F61" s="231" t="s">
        <v>285</v>
      </c>
      <c r="G61" s="230" t="s">
        <v>40</v>
      </c>
      <c r="H61" s="236">
        <v>5000</v>
      </c>
      <c r="I61" s="235">
        <v>1000</v>
      </c>
      <c r="J61" s="224" t="s">
        <v>147</v>
      </c>
      <c r="K61" s="224" t="s">
        <v>41</v>
      </c>
      <c r="M61" s="62">
        <f t="shared" si="0"/>
        <v>1000</v>
      </c>
    </row>
    <row r="62" spans="1:17" s="62" customFormat="1" x14ac:dyDescent="0.25">
      <c r="A62" s="223">
        <v>8</v>
      </c>
      <c r="B62" s="224" t="s">
        <v>286</v>
      </c>
      <c r="C62" s="224" t="s">
        <v>160</v>
      </c>
      <c r="D62" s="224" t="s">
        <v>287</v>
      </c>
      <c r="E62" s="224" t="s">
        <v>47</v>
      </c>
      <c r="F62" s="225" t="s">
        <v>288</v>
      </c>
      <c r="G62" s="224" t="s">
        <v>40</v>
      </c>
      <c r="H62" s="234">
        <v>500</v>
      </c>
      <c r="I62" s="235">
        <v>100</v>
      </c>
      <c r="J62" s="224" t="s">
        <v>147</v>
      </c>
      <c r="K62" s="224" t="s">
        <v>41</v>
      </c>
      <c r="M62" s="62">
        <f t="shared" si="0"/>
        <v>100</v>
      </c>
    </row>
    <row r="63" spans="1:17" s="62" customFormat="1" x14ac:dyDescent="0.25">
      <c r="A63" s="223">
        <v>8</v>
      </c>
      <c r="B63" s="224" t="s">
        <v>289</v>
      </c>
      <c r="C63" s="224" t="s">
        <v>160</v>
      </c>
      <c r="D63" s="224" t="s">
        <v>290</v>
      </c>
      <c r="E63" s="224" t="s">
        <v>42</v>
      </c>
      <c r="F63" s="225"/>
      <c r="G63" s="224" t="s">
        <v>40</v>
      </c>
      <c r="H63" s="234">
        <v>3000</v>
      </c>
      <c r="I63" s="235">
        <v>1200</v>
      </c>
      <c r="J63" s="224" t="s">
        <v>147</v>
      </c>
      <c r="K63" s="224" t="s">
        <v>41</v>
      </c>
      <c r="M63" s="62">
        <f t="shared" si="0"/>
        <v>600</v>
      </c>
    </row>
    <row r="64" spans="1:17" x14ac:dyDescent="0.25">
      <c r="A64" s="223">
        <v>8</v>
      </c>
      <c r="B64" s="224" t="s">
        <v>289</v>
      </c>
      <c r="C64" s="224" t="s">
        <v>160</v>
      </c>
      <c r="D64" s="224" t="s">
        <v>290</v>
      </c>
      <c r="E64" s="224" t="s">
        <v>42</v>
      </c>
      <c r="F64" s="225"/>
      <c r="G64" s="224" t="s">
        <v>40</v>
      </c>
      <c r="H64" s="234">
        <v>2000</v>
      </c>
      <c r="I64" s="235">
        <v>600</v>
      </c>
      <c r="J64" s="224" t="s">
        <v>147</v>
      </c>
      <c r="K64" s="224" t="s">
        <v>41</v>
      </c>
      <c r="M64">
        <f t="shared" si="0"/>
        <v>400</v>
      </c>
    </row>
    <row r="65" spans="1:13" x14ac:dyDescent="0.25">
      <c r="A65" s="223">
        <v>8</v>
      </c>
      <c r="B65" s="100" t="s">
        <v>291</v>
      </c>
      <c r="C65" s="224" t="s">
        <v>160</v>
      </c>
      <c r="D65" s="224" t="s">
        <v>292</v>
      </c>
      <c r="E65" s="224" t="s">
        <v>84</v>
      </c>
      <c r="F65" s="225" t="s">
        <v>293</v>
      </c>
      <c r="G65" s="224" t="s">
        <v>40</v>
      </c>
      <c r="H65" s="234">
        <v>2000</v>
      </c>
      <c r="I65" s="235">
        <v>400</v>
      </c>
      <c r="J65" s="224" t="s">
        <v>147</v>
      </c>
      <c r="K65" s="224" t="s">
        <v>41</v>
      </c>
      <c r="M65">
        <f t="shared" si="0"/>
        <v>400</v>
      </c>
    </row>
    <row r="66" spans="1:13" x14ac:dyDescent="0.25">
      <c r="A66" s="246">
        <v>8</v>
      </c>
      <c r="B66" s="100" t="s">
        <v>294</v>
      </c>
      <c r="C66" s="269" t="s">
        <v>163</v>
      </c>
      <c r="D66" s="224" t="s">
        <v>164</v>
      </c>
      <c r="E66" s="224" t="s">
        <v>44</v>
      </c>
      <c r="F66" s="225" t="s">
        <v>295</v>
      </c>
      <c r="G66" s="224" t="s">
        <v>40</v>
      </c>
      <c r="H66" s="234">
        <v>7000</v>
      </c>
      <c r="I66" s="235">
        <v>1400</v>
      </c>
      <c r="J66" s="224" t="s">
        <v>147</v>
      </c>
      <c r="K66" s="224" t="s">
        <v>41</v>
      </c>
      <c r="M66">
        <f t="shared" si="0"/>
        <v>1400</v>
      </c>
    </row>
    <row r="67" spans="1:13" x14ac:dyDescent="0.25">
      <c r="A67" s="246">
        <v>9</v>
      </c>
      <c r="B67" s="233" t="s">
        <v>296</v>
      </c>
      <c r="C67" s="230" t="s">
        <v>160</v>
      </c>
      <c r="D67" s="230" t="s">
        <v>196</v>
      </c>
      <c r="E67" s="230" t="s">
        <v>56</v>
      </c>
      <c r="F67" s="231" t="s">
        <v>297</v>
      </c>
      <c r="G67" s="230" t="s">
        <v>40</v>
      </c>
      <c r="H67" s="236">
        <v>5500</v>
      </c>
      <c r="I67" s="271">
        <v>1100</v>
      </c>
      <c r="J67" s="230" t="s">
        <v>147</v>
      </c>
      <c r="K67" s="230" t="s">
        <v>41</v>
      </c>
      <c r="M67">
        <f t="shared" si="0"/>
        <v>1100</v>
      </c>
    </row>
    <row r="68" spans="1:13" x14ac:dyDescent="0.25">
      <c r="A68" s="222">
        <v>9</v>
      </c>
      <c r="B68" s="100" t="s">
        <v>298</v>
      </c>
      <c r="C68" s="224" t="s">
        <v>160</v>
      </c>
      <c r="D68" s="224" t="s">
        <v>299</v>
      </c>
      <c r="E68" s="224" t="s">
        <v>42</v>
      </c>
      <c r="F68" s="225"/>
      <c r="G68" s="224" t="s">
        <v>40</v>
      </c>
      <c r="H68" s="234">
        <v>2000</v>
      </c>
      <c r="I68" s="235">
        <v>400</v>
      </c>
      <c r="J68" s="224" t="s">
        <v>147</v>
      </c>
      <c r="K68" s="224" t="s">
        <v>41</v>
      </c>
      <c r="M68">
        <f t="shared" si="0"/>
        <v>400</v>
      </c>
    </row>
    <row r="69" spans="1:13" x14ac:dyDescent="0.25">
      <c r="A69" s="222">
        <v>9</v>
      </c>
      <c r="B69" s="100" t="s">
        <v>300</v>
      </c>
      <c r="C69" s="224" t="s">
        <v>160</v>
      </c>
      <c r="D69" s="224" t="s">
        <v>226</v>
      </c>
      <c r="E69" s="224" t="s">
        <v>43</v>
      </c>
      <c r="F69" s="225"/>
      <c r="G69" s="224" t="s">
        <v>40</v>
      </c>
      <c r="H69" s="234">
        <v>1000</v>
      </c>
      <c r="I69" s="235">
        <v>200</v>
      </c>
      <c r="J69" s="224" t="s">
        <v>147</v>
      </c>
      <c r="K69" s="224" t="s">
        <v>41</v>
      </c>
      <c r="M69">
        <f t="shared" si="0"/>
        <v>200</v>
      </c>
    </row>
    <row r="70" spans="1:13" x14ac:dyDescent="0.25">
      <c r="A70" s="222">
        <v>9</v>
      </c>
      <c r="B70" s="100" t="s">
        <v>301</v>
      </c>
      <c r="C70" s="224" t="s">
        <v>160</v>
      </c>
      <c r="D70" s="224" t="s">
        <v>302</v>
      </c>
      <c r="E70" s="224" t="s">
        <v>49</v>
      </c>
      <c r="F70" s="225" t="s">
        <v>303</v>
      </c>
      <c r="G70" s="224" t="s">
        <v>40</v>
      </c>
      <c r="H70" s="234">
        <v>500</v>
      </c>
      <c r="I70" s="235">
        <v>100</v>
      </c>
      <c r="J70" s="224" t="s">
        <v>147</v>
      </c>
      <c r="K70" s="224" t="s">
        <v>41</v>
      </c>
      <c r="M70">
        <f t="shared" si="0"/>
        <v>100</v>
      </c>
    </row>
    <row r="71" spans="1:13" x14ac:dyDescent="0.25">
      <c r="A71" s="222">
        <v>9</v>
      </c>
      <c r="B71" s="100" t="s">
        <v>304</v>
      </c>
      <c r="C71" s="224" t="s">
        <v>160</v>
      </c>
      <c r="D71" s="224" t="s">
        <v>305</v>
      </c>
      <c r="E71" s="224" t="s">
        <v>53</v>
      </c>
      <c r="F71" s="225" t="s">
        <v>306</v>
      </c>
      <c r="G71" s="224" t="s">
        <v>40</v>
      </c>
      <c r="H71" s="234">
        <v>20000</v>
      </c>
      <c r="I71" s="235">
        <v>4000</v>
      </c>
      <c r="J71" s="224" t="s">
        <v>147</v>
      </c>
      <c r="K71" s="224" t="s">
        <v>41</v>
      </c>
      <c r="M71">
        <f t="shared" si="0"/>
        <v>4000</v>
      </c>
    </row>
    <row r="72" spans="1:13" x14ac:dyDescent="0.25">
      <c r="A72" s="273">
        <v>9</v>
      </c>
      <c r="B72" s="100" t="s">
        <v>307</v>
      </c>
      <c r="C72" s="224" t="s">
        <v>160</v>
      </c>
      <c r="D72" s="224" t="s">
        <v>194</v>
      </c>
      <c r="E72" s="224" t="s">
        <v>43</v>
      </c>
      <c r="F72" s="225"/>
      <c r="G72" s="224" t="s">
        <v>40</v>
      </c>
      <c r="H72" s="234">
        <v>1000</v>
      </c>
      <c r="I72" s="235">
        <v>200</v>
      </c>
      <c r="J72" s="224" t="s">
        <v>147</v>
      </c>
      <c r="K72" s="224" t="s">
        <v>41</v>
      </c>
      <c r="M72">
        <f t="shared" si="0"/>
        <v>200</v>
      </c>
    </row>
    <row r="73" spans="1:13" x14ac:dyDescent="0.25">
      <c r="A73" s="222">
        <v>10</v>
      </c>
      <c r="B73" s="100" t="s">
        <v>312</v>
      </c>
      <c r="C73" s="224" t="s">
        <v>160</v>
      </c>
      <c r="D73" s="224" t="s">
        <v>313</v>
      </c>
      <c r="E73" s="224" t="s">
        <v>60</v>
      </c>
      <c r="F73" s="225"/>
      <c r="G73" s="224" t="s">
        <v>40</v>
      </c>
      <c r="H73" s="234">
        <v>3000</v>
      </c>
      <c r="I73" s="235">
        <v>600</v>
      </c>
      <c r="J73" s="224" t="s">
        <v>147</v>
      </c>
      <c r="K73" s="224" t="s">
        <v>41</v>
      </c>
      <c r="M73">
        <f t="shared" si="0"/>
        <v>600</v>
      </c>
    </row>
    <row r="74" spans="1:13" x14ac:dyDescent="0.25">
      <c r="A74" s="222">
        <v>10</v>
      </c>
      <c r="B74" s="100" t="s">
        <v>314</v>
      </c>
      <c r="C74" s="224" t="s">
        <v>160</v>
      </c>
      <c r="D74" s="224" t="s">
        <v>180</v>
      </c>
      <c r="E74" s="224" t="s">
        <v>64</v>
      </c>
      <c r="F74" s="225" t="s">
        <v>315</v>
      </c>
      <c r="G74" s="224" t="s">
        <v>40</v>
      </c>
      <c r="H74" s="234">
        <v>4000</v>
      </c>
      <c r="I74" s="235">
        <v>800</v>
      </c>
      <c r="J74" s="224" t="s">
        <v>147</v>
      </c>
      <c r="K74" s="224" t="s">
        <v>41</v>
      </c>
      <c r="M74">
        <f t="shared" si="0"/>
        <v>800</v>
      </c>
    </row>
    <row r="75" spans="1:13" x14ac:dyDescent="0.25">
      <c r="A75" s="222">
        <v>10</v>
      </c>
      <c r="B75" s="100" t="s">
        <v>316</v>
      </c>
      <c r="C75" s="224" t="s">
        <v>160</v>
      </c>
      <c r="D75" s="224" t="s">
        <v>317</v>
      </c>
      <c r="E75" s="224" t="s">
        <v>45</v>
      </c>
      <c r="F75" s="225" t="s">
        <v>318</v>
      </c>
      <c r="G75" s="224" t="s">
        <v>40</v>
      </c>
      <c r="H75" s="234">
        <v>600</v>
      </c>
      <c r="I75" s="235">
        <v>120</v>
      </c>
      <c r="J75" s="224" t="s">
        <v>147</v>
      </c>
      <c r="K75" s="224" t="s">
        <v>41</v>
      </c>
      <c r="M75">
        <f t="shared" si="0"/>
        <v>120</v>
      </c>
    </row>
    <row r="76" spans="1:13" x14ac:dyDescent="0.25">
      <c r="A76" s="222">
        <v>10</v>
      </c>
      <c r="B76" s="100" t="s">
        <v>319</v>
      </c>
      <c r="C76" s="224" t="s">
        <v>160</v>
      </c>
      <c r="D76" s="224" t="s">
        <v>177</v>
      </c>
      <c r="E76" s="224" t="s">
        <v>53</v>
      </c>
      <c r="F76" s="225"/>
      <c r="G76" s="224" t="s">
        <v>40</v>
      </c>
      <c r="H76" s="234">
        <v>8000</v>
      </c>
      <c r="I76" s="235">
        <v>1600</v>
      </c>
      <c r="J76" s="224" t="s">
        <v>147</v>
      </c>
      <c r="K76" s="224" t="s">
        <v>41</v>
      </c>
      <c r="M76">
        <f t="shared" si="0"/>
        <v>1600</v>
      </c>
    </row>
    <row r="77" spans="1:13" x14ac:dyDescent="0.25">
      <c r="A77" s="222">
        <v>10</v>
      </c>
      <c r="B77" s="100" t="s">
        <v>320</v>
      </c>
      <c r="C77" s="224" t="s">
        <v>160</v>
      </c>
      <c r="D77" s="224" t="s">
        <v>321</v>
      </c>
      <c r="E77" s="224" t="s">
        <v>42</v>
      </c>
      <c r="F77" s="225" t="s">
        <v>322</v>
      </c>
      <c r="G77" s="224" t="s">
        <v>40</v>
      </c>
      <c r="H77" s="234">
        <v>400</v>
      </c>
      <c r="I77" s="235">
        <v>80</v>
      </c>
      <c r="J77" s="224" t="s">
        <v>147</v>
      </c>
      <c r="K77" s="224" t="s">
        <v>41</v>
      </c>
      <c r="M77">
        <f t="shared" si="0"/>
        <v>80</v>
      </c>
    </row>
    <row r="78" spans="1:13" x14ac:dyDescent="0.25">
      <c r="A78" s="222">
        <v>10</v>
      </c>
      <c r="B78" s="100" t="s">
        <v>328</v>
      </c>
      <c r="C78" s="224" t="s">
        <v>160</v>
      </c>
      <c r="D78" s="224" t="s">
        <v>329</v>
      </c>
      <c r="E78" s="224" t="s">
        <v>54</v>
      </c>
      <c r="F78" s="225"/>
      <c r="G78" s="224" t="s">
        <v>40</v>
      </c>
      <c r="H78" s="234">
        <v>1500</v>
      </c>
      <c r="I78" s="235">
        <v>300</v>
      </c>
      <c r="J78" s="224" t="s">
        <v>147</v>
      </c>
      <c r="K78" s="224" t="s">
        <v>41</v>
      </c>
      <c r="M78">
        <f t="shared" si="0"/>
        <v>300</v>
      </c>
    </row>
    <row r="79" spans="1:13" x14ac:dyDescent="0.25">
      <c r="A79" s="222">
        <v>10</v>
      </c>
      <c r="B79" s="100" t="s">
        <v>330</v>
      </c>
      <c r="C79" s="269" t="s">
        <v>163</v>
      </c>
      <c r="D79" s="224" t="s">
        <v>331</v>
      </c>
      <c r="E79" s="224" t="s">
        <v>54</v>
      </c>
      <c r="F79" s="225" t="s">
        <v>332</v>
      </c>
      <c r="G79" s="224" t="s">
        <v>40</v>
      </c>
      <c r="H79" s="234">
        <v>8000</v>
      </c>
      <c r="I79" s="235">
        <v>1600</v>
      </c>
      <c r="J79" s="224" t="s">
        <v>147</v>
      </c>
      <c r="K79" s="224" t="s">
        <v>41</v>
      </c>
      <c r="M79">
        <f t="shared" si="0"/>
        <v>1600</v>
      </c>
    </row>
    <row r="80" spans="1:13" x14ac:dyDescent="0.25">
      <c r="A80" s="222">
        <v>11</v>
      </c>
      <c r="B80" s="100" t="s">
        <v>333</v>
      </c>
      <c r="C80" s="224" t="s">
        <v>160</v>
      </c>
      <c r="D80" s="224" t="s">
        <v>334</v>
      </c>
      <c r="E80" s="224" t="s">
        <v>55</v>
      </c>
      <c r="F80" s="225" t="s">
        <v>335</v>
      </c>
      <c r="G80" s="224" t="s">
        <v>40</v>
      </c>
      <c r="H80" s="234">
        <v>600</v>
      </c>
      <c r="I80" s="235">
        <v>120</v>
      </c>
      <c r="J80" s="224" t="s">
        <v>147</v>
      </c>
      <c r="K80" s="224" t="s">
        <v>41</v>
      </c>
      <c r="M80">
        <f t="shared" si="0"/>
        <v>120</v>
      </c>
    </row>
    <row r="81" spans="1:13" x14ac:dyDescent="0.25">
      <c r="A81" s="222">
        <v>11</v>
      </c>
      <c r="B81" s="100" t="s">
        <v>336</v>
      </c>
      <c r="C81" s="224" t="s">
        <v>160</v>
      </c>
      <c r="D81" s="224" t="s">
        <v>337</v>
      </c>
      <c r="E81" s="224" t="s">
        <v>47</v>
      </c>
      <c r="F81" s="225" t="s">
        <v>338</v>
      </c>
      <c r="G81" s="224" t="s">
        <v>40</v>
      </c>
      <c r="H81" s="234">
        <v>100</v>
      </c>
      <c r="I81" s="235">
        <v>20</v>
      </c>
      <c r="J81" s="224" t="s">
        <v>147</v>
      </c>
      <c r="K81" s="224" t="s">
        <v>41</v>
      </c>
      <c r="M81">
        <f t="shared" si="0"/>
        <v>20</v>
      </c>
    </row>
    <row r="82" spans="1:13" x14ac:dyDescent="0.25">
      <c r="A82" s="222">
        <v>11</v>
      </c>
      <c r="B82" s="100" t="s">
        <v>339</v>
      </c>
      <c r="C82" s="224" t="s">
        <v>160</v>
      </c>
      <c r="D82" s="224"/>
      <c r="E82" s="224" t="s">
        <v>42</v>
      </c>
      <c r="F82" s="225" t="s">
        <v>340</v>
      </c>
      <c r="G82" s="224" t="s">
        <v>40</v>
      </c>
      <c r="H82" s="234">
        <v>2000</v>
      </c>
      <c r="I82" s="235">
        <v>400</v>
      </c>
      <c r="J82" s="224" t="s">
        <v>147</v>
      </c>
      <c r="K82" s="224" t="s">
        <v>41</v>
      </c>
      <c r="M82">
        <f t="shared" si="0"/>
        <v>400</v>
      </c>
    </row>
    <row r="83" spans="1:13" x14ac:dyDescent="0.25">
      <c r="A83" s="222">
        <v>11</v>
      </c>
      <c r="B83" s="100" t="s">
        <v>341</v>
      </c>
      <c r="C83" s="269" t="s">
        <v>163</v>
      </c>
      <c r="D83" s="224" t="s">
        <v>180</v>
      </c>
      <c r="E83" s="224" t="s">
        <v>79</v>
      </c>
      <c r="F83" s="225" t="s">
        <v>342</v>
      </c>
      <c r="G83" s="224" t="s">
        <v>40</v>
      </c>
      <c r="H83" s="234">
        <v>3000</v>
      </c>
      <c r="I83" s="235">
        <v>600</v>
      </c>
      <c r="J83" s="224" t="s">
        <v>147</v>
      </c>
      <c r="K83" s="224" t="s">
        <v>41</v>
      </c>
      <c r="M83">
        <f t="shared" si="0"/>
        <v>600</v>
      </c>
    </row>
    <row r="84" spans="1:13" x14ac:dyDescent="0.25">
      <c r="A84" s="273">
        <v>11</v>
      </c>
      <c r="B84" s="100" t="s">
        <v>343</v>
      </c>
      <c r="C84" s="269" t="s">
        <v>163</v>
      </c>
      <c r="D84" s="224" t="s">
        <v>344</v>
      </c>
      <c r="E84" s="224" t="s">
        <v>54</v>
      </c>
      <c r="F84" s="225" t="s">
        <v>345</v>
      </c>
      <c r="G84" s="224" t="s">
        <v>40</v>
      </c>
      <c r="H84" s="234">
        <v>3000</v>
      </c>
      <c r="I84" s="235">
        <v>600</v>
      </c>
      <c r="J84" s="224" t="s">
        <v>147</v>
      </c>
      <c r="K84" s="224" t="s">
        <v>41</v>
      </c>
      <c r="M84">
        <f t="shared" si="0"/>
        <v>600</v>
      </c>
    </row>
    <row r="85" spans="1:13" x14ac:dyDescent="0.25">
      <c r="A85" s="222">
        <v>16</v>
      </c>
      <c r="B85" s="100" t="s">
        <v>352</v>
      </c>
      <c r="C85" s="224" t="s">
        <v>160</v>
      </c>
      <c r="D85" s="224" t="s">
        <v>353</v>
      </c>
      <c r="E85" s="224" t="s">
        <v>49</v>
      </c>
      <c r="F85" s="225" t="s">
        <v>354</v>
      </c>
      <c r="G85" s="224" t="s">
        <v>40</v>
      </c>
      <c r="H85" s="234">
        <v>5000</v>
      </c>
      <c r="I85" s="235">
        <v>1000</v>
      </c>
      <c r="J85" s="224" t="s">
        <v>147</v>
      </c>
      <c r="K85" s="224" t="s">
        <v>41</v>
      </c>
      <c r="M85">
        <f t="shared" si="0"/>
        <v>1000</v>
      </c>
    </row>
    <row r="86" spans="1:13" x14ac:dyDescent="0.25">
      <c r="A86" s="222">
        <v>16</v>
      </c>
      <c r="B86" s="100" t="s">
        <v>355</v>
      </c>
      <c r="C86" s="269" t="s">
        <v>163</v>
      </c>
      <c r="D86" s="224" t="s">
        <v>196</v>
      </c>
      <c r="E86" s="224" t="s">
        <v>56</v>
      </c>
      <c r="F86" s="225"/>
      <c r="G86" s="224" t="s">
        <v>40</v>
      </c>
      <c r="H86" s="234">
        <v>5000</v>
      </c>
      <c r="I86" s="235">
        <v>1000</v>
      </c>
      <c r="J86" s="224" t="s">
        <v>147</v>
      </c>
      <c r="K86" s="224" t="s">
        <v>41</v>
      </c>
      <c r="M86">
        <f t="shared" si="0"/>
        <v>1000</v>
      </c>
    </row>
    <row r="87" spans="1:13" x14ac:dyDescent="0.25">
      <c r="A87" s="246">
        <v>16</v>
      </c>
      <c r="B87" s="100" t="s">
        <v>356</v>
      </c>
      <c r="C87" s="224" t="s">
        <v>160</v>
      </c>
      <c r="D87" s="224" t="s">
        <v>226</v>
      </c>
      <c r="E87" s="224" t="s">
        <v>43</v>
      </c>
      <c r="F87" s="225"/>
      <c r="G87" s="224" t="s">
        <v>40</v>
      </c>
      <c r="H87" s="234">
        <v>1000</v>
      </c>
      <c r="I87" s="235">
        <v>200</v>
      </c>
      <c r="J87" s="224" t="s">
        <v>147</v>
      </c>
      <c r="K87" s="224" t="s">
        <v>41</v>
      </c>
      <c r="M87">
        <f t="shared" si="0"/>
        <v>200</v>
      </c>
    </row>
    <row r="88" spans="1:13" x14ac:dyDescent="0.25">
      <c r="A88" s="222">
        <v>16</v>
      </c>
      <c r="B88" s="100" t="s">
        <v>357</v>
      </c>
      <c r="C88" s="224" t="s">
        <v>160</v>
      </c>
      <c r="D88" s="224" t="s">
        <v>358</v>
      </c>
      <c r="E88" s="224" t="s">
        <v>43</v>
      </c>
      <c r="F88" s="225" t="s">
        <v>359</v>
      </c>
      <c r="G88" s="224" t="s">
        <v>40</v>
      </c>
      <c r="H88" s="234">
        <v>300</v>
      </c>
      <c r="I88" s="235">
        <v>60</v>
      </c>
      <c r="J88" s="224" t="s">
        <v>147</v>
      </c>
      <c r="K88" s="224" t="s">
        <v>41</v>
      </c>
      <c r="M88">
        <f t="shared" si="0"/>
        <v>60</v>
      </c>
    </row>
    <row r="89" spans="1:13" x14ac:dyDescent="0.25">
      <c r="A89" s="222">
        <v>16</v>
      </c>
      <c r="B89" s="100" t="s">
        <v>360</v>
      </c>
      <c r="C89" s="269" t="s">
        <v>163</v>
      </c>
      <c r="D89" s="224" t="s">
        <v>203</v>
      </c>
      <c r="E89" s="224" t="s">
        <v>53</v>
      </c>
      <c r="F89" s="225" t="s">
        <v>361</v>
      </c>
      <c r="G89" s="224" t="s">
        <v>40</v>
      </c>
      <c r="H89" s="234">
        <v>8000</v>
      </c>
      <c r="I89" s="235">
        <v>1600</v>
      </c>
      <c r="J89" s="224" t="s">
        <v>147</v>
      </c>
      <c r="K89" s="224" t="s">
        <v>41</v>
      </c>
      <c r="M89">
        <f t="shared" si="0"/>
        <v>1600</v>
      </c>
    </row>
    <row r="90" spans="1:13" x14ac:dyDescent="0.25">
      <c r="A90" s="222">
        <v>16</v>
      </c>
      <c r="B90" s="100" t="s">
        <v>362</v>
      </c>
      <c r="C90" s="224" t="s">
        <v>160</v>
      </c>
      <c r="D90" s="224"/>
      <c r="E90" s="224" t="s">
        <v>61</v>
      </c>
      <c r="F90" s="225" t="s">
        <v>363</v>
      </c>
      <c r="G90" s="224" t="s">
        <v>40</v>
      </c>
      <c r="H90" s="234">
        <v>500</v>
      </c>
      <c r="I90" s="235">
        <v>100</v>
      </c>
      <c r="J90" s="224" t="s">
        <v>147</v>
      </c>
      <c r="K90" s="224" t="s">
        <v>41</v>
      </c>
      <c r="M90">
        <f t="shared" si="0"/>
        <v>100</v>
      </c>
    </row>
    <row r="91" spans="1:13" x14ac:dyDescent="0.25">
      <c r="A91" s="222">
        <v>16</v>
      </c>
      <c r="B91" s="100" t="s">
        <v>364</v>
      </c>
      <c r="C91" s="224" t="s">
        <v>160</v>
      </c>
      <c r="D91" s="224" t="s">
        <v>365</v>
      </c>
      <c r="E91" s="224" t="s">
        <v>44</v>
      </c>
      <c r="F91" s="225" t="s">
        <v>366</v>
      </c>
      <c r="G91" s="224" t="s">
        <v>40</v>
      </c>
      <c r="H91" s="234">
        <v>3000</v>
      </c>
      <c r="I91" s="235">
        <v>600</v>
      </c>
      <c r="J91" s="224" t="s">
        <v>147</v>
      </c>
      <c r="K91" s="224" t="s">
        <v>41</v>
      </c>
      <c r="M91">
        <f t="shared" si="0"/>
        <v>600</v>
      </c>
    </row>
    <row r="92" spans="1:13" x14ac:dyDescent="0.25">
      <c r="A92" s="222">
        <v>16</v>
      </c>
      <c r="B92" s="100" t="s">
        <v>367</v>
      </c>
      <c r="C92" s="224" t="s">
        <v>160</v>
      </c>
      <c r="D92" s="224" t="s">
        <v>220</v>
      </c>
      <c r="E92" s="224" t="s">
        <v>61</v>
      </c>
      <c r="F92" s="225" t="s">
        <v>368</v>
      </c>
      <c r="G92" s="224" t="s">
        <v>40</v>
      </c>
      <c r="H92" s="234">
        <v>5000</v>
      </c>
      <c r="I92" s="235">
        <v>1000</v>
      </c>
      <c r="J92" s="224" t="s">
        <v>147</v>
      </c>
      <c r="K92" s="224" t="s">
        <v>41</v>
      </c>
      <c r="M92">
        <f t="shared" si="0"/>
        <v>1000</v>
      </c>
    </row>
    <row r="93" spans="1:13" x14ac:dyDescent="0.25">
      <c r="A93" s="222">
        <v>16</v>
      </c>
      <c r="B93" s="100" t="s">
        <v>369</v>
      </c>
      <c r="C93" s="224" t="s">
        <v>160</v>
      </c>
      <c r="D93" s="224"/>
      <c r="E93" s="224" t="s">
        <v>47</v>
      </c>
      <c r="F93" s="225"/>
      <c r="G93" s="224" t="s">
        <v>40</v>
      </c>
      <c r="H93" s="234">
        <v>200</v>
      </c>
      <c r="I93" s="235">
        <v>40</v>
      </c>
      <c r="J93" s="224" t="s">
        <v>147</v>
      </c>
      <c r="K93" s="224" t="s">
        <v>41</v>
      </c>
      <c r="M93">
        <f t="shared" si="0"/>
        <v>40</v>
      </c>
    </row>
    <row r="94" spans="1:13" x14ac:dyDescent="0.25">
      <c r="A94" s="222">
        <v>16</v>
      </c>
      <c r="B94" s="100" t="s">
        <v>370</v>
      </c>
      <c r="C94" s="224" t="s">
        <v>160</v>
      </c>
      <c r="D94" s="224" t="s">
        <v>194</v>
      </c>
      <c r="E94" s="224" t="s">
        <v>43</v>
      </c>
      <c r="F94" s="225"/>
      <c r="G94" s="224" t="s">
        <v>40</v>
      </c>
      <c r="H94" s="234">
        <v>2500</v>
      </c>
      <c r="I94" s="235">
        <v>500</v>
      </c>
      <c r="J94" s="224" t="s">
        <v>147</v>
      </c>
      <c r="K94" s="224" t="s">
        <v>41</v>
      </c>
      <c r="M94">
        <f t="shared" si="0"/>
        <v>500</v>
      </c>
    </row>
    <row r="95" spans="1:13" x14ac:dyDescent="0.25">
      <c r="A95" s="222">
        <v>16</v>
      </c>
      <c r="B95" s="100" t="s">
        <v>371</v>
      </c>
      <c r="C95" s="224" t="s">
        <v>160</v>
      </c>
      <c r="D95" s="224" t="s">
        <v>177</v>
      </c>
      <c r="E95" s="224" t="s">
        <v>61</v>
      </c>
      <c r="F95" s="225" t="s">
        <v>372</v>
      </c>
      <c r="G95" s="224" t="s">
        <v>40</v>
      </c>
      <c r="H95" s="234">
        <v>4500</v>
      </c>
      <c r="I95" s="235">
        <v>900</v>
      </c>
      <c r="J95" s="224" t="s">
        <v>147</v>
      </c>
      <c r="K95" s="224" t="s">
        <v>41</v>
      </c>
      <c r="M95">
        <f t="shared" si="0"/>
        <v>900</v>
      </c>
    </row>
    <row r="96" spans="1:13" x14ac:dyDescent="0.25">
      <c r="A96" s="222">
        <v>16</v>
      </c>
      <c r="B96" s="100" t="s">
        <v>373</v>
      </c>
      <c r="C96" s="224" t="s">
        <v>160</v>
      </c>
      <c r="D96" s="224"/>
      <c r="E96" s="224" t="s">
        <v>60</v>
      </c>
      <c r="F96" s="225"/>
      <c r="G96" s="224" t="s">
        <v>40</v>
      </c>
      <c r="H96" s="234">
        <v>4000</v>
      </c>
      <c r="I96" s="235">
        <v>800</v>
      </c>
      <c r="J96" s="224" t="s">
        <v>147</v>
      </c>
      <c r="K96" s="224" t="s">
        <v>41</v>
      </c>
      <c r="M96">
        <f t="shared" si="0"/>
        <v>800</v>
      </c>
    </row>
    <row r="97" spans="1:13" x14ac:dyDescent="0.25">
      <c r="A97" s="222">
        <v>16</v>
      </c>
      <c r="B97" s="100" t="s">
        <v>374</v>
      </c>
      <c r="C97" s="224" t="s">
        <v>160</v>
      </c>
      <c r="D97" s="224" t="s">
        <v>375</v>
      </c>
      <c r="E97" s="224" t="s">
        <v>43</v>
      </c>
      <c r="F97" s="225" t="s">
        <v>376</v>
      </c>
      <c r="G97" s="224" t="s">
        <v>40</v>
      </c>
      <c r="H97" s="234">
        <v>2000</v>
      </c>
      <c r="I97" s="235">
        <v>400</v>
      </c>
      <c r="J97" s="224" t="s">
        <v>147</v>
      </c>
      <c r="K97" s="224" t="s">
        <v>41</v>
      </c>
      <c r="M97">
        <f t="shared" si="0"/>
        <v>400</v>
      </c>
    </row>
    <row r="98" spans="1:13" x14ac:dyDescent="0.25">
      <c r="A98" s="222">
        <v>16</v>
      </c>
      <c r="B98" s="100" t="s">
        <v>333</v>
      </c>
      <c r="C98" s="224" t="s">
        <v>160</v>
      </c>
      <c r="D98" s="224" t="s">
        <v>334</v>
      </c>
      <c r="E98" s="224" t="s">
        <v>55</v>
      </c>
      <c r="F98" s="225" t="s">
        <v>335</v>
      </c>
      <c r="G98" s="224" t="s">
        <v>40</v>
      </c>
      <c r="H98" s="234">
        <v>1500</v>
      </c>
      <c r="I98" s="235">
        <v>300</v>
      </c>
      <c r="J98" s="224" t="s">
        <v>147</v>
      </c>
      <c r="K98" s="224" t="s">
        <v>41</v>
      </c>
      <c r="M98">
        <f t="shared" si="0"/>
        <v>300</v>
      </c>
    </row>
    <row r="99" spans="1:13" x14ac:dyDescent="0.25">
      <c r="A99" s="222">
        <v>16</v>
      </c>
      <c r="B99" s="100" t="s">
        <v>333</v>
      </c>
      <c r="C99" s="224" t="s">
        <v>160</v>
      </c>
      <c r="D99" s="224" t="s">
        <v>334</v>
      </c>
      <c r="E99" s="224" t="s">
        <v>55</v>
      </c>
      <c r="F99" s="225" t="s">
        <v>335</v>
      </c>
      <c r="G99" s="283" t="s">
        <v>377</v>
      </c>
      <c r="H99" s="234">
        <v>1500</v>
      </c>
      <c r="I99" s="235">
        <v>300</v>
      </c>
      <c r="J99" s="224" t="s">
        <v>147</v>
      </c>
      <c r="K99" s="224" t="s">
        <v>41</v>
      </c>
      <c r="M99">
        <f t="shared" si="0"/>
        <v>300</v>
      </c>
    </row>
    <row r="100" spans="1:13" x14ac:dyDescent="0.25">
      <c r="A100" s="222">
        <v>16</v>
      </c>
      <c r="B100" s="100" t="s">
        <v>378</v>
      </c>
      <c r="C100" s="269" t="s">
        <v>163</v>
      </c>
      <c r="D100" s="224" t="s">
        <v>379</v>
      </c>
      <c r="E100" s="224" t="s">
        <v>58</v>
      </c>
      <c r="F100" s="225"/>
      <c r="G100" s="224" t="s">
        <v>40</v>
      </c>
      <c r="H100" s="234">
        <v>1000</v>
      </c>
      <c r="I100" s="235">
        <v>200</v>
      </c>
      <c r="J100" s="224" t="s">
        <v>147</v>
      </c>
      <c r="K100" s="224" t="s">
        <v>41</v>
      </c>
      <c r="M100">
        <f t="shared" si="0"/>
        <v>200</v>
      </c>
    </row>
    <row r="101" spans="1:13" x14ac:dyDescent="0.25">
      <c r="A101" s="222">
        <v>16</v>
      </c>
      <c r="B101" s="100" t="s">
        <v>380</v>
      </c>
      <c r="C101" s="269" t="s">
        <v>163</v>
      </c>
      <c r="D101" s="224" t="s">
        <v>331</v>
      </c>
      <c r="E101" s="224" t="s">
        <v>54</v>
      </c>
      <c r="F101" s="225"/>
      <c r="G101" s="224" t="s">
        <v>40</v>
      </c>
      <c r="H101" s="234">
        <v>2000</v>
      </c>
      <c r="I101" s="235">
        <v>400</v>
      </c>
      <c r="J101" s="224" t="s">
        <v>147</v>
      </c>
      <c r="K101" s="224" t="s">
        <v>41</v>
      </c>
      <c r="M101">
        <f t="shared" si="0"/>
        <v>400</v>
      </c>
    </row>
    <row r="102" spans="1:13" x14ac:dyDescent="0.25">
      <c r="A102" s="222">
        <v>16</v>
      </c>
      <c r="B102" s="100" t="s">
        <v>381</v>
      </c>
      <c r="C102" s="224" t="s">
        <v>160</v>
      </c>
      <c r="D102" s="224" t="s">
        <v>382</v>
      </c>
      <c r="E102" s="224" t="s">
        <v>56</v>
      </c>
      <c r="F102" s="225" t="s">
        <v>383</v>
      </c>
      <c r="G102" s="224" t="s">
        <v>40</v>
      </c>
      <c r="H102" s="234">
        <v>250</v>
      </c>
      <c r="I102" s="235">
        <v>50</v>
      </c>
      <c r="J102" s="224" t="s">
        <v>147</v>
      </c>
      <c r="K102" s="224" t="s">
        <v>41</v>
      </c>
      <c r="M102">
        <f t="shared" si="0"/>
        <v>50</v>
      </c>
    </row>
    <row r="103" spans="1:13" x14ac:dyDescent="0.25">
      <c r="A103" s="222">
        <v>17</v>
      </c>
      <c r="B103" s="100" t="s">
        <v>230</v>
      </c>
      <c r="C103" s="224" t="s">
        <v>160</v>
      </c>
      <c r="D103" s="224" t="s">
        <v>194</v>
      </c>
      <c r="E103" s="224" t="s">
        <v>43</v>
      </c>
      <c r="F103" s="225"/>
      <c r="G103" s="224" t="s">
        <v>40</v>
      </c>
      <c r="H103" s="234">
        <v>1500</v>
      </c>
      <c r="I103" s="235">
        <v>300</v>
      </c>
      <c r="J103" s="224" t="s">
        <v>147</v>
      </c>
      <c r="K103" s="224" t="s">
        <v>41</v>
      </c>
      <c r="M103">
        <f t="shared" si="0"/>
        <v>300</v>
      </c>
    </row>
    <row r="104" spans="1:13" x14ac:dyDescent="0.25">
      <c r="A104" s="222">
        <v>17</v>
      </c>
      <c r="B104" s="100" t="s">
        <v>387</v>
      </c>
      <c r="C104" s="224" t="s">
        <v>160</v>
      </c>
      <c r="D104" s="224" t="s">
        <v>388</v>
      </c>
      <c r="E104" s="224" t="s">
        <v>57</v>
      </c>
      <c r="F104" s="284" t="s">
        <v>390</v>
      </c>
      <c r="G104" s="224" t="s">
        <v>40</v>
      </c>
      <c r="H104" s="234">
        <v>8000</v>
      </c>
      <c r="I104" s="235">
        <v>1600</v>
      </c>
      <c r="J104" s="224" t="s">
        <v>147</v>
      </c>
      <c r="K104" s="224" t="s">
        <v>41</v>
      </c>
      <c r="M104">
        <f t="shared" si="0"/>
        <v>1600</v>
      </c>
    </row>
    <row r="105" spans="1:13" x14ac:dyDescent="0.25">
      <c r="A105" s="222">
        <v>18</v>
      </c>
      <c r="B105" s="100" t="s">
        <v>391</v>
      </c>
      <c r="C105" s="269" t="s">
        <v>163</v>
      </c>
      <c r="D105" s="224" t="s">
        <v>169</v>
      </c>
      <c r="E105" s="224" t="s">
        <v>45</v>
      </c>
      <c r="F105" s="225" t="s">
        <v>392</v>
      </c>
      <c r="G105" s="224" t="s">
        <v>40</v>
      </c>
      <c r="H105" s="234">
        <v>2000</v>
      </c>
      <c r="I105" s="235">
        <v>400</v>
      </c>
      <c r="J105" s="224" t="s">
        <v>147</v>
      </c>
      <c r="K105" s="224" t="s">
        <v>41</v>
      </c>
      <c r="M105">
        <f t="shared" si="0"/>
        <v>400</v>
      </c>
    </row>
    <row r="106" spans="1:13" x14ac:dyDescent="0.25">
      <c r="A106" s="222">
        <v>18</v>
      </c>
      <c r="B106" s="100" t="s">
        <v>393</v>
      </c>
      <c r="C106" s="224" t="s">
        <v>160</v>
      </c>
      <c r="D106" s="224" t="s">
        <v>194</v>
      </c>
      <c r="E106" s="224" t="s">
        <v>43</v>
      </c>
      <c r="F106" s="225" t="s">
        <v>394</v>
      </c>
      <c r="G106" s="224" t="s">
        <v>40</v>
      </c>
      <c r="H106" s="234">
        <v>3000</v>
      </c>
      <c r="I106" s="235">
        <v>600</v>
      </c>
      <c r="J106" s="224" t="s">
        <v>147</v>
      </c>
      <c r="K106" s="224" t="s">
        <v>41</v>
      </c>
      <c r="M106">
        <f t="shared" si="0"/>
        <v>600</v>
      </c>
    </row>
    <row r="107" spans="1:13" x14ac:dyDescent="0.25">
      <c r="A107" s="222">
        <v>18</v>
      </c>
      <c r="B107" s="100" t="s">
        <v>395</v>
      </c>
      <c r="C107" s="224" t="s">
        <v>160</v>
      </c>
      <c r="D107" s="224" t="s">
        <v>396</v>
      </c>
      <c r="E107" s="224" t="s">
        <v>48</v>
      </c>
      <c r="F107" s="225" t="s">
        <v>397</v>
      </c>
      <c r="G107" s="224" t="s">
        <v>40</v>
      </c>
      <c r="H107" s="234">
        <v>1500</v>
      </c>
      <c r="I107" s="235">
        <v>300</v>
      </c>
      <c r="J107" s="224" t="s">
        <v>147</v>
      </c>
      <c r="K107" s="224" t="s">
        <v>41</v>
      </c>
      <c r="M107">
        <f t="shared" si="0"/>
        <v>300</v>
      </c>
    </row>
    <row r="108" spans="1:13" x14ac:dyDescent="0.25">
      <c r="A108" s="222">
        <v>18</v>
      </c>
      <c r="B108" s="100" t="s">
        <v>398</v>
      </c>
      <c r="C108" s="269" t="s">
        <v>163</v>
      </c>
      <c r="D108" s="224" t="s">
        <v>60</v>
      </c>
      <c r="E108" s="224" t="s">
        <v>54</v>
      </c>
      <c r="F108" s="225" t="s">
        <v>399</v>
      </c>
      <c r="G108" s="224" t="s">
        <v>40</v>
      </c>
      <c r="H108" s="234">
        <v>1000</v>
      </c>
      <c r="I108" s="235">
        <v>200</v>
      </c>
      <c r="J108" s="224" t="s">
        <v>147</v>
      </c>
      <c r="K108" s="224" t="s">
        <v>41</v>
      </c>
      <c r="M108">
        <f t="shared" si="0"/>
        <v>200</v>
      </c>
    </row>
    <row r="109" spans="1:13" x14ac:dyDescent="0.25">
      <c r="A109" s="222">
        <v>18</v>
      </c>
      <c r="B109" s="100" t="s">
        <v>400</v>
      </c>
      <c r="C109" s="224" t="s">
        <v>160</v>
      </c>
      <c r="D109" s="224" t="s">
        <v>401</v>
      </c>
      <c r="E109" s="224" t="s">
        <v>45</v>
      </c>
      <c r="F109" s="225" t="s">
        <v>402</v>
      </c>
      <c r="G109" s="224" t="s">
        <v>40</v>
      </c>
      <c r="H109" s="234">
        <v>1000</v>
      </c>
      <c r="I109" s="235">
        <v>200</v>
      </c>
      <c r="J109" s="224" t="s">
        <v>147</v>
      </c>
      <c r="K109" s="224" t="s">
        <v>41</v>
      </c>
      <c r="M109">
        <f t="shared" si="0"/>
        <v>200</v>
      </c>
    </row>
    <row r="110" spans="1:13" x14ac:dyDescent="0.25">
      <c r="A110" s="222">
        <v>18</v>
      </c>
      <c r="B110" s="100" t="s">
        <v>403</v>
      </c>
      <c r="C110" s="224" t="s">
        <v>160</v>
      </c>
      <c r="D110" s="224" t="s">
        <v>404</v>
      </c>
      <c r="E110" s="224" t="s">
        <v>54</v>
      </c>
      <c r="F110" s="225" t="s">
        <v>405</v>
      </c>
      <c r="G110" s="224" t="s">
        <v>40</v>
      </c>
      <c r="H110" s="234">
        <v>1500</v>
      </c>
      <c r="I110" s="235">
        <v>300</v>
      </c>
      <c r="J110" s="224" t="s">
        <v>147</v>
      </c>
      <c r="K110" s="224" t="s">
        <v>41</v>
      </c>
      <c r="M110">
        <f t="shared" si="0"/>
        <v>300</v>
      </c>
    </row>
    <row r="111" spans="1:13" x14ac:dyDescent="0.25">
      <c r="A111" s="222">
        <v>19</v>
      </c>
      <c r="B111" s="100" t="s">
        <v>406</v>
      </c>
      <c r="C111" s="269" t="s">
        <v>163</v>
      </c>
      <c r="D111" s="224" t="s">
        <v>407</v>
      </c>
      <c r="E111" s="224" t="s">
        <v>42</v>
      </c>
      <c r="F111" s="225"/>
      <c r="G111" s="224" t="s">
        <v>40</v>
      </c>
      <c r="H111" s="234">
        <v>9000</v>
      </c>
      <c r="I111" s="235">
        <v>1800</v>
      </c>
      <c r="J111" s="224" t="s">
        <v>147</v>
      </c>
      <c r="K111" s="224" t="s">
        <v>41</v>
      </c>
      <c r="M111">
        <f t="shared" si="0"/>
        <v>1800</v>
      </c>
    </row>
    <row r="112" spans="1:13" x14ac:dyDescent="0.25">
      <c r="A112" s="222">
        <v>19</v>
      </c>
      <c r="B112" s="100" t="s">
        <v>408</v>
      </c>
      <c r="C112" s="224" t="s">
        <v>160</v>
      </c>
      <c r="D112" s="224" t="s">
        <v>180</v>
      </c>
      <c r="E112" s="224" t="s">
        <v>60</v>
      </c>
      <c r="F112" s="225"/>
      <c r="G112" s="224" t="s">
        <v>40</v>
      </c>
      <c r="H112" s="234">
        <v>5000</v>
      </c>
      <c r="I112" s="235">
        <v>1000</v>
      </c>
      <c r="J112" s="224" t="s">
        <v>147</v>
      </c>
      <c r="K112" s="224" t="s">
        <v>41</v>
      </c>
      <c r="M112">
        <f t="shared" si="0"/>
        <v>1000</v>
      </c>
    </row>
    <row r="113" spans="1:13" x14ac:dyDescent="0.25">
      <c r="A113" s="222">
        <v>19</v>
      </c>
      <c r="B113" s="100" t="s">
        <v>409</v>
      </c>
      <c r="C113" s="224" t="s">
        <v>160</v>
      </c>
      <c r="D113" s="224" t="s">
        <v>299</v>
      </c>
      <c r="E113" s="224" t="s">
        <v>42</v>
      </c>
      <c r="F113" s="225"/>
      <c r="G113" s="224" t="s">
        <v>40</v>
      </c>
      <c r="H113" s="234">
        <v>3000</v>
      </c>
      <c r="I113" s="235">
        <v>600</v>
      </c>
      <c r="J113" s="224" t="s">
        <v>147</v>
      </c>
      <c r="K113" s="224" t="s">
        <v>41</v>
      </c>
      <c r="M113">
        <f t="shared" si="0"/>
        <v>600</v>
      </c>
    </row>
    <row r="114" spans="1:13" x14ac:dyDescent="0.25">
      <c r="A114" s="222">
        <v>19</v>
      </c>
      <c r="B114" s="100" t="s">
        <v>410</v>
      </c>
      <c r="C114" s="224" t="s">
        <v>160</v>
      </c>
      <c r="D114" s="224" t="s">
        <v>313</v>
      </c>
      <c r="E114" s="224" t="s">
        <v>50</v>
      </c>
      <c r="F114" s="225"/>
      <c r="G114" s="224" t="s">
        <v>40</v>
      </c>
      <c r="H114" s="234">
        <v>3500</v>
      </c>
      <c r="I114" s="235">
        <v>700</v>
      </c>
      <c r="J114" s="224" t="s">
        <v>147</v>
      </c>
      <c r="K114" s="224" t="s">
        <v>41</v>
      </c>
      <c r="M114">
        <f t="shared" si="0"/>
        <v>700</v>
      </c>
    </row>
    <row r="115" spans="1:13" x14ac:dyDescent="0.25">
      <c r="A115" s="222">
        <v>19</v>
      </c>
      <c r="B115" s="100" t="s">
        <v>413</v>
      </c>
      <c r="C115" s="224" t="s">
        <v>160</v>
      </c>
      <c r="D115" s="224" t="s">
        <v>365</v>
      </c>
      <c r="E115" s="224" t="s">
        <v>44</v>
      </c>
      <c r="F115" s="225"/>
      <c r="G115" s="224" t="s">
        <v>40</v>
      </c>
      <c r="H115" s="234">
        <v>1500</v>
      </c>
      <c r="I115" s="235">
        <v>450</v>
      </c>
      <c r="J115" s="224" t="s">
        <v>147</v>
      </c>
      <c r="K115" s="224" t="s">
        <v>41</v>
      </c>
      <c r="M115">
        <f t="shared" si="0"/>
        <v>300</v>
      </c>
    </row>
    <row r="116" spans="1:13" x14ac:dyDescent="0.25">
      <c r="A116" s="222">
        <v>19</v>
      </c>
      <c r="B116" s="100" t="s">
        <v>414</v>
      </c>
      <c r="C116" s="224" t="s">
        <v>160</v>
      </c>
      <c r="D116" s="224" t="s">
        <v>415</v>
      </c>
      <c r="E116" s="224" t="s">
        <v>42</v>
      </c>
      <c r="F116" s="225"/>
      <c r="G116" s="224" t="s">
        <v>40</v>
      </c>
      <c r="H116" s="234">
        <v>4000</v>
      </c>
      <c r="I116" s="235">
        <v>800</v>
      </c>
      <c r="J116" s="224" t="s">
        <v>147</v>
      </c>
      <c r="K116" s="224" t="s">
        <v>41</v>
      </c>
      <c r="M116">
        <f t="shared" si="0"/>
        <v>800</v>
      </c>
    </row>
    <row r="117" spans="1:13" x14ac:dyDescent="0.25">
      <c r="A117" s="222">
        <v>19</v>
      </c>
      <c r="B117" s="100" t="s">
        <v>416</v>
      </c>
      <c r="C117" s="224" t="s">
        <v>160</v>
      </c>
      <c r="D117" s="224" t="s">
        <v>417</v>
      </c>
      <c r="E117" s="224" t="s">
        <v>48</v>
      </c>
      <c r="F117" s="225"/>
      <c r="G117" s="224" t="s">
        <v>40</v>
      </c>
      <c r="H117" s="234">
        <v>2400</v>
      </c>
      <c r="I117" s="235" t="s">
        <v>152</v>
      </c>
      <c r="J117" s="224" t="s">
        <v>147</v>
      </c>
      <c r="K117" s="224" t="s">
        <v>41</v>
      </c>
      <c r="M117">
        <f t="shared" si="0"/>
        <v>480</v>
      </c>
    </row>
    <row r="118" spans="1:13" x14ac:dyDescent="0.25">
      <c r="A118" s="222">
        <v>19</v>
      </c>
      <c r="B118" s="100" t="s">
        <v>418</v>
      </c>
      <c r="C118" s="224" t="s">
        <v>160</v>
      </c>
      <c r="D118" s="224" t="s">
        <v>189</v>
      </c>
      <c r="E118" s="224" t="s">
        <v>42</v>
      </c>
      <c r="F118" s="225"/>
      <c r="G118" s="224" t="s">
        <v>40</v>
      </c>
      <c r="H118" s="234">
        <v>1000</v>
      </c>
      <c r="I118" s="235">
        <v>200</v>
      </c>
      <c r="J118" s="224" t="s">
        <v>147</v>
      </c>
      <c r="K118" s="224" t="s">
        <v>41</v>
      </c>
      <c r="M118">
        <f t="shared" si="0"/>
        <v>200</v>
      </c>
    </row>
    <row r="119" spans="1:13" x14ac:dyDescent="0.25">
      <c r="A119" s="222">
        <v>22</v>
      </c>
      <c r="B119" s="100" t="s">
        <v>419</v>
      </c>
      <c r="C119" s="224" t="s">
        <v>160</v>
      </c>
      <c r="D119" s="224" t="s">
        <v>420</v>
      </c>
      <c r="E119" s="224" t="s">
        <v>69</v>
      </c>
      <c r="F119" s="225" t="s">
        <v>421</v>
      </c>
      <c r="G119" s="224" t="s">
        <v>40</v>
      </c>
      <c r="H119" s="234">
        <v>400</v>
      </c>
      <c r="I119" s="235">
        <v>80</v>
      </c>
      <c r="J119" s="224" t="s">
        <v>147</v>
      </c>
      <c r="K119" s="224" t="s">
        <v>41</v>
      </c>
      <c r="M119">
        <f t="shared" si="0"/>
        <v>80</v>
      </c>
    </row>
    <row r="120" spans="1:13" x14ac:dyDescent="0.25">
      <c r="A120" s="222">
        <v>22</v>
      </c>
      <c r="B120" s="100" t="s">
        <v>422</v>
      </c>
      <c r="C120" s="224" t="s">
        <v>160</v>
      </c>
      <c r="D120" s="224" t="s">
        <v>423</v>
      </c>
      <c r="E120" s="224" t="s">
        <v>43</v>
      </c>
      <c r="F120" s="225" t="s">
        <v>424</v>
      </c>
      <c r="G120" s="224" t="s">
        <v>40</v>
      </c>
      <c r="H120" s="234">
        <v>300</v>
      </c>
      <c r="I120" s="235">
        <v>60</v>
      </c>
      <c r="J120" s="224" t="s">
        <v>147</v>
      </c>
      <c r="K120" s="224" t="s">
        <v>41</v>
      </c>
      <c r="M120">
        <f t="shared" si="0"/>
        <v>60</v>
      </c>
    </row>
    <row r="121" spans="1:13" x14ac:dyDescent="0.25">
      <c r="A121" s="222">
        <v>22</v>
      </c>
      <c r="B121" s="100" t="s">
        <v>425</v>
      </c>
      <c r="C121" s="269" t="s">
        <v>163</v>
      </c>
      <c r="D121" s="224" t="s">
        <v>426</v>
      </c>
      <c r="E121" s="224" t="s">
        <v>59</v>
      </c>
      <c r="F121" s="225" t="s">
        <v>427</v>
      </c>
      <c r="G121" s="224" t="s">
        <v>40</v>
      </c>
      <c r="H121" s="234">
        <v>8000</v>
      </c>
      <c r="I121" s="235">
        <v>1600</v>
      </c>
      <c r="J121" s="224" t="s">
        <v>147</v>
      </c>
      <c r="K121" s="224" t="s">
        <v>41</v>
      </c>
      <c r="M121">
        <f t="shared" si="0"/>
        <v>1600</v>
      </c>
    </row>
    <row r="122" spans="1:13" x14ac:dyDescent="0.25">
      <c r="A122" s="222">
        <v>22</v>
      </c>
      <c r="B122" s="100" t="s">
        <v>428</v>
      </c>
      <c r="C122" s="224" t="s">
        <v>160</v>
      </c>
      <c r="D122" s="224" t="s">
        <v>382</v>
      </c>
      <c r="E122" s="224" t="s">
        <v>56</v>
      </c>
      <c r="F122" s="225"/>
      <c r="G122" s="224" t="s">
        <v>40</v>
      </c>
      <c r="H122" s="234">
        <v>500</v>
      </c>
      <c r="I122" s="235">
        <v>100</v>
      </c>
      <c r="J122" s="224" t="s">
        <v>147</v>
      </c>
      <c r="K122" s="224" t="s">
        <v>41</v>
      </c>
      <c r="M122">
        <f t="shared" si="0"/>
        <v>100</v>
      </c>
    </row>
    <row r="123" spans="1:13" x14ac:dyDescent="0.25">
      <c r="A123" s="222">
        <v>22</v>
      </c>
      <c r="B123" s="100" t="s">
        <v>429</v>
      </c>
      <c r="C123" s="269" t="s">
        <v>163</v>
      </c>
      <c r="D123" s="224" t="s">
        <v>430</v>
      </c>
      <c r="E123" s="224" t="s">
        <v>46</v>
      </c>
      <c r="F123" s="225" t="s">
        <v>431</v>
      </c>
      <c r="G123" s="224" t="s">
        <v>40</v>
      </c>
      <c r="H123" s="234">
        <v>3500</v>
      </c>
      <c r="I123" s="235">
        <v>700</v>
      </c>
      <c r="J123" s="224" t="s">
        <v>147</v>
      </c>
      <c r="K123" s="224" t="s">
        <v>41</v>
      </c>
      <c r="M123">
        <f t="shared" si="0"/>
        <v>700</v>
      </c>
    </row>
    <row r="124" spans="1:13" x14ac:dyDescent="0.25">
      <c r="A124" s="222">
        <v>22</v>
      </c>
      <c r="B124" s="100" t="s">
        <v>432</v>
      </c>
      <c r="C124" s="224" t="s">
        <v>160</v>
      </c>
      <c r="D124" s="224" t="s">
        <v>189</v>
      </c>
      <c r="E124" s="224" t="s">
        <v>42</v>
      </c>
      <c r="F124" s="225"/>
      <c r="G124" s="224" t="s">
        <v>40</v>
      </c>
      <c r="H124" s="234">
        <v>3500</v>
      </c>
      <c r="I124" s="235">
        <v>700</v>
      </c>
      <c r="J124" s="224" t="s">
        <v>147</v>
      </c>
      <c r="K124" s="224" t="s">
        <v>41</v>
      </c>
      <c r="M124">
        <f t="shared" si="0"/>
        <v>700</v>
      </c>
    </row>
    <row r="125" spans="1:13" x14ac:dyDescent="0.25">
      <c r="A125" s="222">
        <v>22</v>
      </c>
      <c r="B125" s="100" t="s">
        <v>432</v>
      </c>
      <c r="C125" s="224" t="s">
        <v>160</v>
      </c>
      <c r="D125" s="224" t="s">
        <v>189</v>
      </c>
      <c r="E125" s="224" t="s">
        <v>42</v>
      </c>
      <c r="F125" s="225"/>
      <c r="G125" s="224" t="s">
        <v>40</v>
      </c>
      <c r="H125" s="234">
        <v>500</v>
      </c>
      <c r="I125" s="235" t="s">
        <v>152</v>
      </c>
      <c r="J125" s="224" t="s">
        <v>147</v>
      </c>
      <c r="K125" s="224" t="s">
        <v>41</v>
      </c>
      <c r="M125">
        <f t="shared" si="0"/>
        <v>100</v>
      </c>
    </row>
    <row r="126" spans="1:13" x14ac:dyDescent="0.25">
      <c r="A126" s="222">
        <v>22</v>
      </c>
      <c r="B126" s="100" t="s">
        <v>433</v>
      </c>
      <c r="C126" s="224" t="s">
        <v>160</v>
      </c>
      <c r="D126" s="224" t="s">
        <v>194</v>
      </c>
      <c r="E126" s="224" t="s">
        <v>43</v>
      </c>
      <c r="F126" s="225" t="s">
        <v>434</v>
      </c>
      <c r="G126" s="224" t="s">
        <v>40</v>
      </c>
      <c r="H126" s="234">
        <v>2000</v>
      </c>
      <c r="I126" s="235">
        <v>400</v>
      </c>
      <c r="J126" s="224" t="s">
        <v>147</v>
      </c>
      <c r="K126" s="224" t="s">
        <v>41</v>
      </c>
      <c r="M126">
        <f t="shared" si="0"/>
        <v>400</v>
      </c>
    </row>
    <row r="127" spans="1:13" x14ac:dyDescent="0.25">
      <c r="A127" s="222">
        <v>22</v>
      </c>
      <c r="B127" s="100" t="s">
        <v>488</v>
      </c>
      <c r="C127" s="224" t="s">
        <v>160</v>
      </c>
      <c r="D127" s="224" t="s">
        <v>358</v>
      </c>
      <c r="E127" s="224" t="s">
        <v>43</v>
      </c>
      <c r="F127" s="225" t="s">
        <v>435</v>
      </c>
      <c r="G127" s="224" t="s">
        <v>40</v>
      </c>
      <c r="H127" s="234">
        <v>1500</v>
      </c>
      <c r="I127" s="235">
        <v>300</v>
      </c>
      <c r="J127" s="224" t="s">
        <v>147</v>
      </c>
      <c r="K127" s="224" t="s">
        <v>41</v>
      </c>
      <c r="M127">
        <f t="shared" si="0"/>
        <v>300</v>
      </c>
    </row>
    <row r="128" spans="1:13" x14ac:dyDescent="0.25">
      <c r="A128" s="222">
        <v>22</v>
      </c>
      <c r="B128" s="100" t="s">
        <v>436</v>
      </c>
      <c r="C128" s="224" t="s">
        <v>160</v>
      </c>
      <c r="D128" s="224" t="s">
        <v>437</v>
      </c>
      <c r="E128" s="224" t="s">
        <v>43</v>
      </c>
      <c r="F128" s="225"/>
      <c r="G128" s="224" t="s">
        <v>40</v>
      </c>
      <c r="H128" s="234">
        <v>1000</v>
      </c>
      <c r="I128" s="235">
        <v>200</v>
      </c>
      <c r="J128" s="224" t="s">
        <v>147</v>
      </c>
      <c r="K128" s="224" t="s">
        <v>41</v>
      </c>
      <c r="M128">
        <f t="shared" si="0"/>
        <v>200</v>
      </c>
    </row>
    <row r="129" spans="1:13" x14ac:dyDescent="0.25">
      <c r="A129" s="222">
        <v>22</v>
      </c>
      <c r="B129" s="100" t="s">
        <v>438</v>
      </c>
      <c r="C129" s="224" t="s">
        <v>160</v>
      </c>
      <c r="D129" s="224"/>
      <c r="E129" s="224" t="s">
        <v>44</v>
      </c>
      <c r="F129" s="225" t="s">
        <v>439</v>
      </c>
      <c r="G129" s="224" t="s">
        <v>40</v>
      </c>
      <c r="H129" s="234">
        <v>15000</v>
      </c>
      <c r="I129" s="235">
        <v>3000</v>
      </c>
      <c r="J129" s="224" t="s">
        <v>147</v>
      </c>
      <c r="K129" s="224" t="s">
        <v>41</v>
      </c>
      <c r="M129">
        <f t="shared" si="0"/>
        <v>3000</v>
      </c>
    </row>
    <row r="130" spans="1:13" x14ac:dyDescent="0.25">
      <c r="A130" s="222">
        <v>22</v>
      </c>
      <c r="B130" s="100" t="s">
        <v>440</v>
      </c>
      <c r="C130" s="224" t="s">
        <v>160</v>
      </c>
      <c r="D130" s="224" t="s">
        <v>441</v>
      </c>
      <c r="E130" s="224" t="s">
        <v>57</v>
      </c>
      <c r="F130" s="225" t="s">
        <v>442</v>
      </c>
      <c r="G130" s="224" t="s">
        <v>40</v>
      </c>
      <c r="H130" s="234">
        <v>1000</v>
      </c>
      <c r="I130" s="235">
        <v>200</v>
      </c>
      <c r="J130" s="224" t="s">
        <v>147</v>
      </c>
      <c r="K130" s="224" t="s">
        <v>41</v>
      </c>
      <c r="M130">
        <f t="shared" si="0"/>
        <v>200</v>
      </c>
    </row>
    <row r="131" spans="1:13" x14ac:dyDescent="0.25">
      <c r="A131" s="222">
        <v>22</v>
      </c>
      <c r="B131" s="100" t="s">
        <v>176</v>
      </c>
      <c r="C131" s="224" t="s">
        <v>160</v>
      </c>
      <c r="D131" s="224" t="s">
        <v>177</v>
      </c>
      <c r="E131" s="224" t="s">
        <v>61</v>
      </c>
      <c r="F131" s="225" t="s">
        <v>443</v>
      </c>
      <c r="G131" s="224" t="s">
        <v>40</v>
      </c>
      <c r="H131" s="234">
        <v>1500</v>
      </c>
      <c r="I131" s="235">
        <v>300</v>
      </c>
      <c r="J131" s="224" t="s">
        <v>147</v>
      </c>
      <c r="K131" s="224" t="s">
        <v>41</v>
      </c>
      <c r="M131">
        <f t="shared" si="0"/>
        <v>300</v>
      </c>
    </row>
    <row r="132" spans="1:13" x14ac:dyDescent="0.25">
      <c r="A132" s="222">
        <v>22</v>
      </c>
      <c r="B132" s="100" t="s">
        <v>444</v>
      </c>
      <c r="C132" s="224" t="s">
        <v>160</v>
      </c>
      <c r="D132" s="224" t="s">
        <v>445</v>
      </c>
      <c r="E132" s="224" t="s">
        <v>84</v>
      </c>
      <c r="F132" s="225" t="s">
        <v>446</v>
      </c>
      <c r="G132" s="224" t="s">
        <v>40</v>
      </c>
      <c r="H132" s="234">
        <v>1200</v>
      </c>
      <c r="I132" s="235">
        <v>240</v>
      </c>
      <c r="J132" s="224" t="s">
        <v>147</v>
      </c>
      <c r="K132" s="224" t="s">
        <v>41</v>
      </c>
      <c r="M132">
        <f t="shared" si="0"/>
        <v>240</v>
      </c>
    </row>
    <row r="133" spans="1:13" x14ac:dyDescent="0.25">
      <c r="A133" s="222">
        <v>22</v>
      </c>
      <c r="B133" s="100" t="s">
        <v>447</v>
      </c>
      <c r="C133" s="224" t="s">
        <v>160</v>
      </c>
      <c r="D133" s="224" t="s">
        <v>180</v>
      </c>
      <c r="E133" s="224" t="s">
        <v>54</v>
      </c>
      <c r="F133" s="225" t="s">
        <v>448</v>
      </c>
      <c r="G133" s="224" t="s">
        <v>40</v>
      </c>
      <c r="H133" s="234">
        <v>500</v>
      </c>
      <c r="I133" s="235">
        <v>100</v>
      </c>
      <c r="J133" s="224" t="s">
        <v>147</v>
      </c>
      <c r="K133" s="224" t="s">
        <v>41</v>
      </c>
      <c r="M133">
        <f t="shared" si="0"/>
        <v>100</v>
      </c>
    </row>
    <row r="134" spans="1:13" x14ac:dyDescent="0.25">
      <c r="A134" s="222">
        <v>22</v>
      </c>
      <c r="B134" s="100" t="s">
        <v>449</v>
      </c>
      <c r="C134" s="224" t="s">
        <v>160</v>
      </c>
      <c r="D134" s="224" t="s">
        <v>189</v>
      </c>
      <c r="E134" s="224" t="s">
        <v>54</v>
      </c>
      <c r="F134" s="225"/>
      <c r="G134" s="224" t="s">
        <v>40</v>
      </c>
      <c r="H134" s="234">
        <v>4000</v>
      </c>
      <c r="I134" s="235">
        <v>800</v>
      </c>
      <c r="J134" s="224" t="s">
        <v>147</v>
      </c>
      <c r="K134" s="224" t="s">
        <v>41</v>
      </c>
      <c r="M134">
        <f t="shared" si="0"/>
        <v>800</v>
      </c>
    </row>
    <row r="135" spans="1:13" x14ac:dyDescent="0.25">
      <c r="A135" s="222">
        <v>22</v>
      </c>
      <c r="B135" s="100" t="s">
        <v>450</v>
      </c>
      <c r="C135" s="224" t="s">
        <v>160</v>
      </c>
      <c r="D135" s="224" t="s">
        <v>379</v>
      </c>
      <c r="E135" s="224" t="s">
        <v>58</v>
      </c>
      <c r="F135" s="225"/>
      <c r="G135" s="224" t="s">
        <v>40</v>
      </c>
      <c r="H135" s="234">
        <v>500</v>
      </c>
      <c r="I135" s="235">
        <v>100</v>
      </c>
      <c r="J135" s="224" t="s">
        <v>147</v>
      </c>
      <c r="K135" s="224" t="s">
        <v>41</v>
      </c>
      <c r="M135">
        <f t="shared" si="0"/>
        <v>100</v>
      </c>
    </row>
    <row r="136" spans="1:13" x14ac:dyDescent="0.25">
      <c r="A136" s="222">
        <v>22</v>
      </c>
      <c r="B136" s="100" t="s">
        <v>450</v>
      </c>
      <c r="C136" s="224" t="s">
        <v>160</v>
      </c>
      <c r="D136" s="224" t="s">
        <v>379</v>
      </c>
      <c r="E136" s="224" t="s">
        <v>58</v>
      </c>
      <c r="F136" s="225"/>
      <c r="G136" s="224" t="s">
        <v>40</v>
      </c>
      <c r="H136" s="234">
        <v>500</v>
      </c>
      <c r="I136" s="235" t="s">
        <v>152</v>
      </c>
      <c r="J136" s="224" t="s">
        <v>147</v>
      </c>
      <c r="K136" s="224" t="s">
        <v>41</v>
      </c>
      <c r="M136">
        <f t="shared" si="0"/>
        <v>100</v>
      </c>
    </row>
    <row r="137" spans="1:13" x14ac:dyDescent="0.25">
      <c r="A137" s="222">
        <v>22</v>
      </c>
      <c r="B137" s="100" t="s">
        <v>454</v>
      </c>
      <c r="C137" s="224" t="s">
        <v>160</v>
      </c>
      <c r="D137" s="224" t="s">
        <v>290</v>
      </c>
      <c r="E137" s="224" t="s">
        <v>42</v>
      </c>
      <c r="F137" s="225" t="s">
        <v>455</v>
      </c>
      <c r="G137" s="224" t="s">
        <v>40</v>
      </c>
      <c r="H137" s="234">
        <v>500</v>
      </c>
      <c r="I137" s="235">
        <v>100</v>
      </c>
      <c r="J137" s="224" t="s">
        <v>147</v>
      </c>
      <c r="K137" s="224" t="s">
        <v>41</v>
      </c>
      <c r="M137">
        <f t="shared" si="0"/>
        <v>100</v>
      </c>
    </row>
    <row r="138" spans="1:13" x14ac:dyDescent="0.25">
      <c r="A138" s="222">
        <v>22</v>
      </c>
      <c r="B138" s="100" t="s">
        <v>456</v>
      </c>
      <c r="C138" s="224" t="s">
        <v>160</v>
      </c>
      <c r="D138" s="224" t="s">
        <v>457</v>
      </c>
      <c r="E138" s="224" t="s">
        <v>54</v>
      </c>
      <c r="F138" s="225"/>
      <c r="G138" s="224" t="s">
        <v>40</v>
      </c>
      <c r="H138" s="234">
        <v>200</v>
      </c>
      <c r="I138" s="235">
        <v>40</v>
      </c>
      <c r="J138" s="224" t="s">
        <v>147</v>
      </c>
      <c r="K138" s="224" t="s">
        <v>41</v>
      </c>
      <c r="M138">
        <f t="shared" si="0"/>
        <v>40</v>
      </c>
    </row>
    <row r="139" spans="1:13" x14ac:dyDescent="0.25">
      <c r="A139" s="222">
        <v>22</v>
      </c>
      <c r="B139" s="100" t="s">
        <v>458</v>
      </c>
      <c r="C139" s="224" t="s">
        <v>160</v>
      </c>
      <c r="D139" s="224" t="s">
        <v>459</v>
      </c>
      <c r="E139" s="224" t="s">
        <v>47</v>
      </c>
      <c r="F139" s="225"/>
      <c r="G139" s="224" t="s">
        <v>40</v>
      </c>
      <c r="H139" s="234">
        <v>500</v>
      </c>
      <c r="I139" s="235">
        <v>100</v>
      </c>
      <c r="J139" s="224" t="s">
        <v>147</v>
      </c>
      <c r="K139" s="224" t="s">
        <v>41</v>
      </c>
      <c r="M139">
        <f t="shared" si="0"/>
        <v>100</v>
      </c>
    </row>
    <row r="140" spans="1:13" x14ac:dyDescent="0.25">
      <c r="A140" s="222">
        <v>22</v>
      </c>
      <c r="B140" s="100" t="s">
        <v>460</v>
      </c>
      <c r="C140" s="224" t="s">
        <v>160</v>
      </c>
      <c r="D140" s="224" t="s">
        <v>461</v>
      </c>
      <c r="E140" s="224" t="s">
        <v>45</v>
      </c>
      <c r="F140" s="225" t="s">
        <v>462</v>
      </c>
      <c r="G140" s="224" t="s">
        <v>40</v>
      </c>
      <c r="H140" s="234">
        <v>3000</v>
      </c>
      <c r="I140" s="235">
        <v>600</v>
      </c>
      <c r="J140" s="224" t="s">
        <v>147</v>
      </c>
      <c r="K140" s="224" t="s">
        <v>41</v>
      </c>
      <c r="M140">
        <f t="shared" si="0"/>
        <v>600</v>
      </c>
    </row>
    <row r="141" spans="1:13" x14ac:dyDescent="0.25">
      <c r="A141" s="222">
        <v>22</v>
      </c>
      <c r="B141" s="100" t="s">
        <v>463</v>
      </c>
      <c r="C141" s="224" t="s">
        <v>160</v>
      </c>
      <c r="D141" s="224" t="s">
        <v>375</v>
      </c>
      <c r="E141" s="224" t="s">
        <v>43</v>
      </c>
      <c r="F141" s="225" t="s">
        <v>464</v>
      </c>
      <c r="G141" s="286" t="s">
        <v>465</v>
      </c>
      <c r="H141" s="234">
        <v>200</v>
      </c>
      <c r="I141" s="235">
        <v>200</v>
      </c>
      <c r="J141" s="224" t="s">
        <v>147</v>
      </c>
      <c r="K141" s="224" t="s">
        <v>41</v>
      </c>
      <c r="M141">
        <f t="shared" si="0"/>
        <v>40</v>
      </c>
    </row>
    <row r="142" spans="1:13" x14ac:dyDescent="0.25">
      <c r="A142" s="222">
        <v>22</v>
      </c>
      <c r="B142" s="100" t="s">
        <v>466</v>
      </c>
      <c r="C142" s="224" t="s">
        <v>160</v>
      </c>
      <c r="D142" s="224" t="s">
        <v>467</v>
      </c>
      <c r="E142" s="224" t="s">
        <v>69</v>
      </c>
      <c r="F142" s="225" t="s">
        <v>468</v>
      </c>
      <c r="G142" s="286" t="s">
        <v>465</v>
      </c>
      <c r="H142" s="234">
        <v>1500</v>
      </c>
      <c r="I142" s="235">
        <v>1500</v>
      </c>
      <c r="J142" s="224" t="s">
        <v>147</v>
      </c>
      <c r="K142" s="224" t="s">
        <v>41</v>
      </c>
      <c r="M142">
        <f t="shared" si="0"/>
        <v>300</v>
      </c>
    </row>
    <row r="143" spans="1:13" x14ac:dyDescent="0.25">
      <c r="A143" s="222">
        <v>22</v>
      </c>
      <c r="B143" s="100" t="s">
        <v>469</v>
      </c>
      <c r="C143" s="224" t="s">
        <v>160</v>
      </c>
      <c r="D143" s="224" t="s">
        <v>470</v>
      </c>
      <c r="E143" s="224" t="s">
        <v>45</v>
      </c>
      <c r="F143" s="225" t="s">
        <v>471</v>
      </c>
      <c r="G143" s="224" t="s">
        <v>40</v>
      </c>
      <c r="H143" s="234">
        <v>10000</v>
      </c>
      <c r="I143" s="235">
        <v>2000</v>
      </c>
      <c r="J143" s="224" t="s">
        <v>147</v>
      </c>
      <c r="K143" s="224" t="s">
        <v>41</v>
      </c>
      <c r="M143">
        <f t="shared" si="0"/>
        <v>2000</v>
      </c>
    </row>
    <row r="144" spans="1:13" x14ac:dyDescent="0.25">
      <c r="A144" s="222">
        <v>22</v>
      </c>
      <c r="B144" s="100" t="s">
        <v>469</v>
      </c>
      <c r="C144" s="224" t="s">
        <v>160</v>
      </c>
      <c r="D144" s="224" t="s">
        <v>470</v>
      </c>
      <c r="E144" s="224" t="s">
        <v>45</v>
      </c>
      <c r="F144" s="225" t="s">
        <v>471</v>
      </c>
      <c r="G144" s="286" t="s">
        <v>465</v>
      </c>
      <c r="H144" s="234">
        <v>10000</v>
      </c>
      <c r="I144" s="235">
        <v>10000</v>
      </c>
      <c r="J144" s="224" t="s">
        <v>147</v>
      </c>
      <c r="K144" s="224" t="s">
        <v>41</v>
      </c>
      <c r="M144">
        <f t="shared" si="0"/>
        <v>2000</v>
      </c>
    </row>
    <row r="145" spans="1:13" x14ac:dyDescent="0.25">
      <c r="A145" s="222">
        <v>22</v>
      </c>
      <c r="B145" s="100" t="s">
        <v>472</v>
      </c>
      <c r="C145" s="224" t="s">
        <v>160</v>
      </c>
      <c r="D145" s="224" t="s">
        <v>196</v>
      </c>
      <c r="E145" s="224" t="s">
        <v>42</v>
      </c>
      <c r="F145" s="225" t="s">
        <v>473</v>
      </c>
      <c r="G145" s="286" t="s">
        <v>465</v>
      </c>
      <c r="H145" s="234">
        <v>5000</v>
      </c>
      <c r="I145" s="235">
        <v>5000</v>
      </c>
      <c r="J145" s="224" t="s">
        <v>147</v>
      </c>
      <c r="K145" s="224" t="s">
        <v>41</v>
      </c>
      <c r="M145">
        <f t="shared" si="0"/>
        <v>1000</v>
      </c>
    </row>
    <row r="146" spans="1:13" x14ac:dyDescent="0.25">
      <c r="A146" s="222">
        <v>22</v>
      </c>
      <c r="B146" s="100" t="s">
        <v>474</v>
      </c>
      <c r="C146" s="224" t="s">
        <v>160</v>
      </c>
      <c r="D146" s="224" t="s">
        <v>475</v>
      </c>
      <c r="E146" s="224" t="s">
        <v>56</v>
      </c>
      <c r="F146" s="225" t="s">
        <v>476</v>
      </c>
      <c r="G146" s="286" t="s">
        <v>465</v>
      </c>
      <c r="H146" s="234">
        <v>100</v>
      </c>
      <c r="I146" s="235">
        <v>100</v>
      </c>
      <c r="J146" s="224" t="s">
        <v>147</v>
      </c>
      <c r="K146" s="224" t="s">
        <v>41</v>
      </c>
      <c r="M146">
        <f t="shared" si="0"/>
        <v>20</v>
      </c>
    </row>
    <row r="147" spans="1:13" x14ac:dyDescent="0.25">
      <c r="A147" s="222">
        <v>22</v>
      </c>
      <c r="B147" s="100" t="s">
        <v>477</v>
      </c>
      <c r="C147" s="224" t="s">
        <v>160</v>
      </c>
      <c r="D147" s="224" t="s">
        <v>267</v>
      </c>
      <c r="E147" s="224" t="s">
        <v>44</v>
      </c>
      <c r="F147" s="225" t="s">
        <v>478</v>
      </c>
      <c r="G147" s="286" t="s">
        <v>465</v>
      </c>
      <c r="H147" s="234">
        <v>2000</v>
      </c>
      <c r="I147" s="235">
        <v>2000</v>
      </c>
      <c r="J147" s="224" t="s">
        <v>147</v>
      </c>
      <c r="K147" s="224" t="s">
        <v>41</v>
      </c>
      <c r="M147">
        <f t="shared" si="0"/>
        <v>400</v>
      </c>
    </row>
    <row r="148" spans="1:13" x14ac:dyDescent="0.25">
      <c r="A148" s="222">
        <v>22</v>
      </c>
      <c r="B148" s="100" t="s">
        <v>479</v>
      </c>
      <c r="C148" s="224" t="s">
        <v>160</v>
      </c>
      <c r="D148" s="224" t="s">
        <v>313</v>
      </c>
      <c r="E148" s="224" t="s">
        <v>49</v>
      </c>
      <c r="F148" s="225" t="s">
        <v>480</v>
      </c>
      <c r="G148" s="286" t="s">
        <v>465</v>
      </c>
      <c r="H148" s="234">
        <v>3000</v>
      </c>
      <c r="I148" s="235">
        <v>3000</v>
      </c>
      <c r="J148" s="224" t="s">
        <v>147</v>
      </c>
      <c r="K148" s="224" t="s">
        <v>41</v>
      </c>
      <c r="M148">
        <f t="shared" si="0"/>
        <v>600</v>
      </c>
    </row>
    <row r="149" spans="1:13" x14ac:dyDescent="0.25">
      <c r="A149" s="222">
        <v>22</v>
      </c>
      <c r="B149" s="100" t="s">
        <v>481</v>
      </c>
      <c r="C149" s="224" t="s">
        <v>160</v>
      </c>
      <c r="D149" s="224"/>
      <c r="E149" s="224" t="s">
        <v>61</v>
      </c>
      <c r="F149" s="225"/>
      <c r="G149" s="286" t="s">
        <v>465</v>
      </c>
      <c r="H149" s="234">
        <v>1500</v>
      </c>
      <c r="I149" s="235">
        <v>1500</v>
      </c>
      <c r="J149" s="224" t="s">
        <v>147</v>
      </c>
      <c r="K149" s="224" t="s">
        <v>41</v>
      </c>
      <c r="M149">
        <f t="shared" si="0"/>
        <v>300</v>
      </c>
    </row>
    <row r="150" spans="1:13" x14ac:dyDescent="0.25">
      <c r="A150" s="222">
        <v>22</v>
      </c>
      <c r="B150" s="100" t="s">
        <v>481</v>
      </c>
      <c r="C150" s="224" t="s">
        <v>160</v>
      </c>
      <c r="D150" s="224"/>
      <c r="E150" s="224" t="s">
        <v>61</v>
      </c>
      <c r="F150" s="225"/>
      <c r="G150" s="224" t="s">
        <v>40</v>
      </c>
      <c r="H150" s="234">
        <v>300</v>
      </c>
      <c r="I150" s="235">
        <v>60</v>
      </c>
      <c r="J150" s="224" t="s">
        <v>147</v>
      </c>
      <c r="K150" s="224" t="s">
        <v>41</v>
      </c>
      <c r="M150">
        <f t="shared" si="0"/>
        <v>60</v>
      </c>
    </row>
    <row r="151" spans="1:13" x14ac:dyDescent="0.25">
      <c r="A151" s="222">
        <v>22</v>
      </c>
      <c r="B151" s="100" t="s">
        <v>482</v>
      </c>
      <c r="C151" s="224" t="s">
        <v>160</v>
      </c>
      <c r="D151" s="224" t="s">
        <v>483</v>
      </c>
      <c r="E151" s="224" t="s">
        <v>56</v>
      </c>
      <c r="F151" s="225" t="s">
        <v>484</v>
      </c>
      <c r="G151" s="286" t="s">
        <v>465</v>
      </c>
      <c r="H151" s="234">
        <v>1300</v>
      </c>
      <c r="I151" s="235">
        <v>1300</v>
      </c>
      <c r="J151" s="224" t="s">
        <v>147</v>
      </c>
      <c r="K151" s="224" t="s">
        <v>41</v>
      </c>
      <c r="M151">
        <f t="shared" si="0"/>
        <v>260</v>
      </c>
    </row>
    <row r="152" spans="1:13" x14ac:dyDescent="0.25">
      <c r="A152" s="222">
        <v>22</v>
      </c>
      <c r="B152" s="100" t="s">
        <v>485</v>
      </c>
      <c r="C152" s="224" t="s">
        <v>160</v>
      </c>
      <c r="D152" s="224" t="s">
        <v>198</v>
      </c>
      <c r="E152" s="224" t="s">
        <v>54</v>
      </c>
      <c r="F152" s="225" t="s">
        <v>486</v>
      </c>
      <c r="G152" s="224" t="s">
        <v>40</v>
      </c>
      <c r="H152" s="234">
        <v>2000</v>
      </c>
      <c r="I152" s="235">
        <v>400</v>
      </c>
      <c r="J152" s="224" t="s">
        <v>147</v>
      </c>
      <c r="K152" s="224" t="s">
        <v>41</v>
      </c>
      <c r="M152">
        <f t="shared" si="0"/>
        <v>400</v>
      </c>
    </row>
    <row r="153" spans="1:13" x14ac:dyDescent="0.25">
      <c r="A153" s="222">
        <v>22</v>
      </c>
      <c r="B153" s="100" t="s">
        <v>485</v>
      </c>
      <c r="C153" s="224" t="s">
        <v>160</v>
      </c>
      <c r="D153" s="224" t="s">
        <v>198</v>
      </c>
      <c r="E153" s="224" t="s">
        <v>54</v>
      </c>
      <c r="F153" s="225" t="s">
        <v>486</v>
      </c>
      <c r="G153" s="286" t="s">
        <v>465</v>
      </c>
      <c r="H153" s="234">
        <v>150</v>
      </c>
      <c r="I153" s="235">
        <v>150</v>
      </c>
      <c r="J153" s="224" t="s">
        <v>147</v>
      </c>
      <c r="K153" s="224" t="s">
        <v>41</v>
      </c>
      <c r="M153">
        <f t="shared" si="0"/>
        <v>30</v>
      </c>
    </row>
    <row r="154" spans="1:13" x14ac:dyDescent="0.25">
      <c r="A154" s="222">
        <v>22</v>
      </c>
      <c r="B154" s="100" t="s">
        <v>487</v>
      </c>
      <c r="C154" s="224" t="s">
        <v>160</v>
      </c>
      <c r="D154" s="224" t="s">
        <v>437</v>
      </c>
      <c r="E154" s="224" t="s">
        <v>43</v>
      </c>
      <c r="F154" s="225"/>
      <c r="G154" s="224" t="s">
        <v>40</v>
      </c>
      <c r="H154" s="234">
        <v>1000</v>
      </c>
      <c r="I154" s="235">
        <v>200</v>
      </c>
      <c r="J154" s="224" t="s">
        <v>147</v>
      </c>
      <c r="K154" s="224" t="s">
        <v>41</v>
      </c>
      <c r="M154">
        <f t="shared" si="0"/>
        <v>200</v>
      </c>
    </row>
    <row r="155" spans="1:13" x14ac:dyDescent="0.25">
      <c r="A155" s="273">
        <v>22</v>
      </c>
      <c r="B155" s="100" t="s">
        <v>488</v>
      </c>
      <c r="C155" s="224" t="s">
        <v>160</v>
      </c>
      <c r="D155" s="224" t="s">
        <v>358</v>
      </c>
      <c r="E155" s="224" t="s">
        <v>43</v>
      </c>
      <c r="F155" s="225" t="s">
        <v>435</v>
      </c>
      <c r="G155" s="286" t="s">
        <v>465</v>
      </c>
      <c r="H155" s="234">
        <v>500</v>
      </c>
      <c r="I155" s="235">
        <v>500</v>
      </c>
      <c r="J155" s="224" t="s">
        <v>147</v>
      </c>
      <c r="K155" s="224" t="s">
        <v>41</v>
      </c>
      <c r="M155">
        <f t="shared" si="0"/>
        <v>100</v>
      </c>
    </row>
    <row r="156" spans="1:13" x14ac:dyDescent="0.25">
      <c r="A156" s="222">
        <v>24</v>
      </c>
      <c r="B156" s="100" t="s">
        <v>495</v>
      </c>
      <c r="C156" s="224" t="s">
        <v>160</v>
      </c>
      <c r="D156" s="224" t="s">
        <v>379</v>
      </c>
      <c r="E156" s="224" t="s">
        <v>58</v>
      </c>
      <c r="F156" s="225" t="s">
        <v>496</v>
      </c>
      <c r="G156" s="224" t="s">
        <v>40</v>
      </c>
      <c r="H156" s="234">
        <v>5500</v>
      </c>
      <c r="I156" s="235">
        <v>1100</v>
      </c>
      <c r="J156" s="224" t="s">
        <v>147</v>
      </c>
      <c r="K156" s="224" t="s">
        <v>41</v>
      </c>
      <c r="M156">
        <f t="shared" si="0"/>
        <v>1100</v>
      </c>
    </row>
    <row r="157" spans="1:13" x14ac:dyDescent="0.25">
      <c r="A157" s="222">
        <v>24</v>
      </c>
      <c r="B157" s="100" t="s">
        <v>495</v>
      </c>
      <c r="C157" s="224" t="s">
        <v>160</v>
      </c>
      <c r="D157" s="224" t="s">
        <v>379</v>
      </c>
      <c r="E157" s="224" t="s">
        <v>58</v>
      </c>
      <c r="F157" s="225" t="s">
        <v>496</v>
      </c>
      <c r="G157" s="224" t="s">
        <v>40</v>
      </c>
      <c r="H157" s="234">
        <v>500</v>
      </c>
      <c r="I157" s="235" t="s">
        <v>152</v>
      </c>
      <c r="J157" s="224" t="s">
        <v>147</v>
      </c>
      <c r="K157" s="224" t="s">
        <v>41</v>
      </c>
      <c r="M157">
        <f t="shared" si="0"/>
        <v>100</v>
      </c>
    </row>
    <row r="158" spans="1:13" x14ac:dyDescent="0.25">
      <c r="A158" s="222">
        <v>24</v>
      </c>
      <c r="B158" s="100" t="s">
        <v>497</v>
      </c>
      <c r="C158" s="224" t="s">
        <v>160</v>
      </c>
      <c r="D158" s="224" t="s">
        <v>498</v>
      </c>
      <c r="E158" s="224" t="s">
        <v>48</v>
      </c>
      <c r="F158" s="225"/>
      <c r="G158" s="224" t="s">
        <v>40</v>
      </c>
      <c r="H158" s="234">
        <v>4000</v>
      </c>
      <c r="I158" s="235">
        <v>800</v>
      </c>
      <c r="J158" s="224" t="s">
        <v>147</v>
      </c>
      <c r="K158" s="224" t="s">
        <v>41</v>
      </c>
      <c r="M158">
        <f t="shared" si="0"/>
        <v>800</v>
      </c>
    </row>
    <row r="159" spans="1:13" x14ac:dyDescent="0.25">
      <c r="A159" s="222">
        <v>24</v>
      </c>
      <c r="B159" s="100" t="s">
        <v>499</v>
      </c>
      <c r="C159" s="224" t="s">
        <v>160</v>
      </c>
      <c r="D159" s="224" t="s">
        <v>500</v>
      </c>
      <c r="E159" s="224" t="s">
        <v>58</v>
      </c>
      <c r="F159" s="225" t="s">
        <v>501</v>
      </c>
      <c r="G159" s="224" t="s">
        <v>40</v>
      </c>
      <c r="H159" s="234">
        <v>3000</v>
      </c>
      <c r="I159" s="235">
        <v>600</v>
      </c>
      <c r="J159" s="224" t="s">
        <v>147</v>
      </c>
      <c r="K159" s="224" t="s">
        <v>41</v>
      </c>
      <c r="M159">
        <f t="shared" si="0"/>
        <v>600</v>
      </c>
    </row>
    <row r="160" spans="1:13" x14ac:dyDescent="0.25">
      <c r="A160" s="222">
        <v>24</v>
      </c>
      <c r="B160" s="100" t="s">
        <v>502</v>
      </c>
      <c r="C160" s="224" t="s">
        <v>160</v>
      </c>
      <c r="D160" s="224" t="s">
        <v>180</v>
      </c>
      <c r="E160" s="224" t="s">
        <v>54</v>
      </c>
      <c r="F160" s="225" t="s">
        <v>503</v>
      </c>
      <c r="G160" s="224" t="s">
        <v>40</v>
      </c>
      <c r="H160" s="234">
        <v>3000</v>
      </c>
      <c r="I160" s="235">
        <v>600</v>
      </c>
      <c r="J160" s="224" t="s">
        <v>147</v>
      </c>
      <c r="K160" s="224" t="s">
        <v>41</v>
      </c>
      <c r="M160">
        <f t="shared" si="0"/>
        <v>600</v>
      </c>
    </row>
    <row r="161" spans="1:16" x14ac:dyDescent="0.25">
      <c r="A161" s="222">
        <v>24</v>
      </c>
      <c r="B161" s="100" t="s">
        <v>504</v>
      </c>
      <c r="C161" s="224" t="s">
        <v>160</v>
      </c>
      <c r="D161" s="224" t="s">
        <v>189</v>
      </c>
      <c r="E161" s="224" t="s">
        <v>42</v>
      </c>
      <c r="F161" s="225" t="s">
        <v>505</v>
      </c>
      <c r="G161" s="224" t="s">
        <v>40</v>
      </c>
      <c r="H161" s="234">
        <v>4000</v>
      </c>
      <c r="I161" s="235">
        <v>800</v>
      </c>
      <c r="J161" s="224" t="s">
        <v>147</v>
      </c>
      <c r="K161" s="224" t="s">
        <v>41</v>
      </c>
      <c r="M161">
        <f t="shared" si="0"/>
        <v>800</v>
      </c>
    </row>
    <row r="162" spans="1:16" x14ac:dyDescent="0.25">
      <c r="A162" s="222">
        <v>24</v>
      </c>
      <c r="B162" s="100" t="s">
        <v>506</v>
      </c>
      <c r="C162" s="224" t="s">
        <v>160</v>
      </c>
      <c r="D162" s="224" t="s">
        <v>507</v>
      </c>
      <c r="E162" s="224" t="s">
        <v>61</v>
      </c>
      <c r="F162" s="225" t="s">
        <v>508</v>
      </c>
      <c r="G162" s="224" t="s">
        <v>40</v>
      </c>
      <c r="H162" s="234">
        <v>1000</v>
      </c>
      <c r="I162" s="235">
        <v>200</v>
      </c>
      <c r="J162" s="224" t="s">
        <v>147</v>
      </c>
      <c r="K162" s="224" t="s">
        <v>41</v>
      </c>
      <c r="M162">
        <f t="shared" si="0"/>
        <v>200</v>
      </c>
    </row>
    <row r="163" spans="1:16" x14ac:dyDescent="0.25">
      <c r="A163" s="222">
        <v>24</v>
      </c>
      <c r="B163" s="100" t="s">
        <v>506</v>
      </c>
      <c r="C163" s="224" t="s">
        <v>160</v>
      </c>
      <c r="D163" s="224" t="s">
        <v>507</v>
      </c>
      <c r="E163" s="224" t="s">
        <v>61</v>
      </c>
      <c r="F163" s="225" t="s">
        <v>508</v>
      </c>
      <c r="G163" s="224" t="s">
        <v>40</v>
      </c>
      <c r="H163" s="234">
        <v>500</v>
      </c>
      <c r="I163" s="235" t="s">
        <v>152</v>
      </c>
      <c r="J163" s="224" t="s">
        <v>147</v>
      </c>
      <c r="K163" s="224" t="s">
        <v>41</v>
      </c>
      <c r="M163">
        <f t="shared" si="0"/>
        <v>100</v>
      </c>
    </row>
    <row r="164" spans="1:16" x14ac:dyDescent="0.25">
      <c r="A164" s="222">
        <v>24</v>
      </c>
      <c r="B164" s="100" t="s">
        <v>509</v>
      </c>
      <c r="C164" s="269" t="s">
        <v>163</v>
      </c>
      <c r="D164" s="224" t="s">
        <v>470</v>
      </c>
      <c r="E164" s="224" t="s">
        <v>45</v>
      </c>
      <c r="F164" s="225"/>
      <c r="G164" s="224" t="s">
        <v>40</v>
      </c>
      <c r="H164" s="234">
        <v>1000</v>
      </c>
      <c r="I164" s="235">
        <v>200</v>
      </c>
      <c r="J164" s="224" t="s">
        <v>147</v>
      </c>
      <c r="K164" s="224" t="s">
        <v>41</v>
      </c>
      <c r="M164">
        <f t="shared" si="0"/>
        <v>200</v>
      </c>
    </row>
    <row r="165" spans="1:16" x14ac:dyDescent="0.25">
      <c r="A165" s="222">
        <v>24</v>
      </c>
      <c r="B165" s="100" t="s">
        <v>510</v>
      </c>
      <c r="C165" s="269" t="s">
        <v>163</v>
      </c>
      <c r="D165" s="224" t="s">
        <v>262</v>
      </c>
      <c r="E165" s="224" t="s">
        <v>69</v>
      </c>
      <c r="F165" s="225" t="s">
        <v>511</v>
      </c>
      <c r="G165" s="224" t="s">
        <v>40</v>
      </c>
      <c r="H165" s="234">
        <v>5000</v>
      </c>
      <c r="I165" s="235">
        <v>1000</v>
      </c>
      <c r="J165" s="224" t="s">
        <v>147</v>
      </c>
      <c r="K165" s="224" t="s">
        <v>41</v>
      </c>
      <c r="M165">
        <f t="shared" si="0"/>
        <v>1000</v>
      </c>
    </row>
    <row r="166" spans="1:16" x14ac:dyDescent="0.25">
      <c r="A166" s="222">
        <v>24</v>
      </c>
      <c r="B166" s="100" t="s">
        <v>510</v>
      </c>
      <c r="C166" s="286" t="s">
        <v>163</v>
      </c>
      <c r="D166" s="224" t="s">
        <v>262</v>
      </c>
      <c r="E166" s="224" t="s">
        <v>69</v>
      </c>
      <c r="F166" s="225" t="s">
        <v>511</v>
      </c>
      <c r="G166" s="286" t="s">
        <v>465</v>
      </c>
      <c r="H166" s="234">
        <v>100</v>
      </c>
      <c r="I166" s="235">
        <v>100</v>
      </c>
      <c r="J166" s="224" t="s">
        <v>147</v>
      </c>
      <c r="K166" s="224" t="s">
        <v>41</v>
      </c>
      <c r="M166">
        <f t="shared" si="0"/>
        <v>20</v>
      </c>
    </row>
    <row r="167" spans="1:16" x14ac:dyDescent="0.25">
      <c r="A167" s="222">
        <v>24</v>
      </c>
      <c r="B167" s="100" t="s">
        <v>512</v>
      </c>
      <c r="C167" s="224" t="s">
        <v>160</v>
      </c>
      <c r="D167" s="224" t="s">
        <v>483</v>
      </c>
      <c r="E167" s="224" t="s">
        <v>56</v>
      </c>
      <c r="F167" s="225" t="s">
        <v>513</v>
      </c>
      <c r="G167" s="224" t="s">
        <v>40</v>
      </c>
      <c r="H167" s="234">
        <v>500</v>
      </c>
      <c r="I167" s="235">
        <v>150</v>
      </c>
      <c r="J167" s="224" t="s">
        <v>147</v>
      </c>
      <c r="K167" s="224" t="s">
        <v>41</v>
      </c>
      <c r="M167">
        <f t="shared" si="0"/>
        <v>100</v>
      </c>
    </row>
    <row r="168" spans="1:16" x14ac:dyDescent="0.25">
      <c r="A168" s="222">
        <v>24</v>
      </c>
      <c r="B168" s="100" t="s">
        <v>514</v>
      </c>
      <c r="C168" s="224" t="s">
        <v>160</v>
      </c>
      <c r="D168" s="224" t="s">
        <v>180</v>
      </c>
      <c r="E168" s="224" t="s">
        <v>54</v>
      </c>
      <c r="F168" s="225"/>
      <c r="G168" s="224" t="s">
        <v>40</v>
      </c>
      <c r="H168" s="234">
        <v>1000</v>
      </c>
      <c r="I168" s="235">
        <v>300</v>
      </c>
      <c r="J168" s="224" t="s">
        <v>147</v>
      </c>
      <c r="K168" s="224" t="s">
        <v>41</v>
      </c>
      <c r="M168">
        <f t="shared" si="0"/>
        <v>200</v>
      </c>
    </row>
    <row r="169" spans="1:16" x14ac:dyDescent="0.25">
      <c r="A169" s="222">
        <v>24</v>
      </c>
      <c r="B169" s="100" t="s">
        <v>515</v>
      </c>
      <c r="C169" s="224" t="s">
        <v>160</v>
      </c>
      <c r="D169" s="224" t="s">
        <v>194</v>
      </c>
      <c r="E169" s="224" t="s">
        <v>43</v>
      </c>
      <c r="F169" s="225"/>
      <c r="G169" s="224" t="s">
        <v>40</v>
      </c>
      <c r="H169" s="234">
        <v>60</v>
      </c>
      <c r="I169" s="235">
        <v>18</v>
      </c>
      <c r="J169" s="224" t="s">
        <v>147</v>
      </c>
      <c r="K169" s="224" t="s">
        <v>41</v>
      </c>
      <c r="M169">
        <f t="shared" si="0"/>
        <v>12</v>
      </c>
      <c r="P169" s="69"/>
    </row>
    <row r="170" spans="1:16" x14ac:dyDescent="0.25">
      <c r="A170" s="222">
        <v>24</v>
      </c>
      <c r="B170" s="100" t="s">
        <v>516</v>
      </c>
      <c r="C170" s="224" t="s">
        <v>160</v>
      </c>
      <c r="D170" s="224" t="s">
        <v>517</v>
      </c>
      <c r="E170" s="224" t="s">
        <v>88</v>
      </c>
      <c r="F170" s="225"/>
      <c r="G170" s="224" t="s">
        <v>40</v>
      </c>
      <c r="H170" s="234">
        <v>500</v>
      </c>
      <c r="I170" s="235">
        <v>150</v>
      </c>
      <c r="J170" s="224" t="s">
        <v>147</v>
      </c>
      <c r="K170" s="224" t="s">
        <v>41</v>
      </c>
      <c r="M170">
        <f t="shared" si="0"/>
        <v>100</v>
      </c>
      <c r="P170" s="69"/>
    </row>
    <row r="171" spans="1:16" x14ac:dyDescent="0.25">
      <c r="A171" s="222">
        <v>24</v>
      </c>
      <c r="B171" s="100" t="s">
        <v>518</v>
      </c>
      <c r="C171" s="224" t="s">
        <v>160</v>
      </c>
      <c r="D171" s="224" t="s">
        <v>519</v>
      </c>
      <c r="E171" s="224" t="s">
        <v>56</v>
      </c>
      <c r="F171" s="225" t="s">
        <v>520</v>
      </c>
      <c r="G171" s="224" t="s">
        <v>40</v>
      </c>
      <c r="H171" s="234">
        <v>900</v>
      </c>
      <c r="I171" s="235">
        <v>180</v>
      </c>
      <c r="J171" s="224" t="s">
        <v>147</v>
      </c>
      <c r="K171" s="224" t="s">
        <v>41</v>
      </c>
      <c r="M171">
        <f t="shared" si="0"/>
        <v>180</v>
      </c>
    </row>
    <row r="172" spans="1:16" x14ac:dyDescent="0.25">
      <c r="A172" s="222">
        <v>24</v>
      </c>
      <c r="B172" s="100" t="s">
        <v>514</v>
      </c>
      <c r="C172" s="224" t="s">
        <v>160</v>
      </c>
      <c r="D172" s="224" t="s">
        <v>180</v>
      </c>
      <c r="E172" s="224" t="s">
        <v>54</v>
      </c>
      <c r="F172" s="225" t="s">
        <v>521</v>
      </c>
      <c r="G172" s="224" t="s">
        <v>40</v>
      </c>
      <c r="H172" s="234">
        <v>2000</v>
      </c>
      <c r="I172" s="235">
        <v>400</v>
      </c>
      <c r="J172" s="224" t="s">
        <v>147</v>
      </c>
      <c r="K172" s="224" t="s">
        <v>41</v>
      </c>
      <c r="M172">
        <f t="shared" si="0"/>
        <v>400</v>
      </c>
    </row>
    <row r="173" spans="1:16" x14ac:dyDescent="0.25">
      <c r="A173" s="222">
        <v>24</v>
      </c>
      <c r="B173" s="100" t="s">
        <v>522</v>
      </c>
      <c r="C173" s="224" t="s">
        <v>160</v>
      </c>
      <c r="D173" s="224" t="s">
        <v>523</v>
      </c>
      <c r="E173" s="224" t="s">
        <v>42</v>
      </c>
      <c r="F173" s="225"/>
      <c r="G173" s="224" t="s">
        <v>40</v>
      </c>
      <c r="H173" s="234">
        <v>2500</v>
      </c>
      <c r="I173" s="235">
        <v>500</v>
      </c>
      <c r="J173" s="224" t="s">
        <v>147</v>
      </c>
      <c r="K173" s="224" t="s">
        <v>41</v>
      </c>
      <c r="M173">
        <f t="shared" si="0"/>
        <v>500</v>
      </c>
    </row>
    <row r="174" spans="1:16" x14ac:dyDescent="0.25">
      <c r="A174" s="222">
        <v>24</v>
      </c>
      <c r="B174" s="100" t="s">
        <v>524</v>
      </c>
      <c r="C174" s="224" t="s">
        <v>160</v>
      </c>
      <c r="D174" s="224" t="s">
        <v>525</v>
      </c>
      <c r="E174" s="224" t="s">
        <v>47</v>
      </c>
      <c r="F174" s="225" t="s">
        <v>526</v>
      </c>
      <c r="G174" s="224" t="s">
        <v>40</v>
      </c>
      <c r="H174" s="234">
        <v>500</v>
      </c>
      <c r="I174" s="235">
        <v>100</v>
      </c>
      <c r="J174" s="224" t="s">
        <v>147</v>
      </c>
      <c r="K174" s="224" t="s">
        <v>41</v>
      </c>
      <c r="M174">
        <f t="shared" si="0"/>
        <v>100</v>
      </c>
      <c r="P174" s="69"/>
    </row>
    <row r="175" spans="1:16" x14ac:dyDescent="0.25">
      <c r="A175" s="222">
        <v>24</v>
      </c>
      <c r="B175" s="100" t="s">
        <v>527</v>
      </c>
      <c r="C175" s="269" t="s">
        <v>163</v>
      </c>
      <c r="D175" s="224" t="s">
        <v>194</v>
      </c>
      <c r="E175" s="224" t="s">
        <v>43</v>
      </c>
      <c r="F175" s="225"/>
      <c r="G175" s="224" t="s">
        <v>40</v>
      </c>
      <c r="H175" s="234">
        <v>3000</v>
      </c>
      <c r="I175" s="235">
        <v>600</v>
      </c>
      <c r="J175" s="224" t="s">
        <v>147</v>
      </c>
      <c r="K175" s="224" t="s">
        <v>41</v>
      </c>
      <c r="M175">
        <f t="shared" si="0"/>
        <v>600</v>
      </c>
    </row>
    <row r="176" spans="1:16" x14ac:dyDescent="0.25">
      <c r="A176" s="222">
        <v>29</v>
      </c>
      <c r="B176" s="100" t="s">
        <v>528</v>
      </c>
      <c r="C176" s="224" t="s">
        <v>160</v>
      </c>
      <c r="D176" s="224" t="s">
        <v>529</v>
      </c>
      <c r="E176" s="224" t="s">
        <v>57</v>
      </c>
      <c r="F176" s="225" t="s">
        <v>530</v>
      </c>
      <c r="G176" s="224" t="s">
        <v>40</v>
      </c>
      <c r="H176" s="234">
        <v>5000</v>
      </c>
      <c r="I176" s="235">
        <v>1000</v>
      </c>
      <c r="J176" s="224" t="s">
        <v>147</v>
      </c>
      <c r="K176" s="224" t="s">
        <v>41</v>
      </c>
      <c r="M176">
        <f t="shared" si="0"/>
        <v>1000</v>
      </c>
    </row>
    <row r="177" spans="1:13" x14ac:dyDescent="0.25">
      <c r="A177" s="222">
        <v>29</v>
      </c>
      <c r="B177" s="100" t="s">
        <v>531</v>
      </c>
      <c r="C177" s="269" t="s">
        <v>163</v>
      </c>
      <c r="D177" s="224" t="s">
        <v>483</v>
      </c>
      <c r="E177" s="224" t="s">
        <v>56</v>
      </c>
      <c r="F177" s="225" t="s">
        <v>532</v>
      </c>
      <c r="G177" s="224" t="s">
        <v>40</v>
      </c>
      <c r="H177" s="234">
        <v>500</v>
      </c>
      <c r="I177" s="235">
        <v>100</v>
      </c>
      <c r="J177" s="224" t="s">
        <v>147</v>
      </c>
      <c r="K177" s="224" t="s">
        <v>41</v>
      </c>
      <c r="M177">
        <f t="shared" si="0"/>
        <v>100</v>
      </c>
    </row>
    <row r="178" spans="1:13" x14ac:dyDescent="0.25">
      <c r="A178" s="222">
        <v>29</v>
      </c>
      <c r="B178" s="100" t="s">
        <v>533</v>
      </c>
      <c r="C178" s="224" t="s">
        <v>160</v>
      </c>
      <c r="D178" s="224" t="s">
        <v>457</v>
      </c>
      <c r="E178" s="224" t="s">
        <v>54</v>
      </c>
      <c r="F178" s="225" t="s">
        <v>534</v>
      </c>
      <c r="G178" s="224" t="s">
        <v>40</v>
      </c>
      <c r="H178" s="234">
        <v>1500</v>
      </c>
      <c r="I178" s="235">
        <v>300</v>
      </c>
      <c r="J178" s="224" t="s">
        <v>147</v>
      </c>
      <c r="K178" s="224" t="s">
        <v>41</v>
      </c>
      <c r="M178">
        <f t="shared" si="0"/>
        <v>300</v>
      </c>
    </row>
    <row r="179" spans="1:13" x14ac:dyDescent="0.25">
      <c r="A179" s="222">
        <v>29</v>
      </c>
      <c r="B179" s="100" t="s">
        <v>535</v>
      </c>
      <c r="C179" s="224" t="s">
        <v>160</v>
      </c>
      <c r="D179" s="224" t="s">
        <v>529</v>
      </c>
      <c r="E179" s="224" t="s">
        <v>57</v>
      </c>
      <c r="F179" s="225" t="s">
        <v>536</v>
      </c>
      <c r="G179" s="224" t="s">
        <v>40</v>
      </c>
      <c r="H179" s="234">
        <v>2000</v>
      </c>
      <c r="I179" s="235">
        <v>400</v>
      </c>
      <c r="J179" s="224" t="s">
        <v>147</v>
      </c>
      <c r="K179" s="224" t="s">
        <v>41</v>
      </c>
      <c r="M179">
        <f t="shared" si="0"/>
        <v>400</v>
      </c>
    </row>
    <row r="180" spans="1:13" x14ac:dyDescent="0.25">
      <c r="A180" s="222">
        <v>29</v>
      </c>
      <c r="B180" s="100" t="s">
        <v>535</v>
      </c>
      <c r="C180" s="224" t="s">
        <v>160</v>
      </c>
      <c r="D180" s="224" t="s">
        <v>529</v>
      </c>
      <c r="E180" s="224" t="s">
        <v>57</v>
      </c>
      <c r="F180" s="225" t="s">
        <v>536</v>
      </c>
      <c r="G180" s="283" t="s">
        <v>377</v>
      </c>
      <c r="H180" s="234">
        <v>500</v>
      </c>
      <c r="I180" s="235">
        <v>100</v>
      </c>
      <c r="J180" s="224" t="s">
        <v>147</v>
      </c>
      <c r="K180" s="224" t="s">
        <v>41</v>
      </c>
      <c r="M180">
        <f t="shared" si="0"/>
        <v>100</v>
      </c>
    </row>
    <row r="181" spans="1:13" x14ac:dyDescent="0.25">
      <c r="A181" s="222">
        <v>29</v>
      </c>
      <c r="B181" s="100" t="s">
        <v>537</v>
      </c>
      <c r="C181" s="224" t="s">
        <v>160</v>
      </c>
      <c r="D181" s="224" t="s">
        <v>538</v>
      </c>
      <c r="E181" s="224" t="s">
        <v>49</v>
      </c>
      <c r="F181" s="225" t="s">
        <v>539</v>
      </c>
      <c r="G181" s="224" t="s">
        <v>40</v>
      </c>
      <c r="H181" s="234">
        <v>3000</v>
      </c>
      <c r="I181" s="235">
        <v>600</v>
      </c>
      <c r="J181" s="224" t="s">
        <v>147</v>
      </c>
      <c r="K181" s="224" t="s">
        <v>41</v>
      </c>
      <c r="M181">
        <f t="shared" si="0"/>
        <v>600</v>
      </c>
    </row>
    <row r="182" spans="1:13" x14ac:dyDescent="0.25">
      <c r="A182" s="222">
        <v>29</v>
      </c>
      <c r="B182" s="100" t="s">
        <v>540</v>
      </c>
      <c r="C182" s="224" t="s">
        <v>160</v>
      </c>
      <c r="D182" s="224" t="s">
        <v>180</v>
      </c>
      <c r="E182" s="224" t="s">
        <v>60</v>
      </c>
      <c r="F182" s="225" t="s">
        <v>541</v>
      </c>
      <c r="G182" s="224" t="s">
        <v>40</v>
      </c>
      <c r="H182" s="234">
        <v>1000</v>
      </c>
      <c r="I182" s="235">
        <v>200</v>
      </c>
      <c r="J182" s="224" t="s">
        <v>147</v>
      </c>
      <c r="K182" s="224" t="s">
        <v>41</v>
      </c>
      <c r="M182">
        <f t="shared" si="0"/>
        <v>200</v>
      </c>
    </row>
    <row r="183" spans="1:13" x14ac:dyDescent="0.25">
      <c r="A183" s="222">
        <v>29</v>
      </c>
      <c r="B183" s="100" t="s">
        <v>542</v>
      </c>
      <c r="C183" s="224" t="s">
        <v>160</v>
      </c>
      <c r="D183" s="224"/>
      <c r="E183" s="224" t="s">
        <v>46</v>
      </c>
      <c r="F183" s="225" t="s">
        <v>543</v>
      </c>
      <c r="G183" s="224" t="s">
        <v>40</v>
      </c>
      <c r="H183" s="234">
        <v>1500</v>
      </c>
      <c r="I183" s="235">
        <v>300</v>
      </c>
      <c r="J183" s="224" t="s">
        <v>147</v>
      </c>
      <c r="K183" s="224" t="s">
        <v>41</v>
      </c>
      <c r="M183">
        <f t="shared" si="0"/>
        <v>300</v>
      </c>
    </row>
    <row r="184" spans="1:13" x14ac:dyDescent="0.25">
      <c r="A184" s="222">
        <v>29</v>
      </c>
      <c r="B184" s="100" t="s">
        <v>544</v>
      </c>
      <c r="C184" s="224" t="s">
        <v>160</v>
      </c>
      <c r="D184" s="224" t="s">
        <v>161</v>
      </c>
      <c r="E184" s="224" t="s">
        <v>84</v>
      </c>
      <c r="F184" s="225" t="s">
        <v>545</v>
      </c>
      <c r="G184" s="224" t="s">
        <v>40</v>
      </c>
      <c r="H184" s="234">
        <v>2000</v>
      </c>
      <c r="I184" s="235">
        <v>400</v>
      </c>
      <c r="J184" s="224" t="s">
        <v>147</v>
      </c>
      <c r="K184" s="224" t="s">
        <v>41</v>
      </c>
      <c r="M184">
        <f t="shared" si="0"/>
        <v>400</v>
      </c>
    </row>
    <row r="185" spans="1:13" x14ac:dyDescent="0.25">
      <c r="A185" s="222">
        <v>29</v>
      </c>
      <c r="B185" s="100" t="s">
        <v>527</v>
      </c>
      <c r="C185" s="269" t="s">
        <v>163</v>
      </c>
      <c r="D185" s="224" t="s">
        <v>194</v>
      </c>
      <c r="E185" s="224" t="s">
        <v>43</v>
      </c>
      <c r="F185" s="225" t="s">
        <v>546</v>
      </c>
      <c r="G185" s="224" t="s">
        <v>40</v>
      </c>
      <c r="H185" s="234">
        <v>3000</v>
      </c>
      <c r="I185" s="235">
        <v>600</v>
      </c>
      <c r="J185" s="224" t="s">
        <v>147</v>
      </c>
      <c r="K185" s="224" t="s">
        <v>41</v>
      </c>
      <c r="M185">
        <f t="shared" si="0"/>
        <v>600</v>
      </c>
    </row>
    <row r="186" spans="1:13" x14ac:dyDescent="0.25">
      <c r="A186" s="222">
        <v>29</v>
      </c>
      <c r="B186" s="100" t="s">
        <v>263</v>
      </c>
      <c r="C186" s="224" t="s">
        <v>160</v>
      </c>
      <c r="D186" s="224" t="s">
        <v>264</v>
      </c>
      <c r="E186" s="224" t="s">
        <v>43</v>
      </c>
      <c r="F186" s="225" t="s">
        <v>265</v>
      </c>
      <c r="G186" s="224" t="s">
        <v>40</v>
      </c>
      <c r="H186" s="234">
        <v>300</v>
      </c>
      <c r="I186" s="235">
        <v>60</v>
      </c>
      <c r="J186" s="224" t="s">
        <v>147</v>
      </c>
      <c r="K186" s="224" t="s">
        <v>41</v>
      </c>
      <c r="M186">
        <f t="shared" si="0"/>
        <v>60</v>
      </c>
    </row>
    <row r="187" spans="1:13" x14ac:dyDescent="0.25">
      <c r="A187" s="222">
        <v>29</v>
      </c>
      <c r="B187" s="100" t="s">
        <v>547</v>
      </c>
      <c r="C187" s="269" t="s">
        <v>163</v>
      </c>
      <c r="D187" s="224" t="s">
        <v>287</v>
      </c>
      <c r="E187" s="224" t="s">
        <v>47</v>
      </c>
      <c r="F187" s="225" t="s">
        <v>548</v>
      </c>
      <c r="G187" s="224" t="s">
        <v>40</v>
      </c>
      <c r="H187" s="234">
        <v>300</v>
      </c>
      <c r="I187" s="235">
        <v>60</v>
      </c>
      <c r="J187" s="224" t="s">
        <v>147</v>
      </c>
      <c r="K187" s="224" t="s">
        <v>41</v>
      </c>
      <c r="M187">
        <f t="shared" si="0"/>
        <v>60</v>
      </c>
    </row>
    <row r="188" spans="1:13" x14ac:dyDescent="0.25">
      <c r="A188" s="222">
        <v>29</v>
      </c>
      <c r="B188" s="100" t="s">
        <v>549</v>
      </c>
      <c r="C188" s="224" t="s">
        <v>160</v>
      </c>
      <c r="D188" s="224" t="s">
        <v>420</v>
      </c>
      <c r="E188" s="224" t="s">
        <v>69</v>
      </c>
      <c r="F188" s="225"/>
      <c r="G188" s="224" t="s">
        <v>40</v>
      </c>
      <c r="H188" s="234">
        <v>250</v>
      </c>
      <c r="I188" s="235">
        <v>50</v>
      </c>
      <c r="J188" s="224" t="s">
        <v>147</v>
      </c>
      <c r="K188" s="224" t="s">
        <v>41</v>
      </c>
      <c r="M188">
        <f t="shared" si="0"/>
        <v>50</v>
      </c>
    </row>
    <row r="189" spans="1:13" x14ac:dyDescent="0.25">
      <c r="A189" s="222">
        <v>29</v>
      </c>
      <c r="B189" s="100" t="s">
        <v>550</v>
      </c>
      <c r="C189" s="224" t="s">
        <v>160</v>
      </c>
      <c r="D189" s="224" t="s">
        <v>470</v>
      </c>
      <c r="E189" s="224" t="s">
        <v>45</v>
      </c>
      <c r="F189" s="225" t="s">
        <v>551</v>
      </c>
      <c r="G189" s="224" t="s">
        <v>40</v>
      </c>
      <c r="H189" s="234">
        <v>1000</v>
      </c>
      <c r="I189" s="235">
        <v>200</v>
      </c>
      <c r="J189" s="224" t="s">
        <v>147</v>
      </c>
      <c r="K189" s="224" t="s">
        <v>41</v>
      </c>
      <c r="M189">
        <f t="shared" si="0"/>
        <v>200</v>
      </c>
    </row>
    <row r="190" spans="1:13" x14ac:dyDescent="0.25">
      <c r="A190" s="222">
        <v>29</v>
      </c>
      <c r="B190" s="100" t="s">
        <v>552</v>
      </c>
      <c r="C190" s="224" t="s">
        <v>160</v>
      </c>
      <c r="D190" s="224" t="s">
        <v>483</v>
      </c>
      <c r="E190" s="224" t="s">
        <v>56</v>
      </c>
      <c r="F190" s="225" t="s">
        <v>553</v>
      </c>
      <c r="G190" s="224" t="s">
        <v>40</v>
      </c>
      <c r="H190" s="234">
        <v>700</v>
      </c>
      <c r="I190" s="235">
        <v>140</v>
      </c>
      <c r="J190" s="224" t="s">
        <v>147</v>
      </c>
      <c r="K190" s="224" t="s">
        <v>41</v>
      </c>
      <c r="M190">
        <f t="shared" si="0"/>
        <v>140</v>
      </c>
    </row>
    <row r="191" spans="1:13" x14ac:dyDescent="0.25">
      <c r="A191" s="222">
        <v>29</v>
      </c>
      <c r="B191" s="100" t="s">
        <v>554</v>
      </c>
      <c r="C191" s="224" t="s">
        <v>160</v>
      </c>
      <c r="D191" s="224" t="s">
        <v>196</v>
      </c>
      <c r="E191" s="224" t="s">
        <v>56</v>
      </c>
      <c r="F191" s="225" t="s">
        <v>555</v>
      </c>
      <c r="G191" s="224" t="s">
        <v>40</v>
      </c>
      <c r="H191" s="234">
        <v>5000</v>
      </c>
      <c r="I191" s="235">
        <v>1000</v>
      </c>
      <c r="J191" s="224" t="s">
        <v>147</v>
      </c>
      <c r="K191" s="224" t="s">
        <v>41</v>
      </c>
      <c r="M191">
        <f t="shared" si="0"/>
        <v>1000</v>
      </c>
    </row>
    <row r="192" spans="1:13" x14ac:dyDescent="0.25">
      <c r="A192" s="222">
        <v>29</v>
      </c>
      <c r="B192" s="100" t="s">
        <v>556</v>
      </c>
      <c r="C192" s="224" t="s">
        <v>160</v>
      </c>
      <c r="D192" s="224" t="s">
        <v>557</v>
      </c>
      <c r="E192" s="224" t="s">
        <v>61</v>
      </c>
      <c r="F192" s="225" t="s">
        <v>558</v>
      </c>
      <c r="G192" s="224" t="s">
        <v>40</v>
      </c>
      <c r="H192" s="234">
        <v>1500</v>
      </c>
      <c r="I192" s="235">
        <v>300</v>
      </c>
      <c r="J192" s="224" t="s">
        <v>147</v>
      </c>
      <c r="K192" s="224" t="s">
        <v>41</v>
      </c>
      <c r="M192">
        <f t="shared" si="0"/>
        <v>300</v>
      </c>
    </row>
    <row r="193" spans="1:13" x14ac:dyDescent="0.25">
      <c r="A193" s="222">
        <v>29</v>
      </c>
      <c r="B193" s="100" t="s">
        <v>559</v>
      </c>
      <c r="C193" s="224" t="s">
        <v>160</v>
      </c>
      <c r="D193" s="224" t="s">
        <v>420</v>
      </c>
      <c r="E193" s="224" t="s">
        <v>69</v>
      </c>
      <c r="F193" s="225" t="s">
        <v>560</v>
      </c>
      <c r="G193" s="224" t="s">
        <v>40</v>
      </c>
      <c r="H193" s="234">
        <v>2000</v>
      </c>
      <c r="I193" s="235">
        <v>400</v>
      </c>
      <c r="J193" s="224" t="s">
        <v>147</v>
      </c>
      <c r="K193" s="224" t="s">
        <v>41</v>
      </c>
      <c r="M193">
        <f t="shared" si="0"/>
        <v>400</v>
      </c>
    </row>
    <row r="194" spans="1:13" x14ac:dyDescent="0.25">
      <c r="A194" s="222">
        <v>29</v>
      </c>
      <c r="B194" s="100" t="s">
        <v>460</v>
      </c>
      <c r="C194" s="224" t="s">
        <v>160</v>
      </c>
      <c r="D194" s="224" t="s">
        <v>461</v>
      </c>
      <c r="E194" s="224" t="s">
        <v>45</v>
      </c>
      <c r="F194" s="225" t="s">
        <v>561</v>
      </c>
      <c r="G194" s="224" t="s">
        <v>40</v>
      </c>
      <c r="H194" s="234">
        <v>4000</v>
      </c>
      <c r="I194" s="235">
        <v>800</v>
      </c>
      <c r="J194" s="224" t="s">
        <v>147</v>
      </c>
      <c r="K194" s="224" t="s">
        <v>41</v>
      </c>
      <c r="M194">
        <f t="shared" si="0"/>
        <v>800</v>
      </c>
    </row>
    <row r="195" spans="1:13" x14ac:dyDescent="0.25">
      <c r="A195" s="222">
        <v>29</v>
      </c>
      <c r="B195" s="100" t="s">
        <v>562</v>
      </c>
      <c r="C195" s="269" t="s">
        <v>163</v>
      </c>
      <c r="D195" s="224" t="s">
        <v>563</v>
      </c>
      <c r="E195" s="224" t="s">
        <v>69</v>
      </c>
      <c r="F195" s="225" t="s">
        <v>564</v>
      </c>
      <c r="G195" s="224" t="s">
        <v>40</v>
      </c>
      <c r="H195" s="234">
        <v>100</v>
      </c>
      <c r="I195" s="235" t="s">
        <v>152</v>
      </c>
      <c r="J195" s="224" t="s">
        <v>147</v>
      </c>
      <c r="K195" s="224" t="s">
        <v>41</v>
      </c>
      <c r="M195">
        <f t="shared" si="0"/>
        <v>20</v>
      </c>
    </row>
    <row r="196" spans="1:13" x14ac:dyDescent="0.25">
      <c r="A196" s="222">
        <v>29</v>
      </c>
      <c r="B196" s="100" t="s">
        <v>565</v>
      </c>
      <c r="C196" s="224" t="s">
        <v>160</v>
      </c>
      <c r="D196" s="224" t="s">
        <v>563</v>
      </c>
      <c r="E196" s="224" t="s">
        <v>69</v>
      </c>
      <c r="F196" s="225" t="s">
        <v>566</v>
      </c>
      <c r="G196" s="224" t="s">
        <v>40</v>
      </c>
      <c r="H196" s="234">
        <v>400</v>
      </c>
      <c r="I196" s="235" t="s">
        <v>152</v>
      </c>
      <c r="J196" s="224" t="s">
        <v>147</v>
      </c>
      <c r="K196" s="224" t="s">
        <v>41</v>
      </c>
      <c r="M196">
        <f t="shared" si="0"/>
        <v>80</v>
      </c>
    </row>
    <row r="197" spans="1:13" x14ac:dyDescent="0.25">
      <c r="A197" s="222">
        <v>29</v>
      </c>
      <c r="B197" s="100" t="s">
        <v>567</v>
      </c>
      <c r="C197" s="269" t="s">
        <v>163</v>
      </c>
      <c r="D197" s="224" t="s">
        <v>317</v>
      </c>
      <c r="E197" s="224" t="s">
        <v>69</v>
      </c>
      <c r="F197" s="225"/>
      <c r="G197" s="224" t="s">
        <v>40</v>
      </c>
      <c r="H197" s="234">
        <v>1000</v>
      </c>
      <c r="I197" s="235" t="s">
        <v>152</v>
      </c>
      <c r="J197" s="224" t="s">
        <v>147</v>
      </c>
      <c r="K197" s="224" t="s">
        <v>41</v>
      </c>
      <c r="M197">
        <f t="shared" si="0"/>
        <v>200</v>
      </c>
    </row>
    <row r="198" spans="1:13" x14ac:dyDescent="0.25">
      <c r="A198" s="222">
        <v>29</v>
      </c>
      <c r="B198" s="100" t="s">
        <v>568</v>
      </c>
      <c r="C198" s="224" t="s">
        <v>160</v>
      </c>
      <c r="D198" s="224" t="s">
        <v>317</v>
      </c>
      <c r="E198" s="224" t="s">
        <v>69</v>
      </c>
      <c r="F198" s="225" t="s">
        <v>569</v>
      </c>
      <c r="G198" s="224" t="s">
        <v>40</v>
      </c>
      <c r="H198" s="234">
        <v>700</v>
      </c>
      <c r="I198" s="235" t="s">
        <v>152</v>
      </c>
      <c r="J198" s="224" t="s">
        <v>147</v>
      </c>
      <c r="K198" s="224" t="s">
        <v>41</v>
      </c>
      <c r="M198">
        <f t="shared" si="0"/>
        <v>140</v>
      </c>
    </row>
    <row r="199" spans="1:13" x14ac:dyDescent="0.25">
      <c r="A199" s="222">
        <v>29</v>
      </c>
      <c r="B199" s="100" t="s">
        <v>570</v>
      </c>
      <c r="C199" s="269" t="s">
        <v>163</v>
      </c>
      <c r="D199" s="224" t="s">
        <v>317</v>
      </c>
      <c r="E199" s="224" t="s">
        <v>69</v>
      </c>
      <c r="F199" s="225" t="s">
        <v>571</v>
      </c>
      <c r="G199" s="224" t="s">
        <v>40</v>
      </c>
      <c r="H199" s="234">
        <v>1000</v>
      </c>
      <c r="I199" s="235" t="s">
        <v>152</v>
      </c>
      <c r="J199" s="224" t="s">
        <v>147</v>
      </c>
      <c r="K199" s="224" t="s">
        <v>41</v>
      </c>
      <c r="M199">
        <f t="shared" si="0"/>
        <v>200</v>
      </c>
    </row>
    <row r="200" spans="1:13" x14ac:dyDescent="0.25">
      <c r="A200" s="222">
        <v>29</v>
      </c>
      <c r="B200" s="100" t="s">
        <v>572</v>
      </c>
      <c r="C200" s="224" t="s">
        <v>160</v>
      </c>
      <c r="D200" s="224" t="s">
        <v>573</v>
      </c>
      <c r="E200" s="224" t="s">
        <v>69</v>
      </c>
      <c r="F200" s="225"/>
      <c r="G200" s="224" t="s">
        <v>40</v>
      </c>
      <c r="H200" s="234">
        <v>1000</v>
      </c>
      <c r="I200" s="235" t="s">
        <v>152</v>
      </c>
      <c r="J200" s="224" t="s">
        <v>147</v>
      </c>
      <c r="K200" s="224" t="s">
        <v>41</v>
      </c>
      <c r="M200">
        <f t="shared" si="0"/>
        <v>200</v>
      </c>
    </row>
    <row r="201" spans="1:13" x14ac:dyDescent="0.25">
      <c r="A201" s="222">
        <v>29</v>
      </c>
      <c r="B201" s="100" t="s">
        <v>574</v>
      </c>
      <c r="C201" s="224" t="s">
        <v>160</v>
      </c>
      <c r="D201" s="224" t="s">
        <v>573</v>
      </c>
      <c r="E201" s="224" t="s">
        <v>69</v>
      </c>
      <c r="F201" s="225" t="s">
        <v>575</v>
      </c>
      <c r="G201" s="224" t="s">
        <v>40</v>
      </c>
      <c r="H201" s="234">
        <v>3000</v>
      </c>
      <c r="I201" s="235" t="s">
        <v>152</v>
      </c>
      <c r="J201" s="224" t="s">
        <v>147</v>
      </c>
      <c r="K201" s="224" t="s">
        <v>41</v>
      </c>
      <c r="M201">
        <f t="shared" si="0"/>
        <v>600</v>
      </c>
    </row>
    <row r="202" spans="1:13" x14ac:dyDescent="0.25">
      <c r="A202" s="222">
        <v>29</v>
      </c>
      <c r="B202" s="100" t="s">
        <v>576</v>
      </c>
      <c r="C202" s="224" t="s">
        <v>160</v>
      </c>
      <c r="D202" s="224" t="s">
        <v>573</v>
      </c>
      <c r="E202" s="224" t="s">
        <v>69</v>
      </c>
      <c r="F202" s="225" t="s">
        <v>575</v>
      </c>
      <c r="G202" s="224" t="s">
        <v>40</v>
      </c>
      <c r="H202" s="234">
        <v>3000</v>
      </c>
      <c r="I202" s="235" t="s">
        <v>152</v>
      </c>
      <c r="J202" s="224" t="s">
        <v>147</v>
      </c>
      <c r="K202" s="224" t="s">
        <v>41</v>
      </c>
      <c r="M202">
        <f t="shared" si="0"/>
        <v>600</v>
      </c>
    </row>
    <row r="203" spans="1:13" x14ac:dyDescent="0.25">
      <c r="A203" s="222">
        <v>30</v>
      </c>
      <c r="B203" s="100" t="s">
        <v>577</v>
      </c>
      <c r="C203" s="224" t="s">
        <v>160</v>
      </c>
      <c r="D203" s="224" t="s">
        <v>578</v>
      </c>
      <c r="E203" s="224" t="s">
        <v>42</v>
      </c>
      <c r="F203" s="225" t="s">
        <v>579</v>
      </c>
      <c r="G203" s="224" t="s">
        <v>40</v>
      </c>
      <c r="H203" s="234">
        <v>3000</v>
      </c>
      <c r="I203" s="235" t="s">
        <v>152</v>
      </c>
      <c r="J203" s="224" t="s">
        <v>147</v>
      </c>
      <c r="K203" s="224" t="s">
        <v>41</v>
      </c>
      <c r="M203">
        <f t="shared" si="0"/>
        <v>600</v>
      </c>
    </row>
    <row r="204" spans="1:13" x14ac:dyDescent="0.25">
      <c r="A204" s="222">
        <v>30</v>
      </c>
      <c r="B204" s="100" t="s">
        <v>582</v>
      </c>
      <c r="C204" s="224" t="s">
        <v>160</v>
      </c>
      <c r="D204" s="224" t="s">
        <v>583</v>
      </c>
      <c r="E204" s="224" t="s">
        <v>42</v>
      </c>
      <c r="F204" s="225" t="s">
        <v>584</v>
      </c>
      <c r="G204" s="224" t="s">
        <v>40</v>
      </c>
      <c r="H204" s="234">
        <v>3500</v>
      </c>
      <c r="I204" s="235" t="s">
        <v>152</v>
      </c>
      <c r="J204" s="224" t="s">
        <v>147</v>
      </c>
      <c r="K204" s="224" t="s">
        <v>41</v>
      </c>
      <c r="M204">
        <f t="shared" si="0"/>
        <v>700</v>
      </c>
    </row>
    <row r="205" spans="1:13" x14ac:dyDescent="0.25">
      <c r="A205" s="222">
        <v>30</v>
      </c>
      <c r="B205" s="100" t="s">
        <v>585</v>
      </c>
      <c r="C205" s="269" t="s">
        <v>163</v>
      </c>
      <c r="D205" s="224" t="s">
        <v>583</v>
      </c>
      <c r="E205" s="224" t="s">
        <v>42</v>
      </c>
      <c r="F205" s="225" t="s">
        <v>586</v>
      </c>
      <c r="G205" s="224" t="s">
        <v>40</v>
      </c>
      <c r="H205" s="234">
        <v>1000</v>
      </c>
      <c r="I205" s="235" t="s">
        <v>152</v>
      </c>
      <c r="J205" s="224" t="s">
        <v>147</v>
      </c>
      <c r="K205" s="224" t="s">
        <v>41</v>
      </c>
      <c r="M205">
        <f t="shared" si="0"/>
        <v>200</v>
      </c>
    </row>
    <row r="206" spans="1:13" x14ac:dyDescent="0.25">
      <c r="A206" s="273">
        <v>30</v>
      </c>
      <c r="B206" s="100" t="s">
        <v>587</v>
      </c>
      <c r="C206" s="224" t="s">
        <v>160</v>
      </c>
      <c r="D206" s="224" t="s">
        <v>588</v>
      </c>
      <c r="E206" s="224" t="s">
        <v>42</v>
      </c>
      <c r="F206" s="225" t="s">
        <v>586</v>
      </c>
      <c r="G206" s="224" t="s">
        <v>40</v>
      </c>
      <c r="H206" s="234">
        <v>500</v>
      </c>
      <c r="I206" s="235" t="s">
        <v>152</v>
      </c>
      <c r="J206" s="224" t="s">
        <v>147</v>
      </c>
      <c r="K206" s="224" t="s">
        <v>41</v>
      </c>
      <c r="M206">
        <f t="shared" si="0"/>
        <v>100</v>
      </c>
    </row>
    <row r="207" spans="1:13" x14ac:dyDescent="0.25">
      <c r="A207" s="222"/>
      <c r="B207" s="100"/>
      <c r="C207" s="224"/>
      <c r="D207" s="224"/>
      <c r="E207" s="224"/>
      <c r="F207" s="225"/>
      <c r="G207" s="224"/>
      <c r="H207" s="234"/>
      <c r="I207" s="235"/>
      <c r="J207" s="224"/>
      <c r="K207" s="224"/>
    </row>
    <row r="208" spans="1:13" x14ac:dyDescent="0.25">
      <c r="A208" s="222"/>
      <c r="B208" s="100"/>
      <c r="C208" s="224"/>
      <c r="D208" s="224"/>
      <c r="E208" s="224"/>
      <c r="F208" s="225"/>
      <c r="G208" s="224"/>
      <c r="H208" s="234"/>
      <c r="I208" s="235"/>
      <c r="J208" s="224"/>
      <c r="K208" s="224"/>
      <c r="M208">
        <f>SUM(M12:M105)</f>
        <v>52280</v>
      </c>
    </row>
    <row r="209" spans="1:16" x14ac:dyDescent="0.25">
      <c r="A209" s="285"/>
      <c r="B209" s="60"/>
      <c r="C209" s="60"/>
      <c r="D209" s="60"/>
      <c r="E209" s="60"/>
      <c r="F209" s="60"/>
      <c r="G209" s="60"/>
      <c r="H209" s="61"/>
      <c r="I209" s="121"/>
      <c r="J209" s="60"/>
    </row>
    <row r="211" spans="1:16" x14ac:dyDescent="0.25">
      <c r="I211" s="123" t="s">
        <v>19</v>
      </c>
      <c r="J211" s="70"/>
    </row>
    <row r="212" spans="1:16" ht="16.5" customHeight="1" x14ac:dyDescent="0.25">
      <c r="B212" s="62" t="s">
        <v>20</v>
      </c>
      <c r="E212" s="62" t="s">
        <v>21</v>
      </c>
      <c r="I212" s="103" t="s">
        <v>109</v>
      </c>
      <c r="J212" s="127">
        <v>183</v>
      </c>
      <c r="P212" s="30"/>
    </row>
    <row r="213" spans="1:16" x14ac:dyDescent="0.25">
      <c r="I213" s="103" t="s">
        <v>110</v>
      </c>
      <c r="J213" s="127"/>
      <c r="K213" s="98"/>
    </row>
    <row r="214" spans="1:16" x14ac:dyDescent="0.25">
      <c r="I214" s="103" t="s">
        <v>138</v>
      </c>
      <c r="J214" s="128">
        <v>453410</v>
      </c>
    </row>
    <row r="215" spans="1:16" x14ac:dyDescent="0.25">
      <c r="B215" s="124" t="s">
        <v>156</v>
      </c>
      <c r="E215" s="617" t="s">
        <v>157</v>
      </c>
      <c r="F215" s="617"/>
      <c r="G215" s="617"/>
      <c r="H215" s="617"/>
      <c r="I215" s="103" t="s">
        <v>111</v>
      </c>
      <c r="J215" s="128">
        <v>0</v>
      </c>
    </row>
    <row r="216" spans="1:16" x14ac:dyDescent="0.25">
      <c r="B216" s="62" t="s">
        <v>148</v>
      </c>
      <c r="E216" s="618" t="s">
        <v>158</v>
      </c>
      <c r="F216" s="618"/>
      <c r="G216" s="618"/>
      <c r="H216" s="618"/>
      <c r="I216" s="103" t="s">
        <v>112</v>
      </c>
      <c r="J216" s="127">
        <v>0</v>
      </c>
    </row>
    <row r="217" spans="1:16" x14ac:dyDescent="0.25">
      <c r="I217" s="103" t="s">
        <v>114</v>
      </c>
      <c r="J217" s="128">
        <v>25350</v>
      </c>
    </row>
    <row r="218" spans="1:16" s="62" customFormat="1" x14ac:dyDescent="0.25">
      <c r="A218" s="210"/>
      <c r="I218" s="103" t="s">
        <v>22</v>
      </c>
      <c r="J218" s="288">
        <v>52280</v>
      </c>
      <c r="L218"/>
      <c r="M218"/>
      <c r="N218"/>
    </row>
    <row r="219" spans="1:16" s="62" customFormat="1" x14ac:dyDescent="0.25">
      <c r="A219" s="210"/>
      <c r="I219" s="125" t="s">
        <v>107</v>
      </c>
      <c r="J219" s="128"/>
      <c r="L219"/>
      <c r="M219"/>
      <c r="N219"/>
    </row>
    <row r="220" spans="1:16" s="62" customFormat="1" x14ac:dyDescent="0.25">
      <c r="A220" s="210"/>
      <c r="B220" s="99"/>
      <c r="E220" s="99"/>
      <c r="F220" s="99"/>
      <c r="G220" s="99"/>
      <c r="I220" s="125" t="s">
        <v>108</v>
      </c>
      <c r="J220" s="71"/>
      <c r="L220"/>
      <c r="M220"/>
      <c r="N220"/>
    </row>
    <row r="221" spans="1:16" s="62" customFormat="1" x14ac:dyDescent="0.25">
      <c r="A221" s="210"/>
      <c r="I221" s="103"/>
      <c r="J221" s="70"/>
      <c r="L221"/>
      <c r="M221"/>
      <c r="N221"/>
    </row>
    <row r="222" spans="1:16" s="62" customFormat="1" x14ac:dyDescent="0.25">
      <c r="A222" s="210"/>
      <c r="I222" s="103"/>
      <c r="J222" s="70"/>
      <c r="L222"/>
      <c r="M222"/>
      <c r="N222"/>
    </row>
    <row r="223" spans="1:16" s="62" customFormat="1" x14ac:dyDescent="0.25">
      <c r="A223" s="210"/>
      <c r="I223" s="103"/>
      <c r="J223" s="71"/>
      <c r="L223"/>
      <c r="M223"/>
      <c r="N223"/>
    </row>
    <row r="224" spans="1:16" s="62" customFormat="1" x14ac:dyDescent="0.25">
      <c r="A224" s="210"/>
      <c r="I224" s="103"/>
      <c r="J224" s="71"/>
      <c r="L224"/>
      <c r="M224"/>
      <c r="N224"/>
    </row>
    <row r="244" spans="12:12" x14ac:dyDescent="0.25">
      <c r="L244" s="30"/>
    </row>
    <row r="267" spans="12:12" x14ac:dyDescent="0.25">
      <c r="L267" s="30"/>
    </row>
    <row r="394" spans="12:12" x14ac:dyDescent="0.25">
      <c r="L394" s="30"/>
    </row>
  </sheetData>
  <mergeCells count="8">
    <mergeCell ref="E215:H215"/>
    <mergeCell ref="E216:H216"/>
    <mergeCell ref="A1:K1"/>
    <mergeCell ref="A2:K2"/>
    <mergeCell ref="A6:B6"/>
    <mergeCell ref="F7:H7"/>
    <mergeCell ref="J7:K7"/>
    <mergeCell ref="A8:B8"/>
  </mergeCells>
  <printOptions horizontalCentered="1"/>
  <pageMargins left="0.5" right="0.5" top="0.75" bottom="0.75" header="0.3" footer="0.3"/>
  <pageSetup paperSize="5" orientation="landscape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W28"/>
  <sheetViews>
    <sheetView view="pageBreakPreview" zoomScale="73" zoomScaleNormal="84" zoomScaleSheetLayoutView="73" workbookViewId="0">
      <selection activeCell="B10" sqref="B10"/>
    </sheetView>
  </sheetViews>
  <sheetFormatPr defaultRowHeight="15" x14ac:dyDescent="0.25"/>
  <cols>
    <col min="1" max="1" width="16" customWidth="1"/>
    <col min="2" max="3" width="15" customWidth="1"/>
    <col min="4" max="5" width="17.7109375" customWidth="1"/>
    <col min="6" max="6" width="12.28515625" customWidth="1"/>
    <col min="7" max="7" width="13" customWidth="1"/>
    <col min="8" max="8" width="18.28515625" customWidth="1"/>
    <col min="9" max="9" width="17.28515625" customWidth="1"/>
    <col min="10" max="10" width="11.42578125" customWidth="1"/>
    <col min="11" max="11" width="13.42578125" customWidth="1"/>
    <col min="12" max="12" width="18" customWidth="1"/>
    <col min="13" max="13" width="17.5703125" customWidth="1"/>
    <col min="14" max="14" width="11.85546875" customWidth="1"/>
    <col min="15" max="15" width="13.7109375" customWidth="1"/>
    <col min="16" max="16" width="17.7109375" customWidth="1"/>
    <col min="17" max="17" width="17.28515625" customWidth="1"/>
    <col min="18" max="18" width="11.5703125" customWidth="1"/>
    <col min="19" max="19" width="13.42578125" customWidth="1"/>
    <col min="20" max="20" width="18.85546875" customWidth="1"/>
    <col min="21" max="21" width="17" customWidth="1"/>
    <col min="22" max="22" width="19.42578125" customWidth="1"/>
    <col min="23" max="23" width="19.85546875" customWidth="1"/>
  </cols>
  <sheetData>
    <row r="1" spans="1:23" ht="26.25" x14ac:dyDescent="0.4">
      <c r="A1" s="529" t="s">
        <v>142</v>
      </c>
      <c r="B1" s="529"/>
      <c r="C1" s="529"/>
      <c r="D1" s="529"/>
      <c r="E1" s="529"/>
      <c r="F1" s="529"/>
      <c r="G1" s="529"/>
      <c r="H1" s="529"/>
      <c r="I1" s="529"/>
      <c r="J1" s="529"/>
      <c r="K1" s="529"/>
      <c r="L1" s="529"/>
      <c r="M1" s="529"/>
      <c r="N1" s="529"/>
      <c r="O1" s="529"/>
      <c r="P1" s="529"/>
      <c r="Q1" s="529"/>
      <c r="R1" s="529"/>
      <c r="S1" s="529"/>
      <c r="T1" s="529"/>
      <c r="U1" s="529"/>
      <c r="V1" s="529"/>
    </row>
    <row r="2" spans="1:23" ht="15.75" thickBot="1" x14ac:dyDescent="0.3"/>
    <row r="3" spans="1:23" ht="39.75" customHeight="1" x14ac:dyDescent="0.25">
      <c r="A3" s="530" t="s">
        <v>139</v>
      </c>
      <c r="B3" s="532" t="s">
        <v>95</v>
      </c>
      <c r="C3" s="533"/>
      <c r="D3" s="533"/>
      <c r="E3" s="534"/>
      <c r="F3" s="535" t="s">
        <v>97</v>
      </c>
      <c r="G3" s="536"/>
      <c r="H3" s="536"/>
      <c r="I3" s="537"/>
      <c r="J3" s="633" t="s">
        <v>94</v>
      </c>
      <c r="K3" s="634"/>
      <c r="L3" s="634"/>
      <c r="M3" s="635"/>
      <c r="N3" s="538" t="s">
        <v>105</v>
      </c>
      <c r="O3" s="539"/>
      <c r="P3" s="539"/>
      <c r="Q3" s="540"/>
      <c r="R3" s="541" t="s">
        <v>132</v>
      </c>
      <c r="S3" s="542"/>
      <c r="T3" s="542"/>
      <c r="U3" s="543"/>
      <c r="V3" s="205" t="s">
        <v>136</v>
      </c>
      <c r="W3" s="527" t="s">
        <v>146</v>
      </c>
    </row>
    <row r="4" spans="1:23" ht="63.75" customHeight="1" thickBot="1" x14ac:dyDescent="0.3">
      <c r="A4" s="531"/>
      <c r="B4" s="203" t="s">
        <v>93</v>
      </c>
      <c r="C4" s="201" t="s">
        <v>92</v>
      </c>
      <c r="D4" s="202" t="s">
        <v>140</v>
      </c>
      <c r="E4" s="204" t="s">
        <v>141</v>
      </c>
      <c r="F4" s="203" t="s">
        <v>93</v>
      </c>
      <c r="G4" s="201" t="s">
        <v>92</v>
      </c>
      <c r="H4" s="202" t="s">
        <v>140</v>
      </c>
      <c r="I4" s="204" t="s">
        <v>141</v>
      </c>
      <c r="J4" s="203" t="s">
        <v>93</v>
      </c>
      <c r="K4" s="201" t="s">
        <v>92</v>
      </c>
      <c r="L4" s="202" t="s">
        <v>140</v>
      </c>
      <c r="M4" s="204" t="s">
        <v>141</v>
      </c>
      <c r="N4" s="203" t="s">
        <v>93</v>
      </c>
      <c r="O4" s="201" t="s">
        <v>92</v>
      </c>
      <c r="P4" s="202" t="s">
        <v>140</v>
      </c>
      <c r="Q4" s="204" t="s">
        <v>141</v>
      </c>
      <c r="R4" s="203" t="s">
        <v>93</v>
      </c>
      <c r="S4" s="201" t="s">
        <v>92</v>
      </c>
      <c r="T4" s="202" t="s">
        <v>140</v>
      </c>
      <c r="U4" s="204" t="s">
        <v>141</v>
      </c>
      <c r="V4" s="206" t="s">
        <v>140</v>
      </c>
      <c r="W4" s="528"/>
    </row>
    <row r="5" spans="1:23" ht="63.75" customHeight="1" x14ac:dyDescent="0.25">
      <c r="A5" s="196" t="s">
        <v>143</v>
      </c>
      <c r="B5" s="197">
        <v>5466839</v>
      </c>
      <c r="C5" s="197">
        <v>1287092</v>
      </c>
      <c r="D5" s="197">
        <f>B5+C5</f>
        <v>6753931</v>
      </c>
      <c r="E5" s="198">
        <f>D5+E13</f>
        <v>8104717.2000000002</v>
      </c>
      <c r="F5" s="197">
        <v>17578</v>
      </c>
      <c r="G5" s="197">
        <v>0</v>
      </c>
      <c r="H5" s="197">
        <f>F5+G5</f>
        <v>17578</v>
      </c>
      <c r="I5" s="198">
        <f>H5+I13</f>
        <v>21093.599999999999</v>
      </c>
      <c r="J5" s="197">
        <v>2250</v>
      </c>
      <c r="K5" s="197">
        <v>0</v>
      </c>
      <c r="L5" s="197">
        <f>J5+K5</f>
        <v>2250</v>
      </c>
      <c r="M5" s="198">
        <f>L5+M13</f>
        <v>2700</v>
      </c>
      <c r="N5" s="197">
        <v>0</v>
      </c>
      <c r="O5" s="197">
        <v>0</v>
      </c>
      <c r="P5" s="197">
        <f>N5+O5</f>
        <v>0</v>
      </c>
      <c r="Q5" s="198">
        <f>P5+Q13</f>
        <v>0</v>
      </c>
      <c r="R5" s="197">
        <v>41650</v>
      </c>
      <c r="S5" s="197">
        <v>84000</v>
      </c>
      <c r="T5" s="197">
        <f>R5+S5</f>
        <v>125650</v>
      </c>
      <c r="U5" s="199">
        <f>T5+U13</f>
        <v>150780</v>
      </c>
      <c r="V5" s="200">
        <v>15239</v>
      </c>
      <c r="W5" s="193">
        <v>1933</v>
      </c>
    </row>
    <row r="6" spans="1:23" ht="63.75" customHeight="1" x14ac:dyDescent="0.25">
      <c r="A6" s="188" t="s">
        <v>144</v>
      </c>
      <c r="B6" s="189">
        <v>5517875</v>
      </c>
      <c r="C6" s="189">
        <v>1489619</v>
      </c>
      <c r="D6" s="189">
        <f t="shared" ref="D6:D7" si="0">B6+C6</f>
        <v>7007494</v>
      </c>
      <c r="E6" s="190">
        <f>D6+E14</f>
        <v>8408992.8000000007</v>
      </c>
      <c r="F6" s="189">
        <v>15053</v>
      </c>
      <c r="G6" s="189">
        <v>844</v>
      </c>
      <c r="H6" s="189">
        <f t="shared" ref="H6:H7" si="1">F6+G6</f>
        <v>15897</v>
      </c>
      <c r="I6" s="190">
        <f>H6+I14</f>
        <v>19076.400000000001</v>
      </c>
      <c r="J6" s="189">
        <v>10580</v>
      </c>
      <c r="K6" s="189">
        <v>9500</v>
      </c>
      <c r="L6" s="189">
        <f t="shared" ref="L6:L7" si="2">J6+K6</f>
        <v>20080</v>
      </c>
      <c r="M6" s="190">
        <f>L6+M14</f>
        <v>24096</v>
      </c>
      <c r="N6" s="189">
        <v>28960</v>
      </c>
      <c r="O6" s="189">
        <v>13640</v>
      </c>
      <c r="P6" s="189">
        <f t="shared" ref="P6" si="3">N6+O6</f>
        <v>42600</v>
      </c>
      <c r="Q6" s="209">
        <f>P6+Q14</f>
        <v>51120</v>
      </c>
      <c r="R6" s="189">
        <v>30800</v>
      </c>
      <c r="S6" s="189">
        <v>75153</v>
      </c>
      <c r="T6" s="189">
        <f t="shared" ref="T6:T7" si="4">R6+S6</f>
        <v>105953</v>
      </c>
      <c r="U6" s="191">
        <f>T6+U14</f>
        <v>127143.6</v>
      </c>
      <c r="V6" s="192">
        <v>12250</v>
      </c>
      <c r="W6" s="193">
        <v>3251</v>
      </c>
    </row>
    <row r="7" spans="1:23" ht="63.75" customHeight="1" x14ac:dyDescent="0.25">
      <c r="A7" s="188" t="s">
        <v>145</v>
      </c>
      <c r="B7" s="189">
        <v>4997870</v>
      </c>
      <c r="C7" s="189">
        <v>1207180</v>
      </c>
      <c r="D7" s="189">
        <f t="shared" si="0"/>
        <v>6205050</v>
      </c>
      <c r="E7" s="190">
        <f>D7+E15</f>
        <v>7446060</v>
      </c>
      <c r="F7" s="189">
        <v>8756</v>
      </c>
      <c r="G7" s="189">
        <v>1123</v>
      </c>
      <c r="H7" s="189">
        <f t="shared" si="1"/>
        <v>9879</v>
      </c>
      <c r="I7" s="190">
        <f>H7+I15</f>
        <v>11854.8</v>
      </c>
      <c r="J7" s="189">
        <v>12400</v>
      </c>
      <c r="K7" s="189">
        <v>0</v>
      </c>
      <c r="L7" s="189">
        <f t="shared" si="2"/>
        <v>12400</v>
      </c>
      <c r="M7" s="190">
        <f>L7+M15</f>
        <v>14880</v>
      </c>
      <c r="N7" s="189">
        <v>53650</v>
      </c>
      <c r="O7" s="189">
        <v>37675</v>
      </c>
      <c r="P7" s="189">
        <v>103675</v>
      </c>
      <c r="Q7" s="209">
        <f>P7+Q15</f>
        <v>124410</v>
      </c>
      <c r="R7" s="189">
        <v>24200</v>
      </c>
      <c r="S7" s="189">
        <v>118745</v>
      </c>
      <c r="T7" s="189">
        <f t="shared" si="4"/>
        <v>142945</v>
      </c>
      <c r="U7" s="191">
        <f>T7+U15</f>
        <v>171534</v>
      </c>
      <c r="V7" s="192">
        <v>23508</v>
      </c>
      <c r="W7" s="193">
        <v>2626</v>
      </c>
    </row>
    <row r="8" spans="1:23" ht="63.75" customHeight="1" x14ac:dyDescent="0.25">
      <c r="A8" s="194" t="s">
        <v>150</v>
      </c>
      <c r="B8" s="189">
        <v>1118700</v>
      </c>
      <c r="C8" s="189">
        <v>265470</v>
      </c>
      <c r="D8" s="189">
        <f t="shared" ref="D8" si="5">B8+C8</f>
        <v>1384170</v>
      </c>
      <c r="E8" s="190">
        <f>D8+E16</f>
        <v>1661004</v>
      </c>
      <c r="F8" s="189">
        <v>1806</v>
      </c>
      <c r="G8" s="189">
        <v>22</v>
      </c>
      <c r="H8" s="189">
        <f t="shared" ref="H8" si="6">F8+G8</f>
        <v>1828</v>
      </c>
      <c r="I8" s="190">
        <f>H8+I16</f>
        <v>2193.6</v>
      </c>
      <c r="J8" s="189">
        <v>0</v>
      </c>
      <c r="K8" s="189">
        <v>1000</v>
      </c>
      <c r="L8" s="189">
        <f t="shared" ref="L8" si="7">J8+K8</f>
        <v>1000</v>
      </c>
      <c r="M8" s="190">
        <f>L8+M16</f>
        <v>1200</v>
      </c>
      <c r="N8" s="189">
        <v>60420</v>
      </c>
      <c r="O8" s="189">
        <v>15125</v>
      </c>
      <c r="P8" s="189">
        <f t="shared" ref="P8" si="8">N8+O8</f>
        <v>75545</v>
      </c>
      <c r="Q8" s="190">
        <f>P8+Q16</f>
        <v>90654</v>
      </c>
      <c r="R8" s="189">
        <v>12100</v>
      </c>
      <c r="S8" s="189">
        <v>90850</v>
      </c>
      <c r="T8" s="189">
        <f t="shared" ref="T8" si="9">R8+S8</f>
        <v>102950</v>
      </c>
      <c r="U8" s="191">
        <f>T8+U16</f>
        <v>123540</v>
      </c>
      <c r="V8" s="192">
        <v>32526</v>
      </c>
      <c r="W8" s="195">
        <v>229</v>
      </c>
    </row>
    <row r="9" spans="1:23" ht="63.75" customHeight="1" x14ac:dyDescent="0.25">
      <c r="A9" s="524">
        <v>2023</v>
      </c>
      <c r="B9" s="189"/>
      <c r="C9" s="189"/>
      <c r="D9" s="189"/>
      <c r="E9" s="190"/>
      <c r="F9" s="189"/>
      <c r="G9" s="189"/>
      <c r="H9" s="189"/>
      <c r="I9" s="190"/>
      <c r="J9" s="189"/>
      <c r="K9" s="189"/>
      <c r="L9" s="189"/>
      <c r="M9" s="190"/>
      <c r="N9" s="189"/>
      <c r="O9" s="189"/>
      <c r="P9" s="189"/>
      <c r="Q9" s="190"/>
      <c r="R9" s="189"/>
      <c r="S9" s="189"/>
      <c r="T9" s="189"/>
      <c r="U9" s="191"/>
      <c r="V9" s="192"/>
      <c r="W9" s="195"/>
    </row>
    <row r="10" spans="1:23" ht="63.75" customHeight="1" x14ac:dyDescent="0.25">
      <c r="A10" s="524">
        <v>2024</v>
      </c>
      <c r="B10" s="189"/>
      <c r="C10" s="189"/>
      <c r="D10" s="189"/>
      <c r="E10" s="190"/>
      <c r="F10" s="189"/>
      <c r="G10" s="189"/>
      <c r="H10" s="189"/>
      <c r="I10" s="190"/>
      <c r="J10" s="189"/>
      <c r="K10" s="189"/>
      <c r="L10" s="189"/>
      <c r="M10" s="190"/>
      <c r="N10" s="189"/>
      <c r="O10" s="189"/>
      <c r="P10" s="189"/>
      <c r="Q10" s="190"/>
      <c r="R10" s="189"/>
      <c r="S10" s="189"/>
      <c r="T10" s="189"/>
      <c r="U10" s="191"/>
      <c r="V10" s="192"/>
      <c r="W10" s="195"/>
    </row>
    <row r="11" spans="1:23" ht="31.5" customHeight="1" x14ac:dyDescent="0.25"/>
    <row r="13" spans="1:23" ht="35.25" customHeight="1" x14ac:dyDescent="0.25">
      <c r="E13" s="69">
        <f>D5*0.2</f>
        <v>1350786.2000000002</v>
      </c>
      <c r="I13" s="69">
        <f>H5*0.2</f>
        <v>3515.6000000000004</v>
      </c>
      <c r="M13" s="97">
        <f>L5*0.2</f>
        <v>450</v>
      </c>
      <c r="Q13" s="91">
        <f>P5*0.2</f>
        <v>0</v>
      </c>
      <c r="U13" s="97">
        <f>T5*0.2</f>
        <v>25130</v>
      </c>
    </row>
    <row r="14" spans="1:23" x14ac:dyDescent="0.25">
      <c r="E14" s="69">
        <f>D6*0.2</f>
        <v>1401498.8</v>
      </c>
      <c r="I14" s="69">
        <f>H6*0.2</f>
        <v>3179.4</v>
      </c>
      <c r="M14" s="97">
        <f>L6*0.2</f>
        <v>4016</v>
      </c>
      <c r="Q14" s="91">
        <f>P6*0.2</f>
        <v>8520</v>
      </c>
      <c r="U14" s="97">
        <f>T6*0.2</f>
        <v>21190.600000000002</v>
      </c>
    </row>
    <row r="15" spans="1:23" x14ac:dyDescent="0.25">
      <c r="E15" s="69">
        <f>D7*0.2</f>
        <v>1241010</v>
      </c>
      <c r="I15" s="69">
        <f>H7*0.2</f>
        <v>1975.8000000000002</v>
      </c>
      <c r="M15" s="97">
        <f>L7*0.2</f>
        <v>2480</v>
      </c>
      <c r="Q15" s="91">
        <f>P7*0.2</f>
        <v>20735</v>
      </c>
      <c r="U15" s="97">
        <f>T7*0.2</f>
        <v>28589</v>
      </c>
    </row>
    <row r="16" spans="1:23" x14ac:dyDescent="0.25">
      <c r="E16" s="69">
        <f>D8*0.2</f>
        <v>276834</v>
      </c>
      <c r="I16" s="69">
        <f>H8*0.2</f>
        <v>365.6</v>
      </c>
      <c r="M16" s="97">
        <f>L8*0.2</f>
        <v>200</v>
      </c>
      <c r="Q16" s="91">
        <f>P8*0.2</f>
        <v>15109</v>
      </c>
      <c r="U16" s="97">
        <f>T8*0.2</f>
        <v>20590</v>
      </c>
    </row>
    <row r="21" spans="5:5" x14ac:dyDescent="0.25">
      <c r="E21" s="171"/>
    </row>
    <row r="28" spans="5:5" x14ac:dyDescent="0.25">
      <c r="E28" s="171"/>
    </row>
  </sheetData>
  <mergeCells count="8">
    <mergeCell ref="W3:W4"/>
    <mergeCell ref="A1:V1"/>
    <mergeCell ref="A3:A4"/>
    <mergeCell ref="B3:E3"/>
    <mergeCell ref="F3:I3"/>
    <mergeCell ref="J3:M3"/>
    <mergeCell ref="N3:Q3"/>
    <mergeCell ref="R3:U3"/>
  </mergeCells>
  <printOptions horizontalCentered="1"/>
  <pageMargins left="0.25" right="0.25" top="0.75" bottom="0.75" header="0.3" footer="0.3"/>
  <pageSetup paperSize="155" scale="36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L18"/>
  <sheetViews>
    <sheetView view="pageLayout" zoomScaleNormal="100" workbookViewId="0">
      <selection activeCell="C7" sqref="C7"/>
    </sheetView>
  </sheetViews>
  <sheetFormatPr defaultRowHeight="15" x14ac:dyDescent="0.25"/>
  <cols>
    <col min="1" max="1" width="13.28515625" customWidth="1"/>
    <col min="2" max="2" width="13.7109375" customWidth="1"/>
    <col min="3" max="3" width="15.140625" customWidth="1"/>
    <col min="4" max="4" width="18" customWidth="1"/>
    <col min="5" max="5" width="15.85546875" customWidth="1"/>
    <col min="6" max="6" width="17.28515625" customWidth="1"/>
    <col min="7" max="7" width="15.5703125" customWidth="1"/>
    <col min="8" max="8" width="10.5703125" customWidth="1"/>
    <col min="9" max="10" width="10.5703125" bestFit="1" customWidth="1"/>
    <col min="11" max="11" width="11.5703125" bestFit="1" customWidth="1"/>
    <col min="12" max="12" width="9.7109375" bestFit="1" customWidth="1"/>
  </cols>
  <sheetData>
    <row r="1" spans="1:12" ht="36.75" customHeight="1" thickBot="1" x14ac:dyDescent="0.3">
      <c r="A1" s="637" t="s">
        <v>154</v>
      </c>
      <c r="B1" s="637"/>
      <c r="C1" s="637"/>
      <c r="D1" s="637"/>
      <c r="E1" s="637"/>
      <c r="F1" s="637"/>
      <c r="G1" s="637"/>
    </row>
    <row r="2" spans="1:12" s="72" customFormat="1" ht="27.75" customHeight="1" x14ac:dyDescent="0.25">
      <c r="A2" s="641" t="s">
        <v>134</v>
      </c>
      <c r="B2" s="647" t="s">
        <v>118</v>
      </c>
      <c r="C2" s="648"/>
      <c r="D2" s="649" t="s">
        <v>119</v>
      </c>
      <c r="E2" s="650"/>
      <c r="F2" s="649" t="s">
        <v>131</v>
      </c>
      <c r="G2" s="650"/>
    </row>
    <row r="3" spans="1:12" ht="27.75" customHeight="1" thickBot="1" x14ac:dyDescent="0.3">
      <c r="A3" s="642"/>
      <c r="B3" s="145" t="s">
        <v>123</v>
      </c>
      <c r="C3" s="146" t="s">
        <v>124</v>
      </c>
      <c r="D3" s="145" t="s">
        <v>123</v>
      </c>
      <c r="E3" s="146" t="s">
        <v>124</v>
      </c>
      <c r="F3" s="145" t="s">
        <v>123</v>
      </c>
      <c r="G3" s="146" t="s">
        <v>124</v>
      </c>
    </row>
    <row r="4" spans="1:12" ht="27.75" customHeight="1" x14ac:dyDescent="0.25">
      <c r="A4" s="147" t="s">
        <v>99</v>
      </c>
      <c r="B4" s="148">
        <v>0</v>
      </c>
      <c r="C4" s="149">
        <f>B4*0.2+B4</f>
        <v>0</v>
      </c>
      <c r="D4" s="150">
        <v>0</v>
      </c>
      <c r="E4" s="151">
        <f>D4*0.2+D4</f>
        <v>0</v>
      </c>
      <c r="F4" s="152">
        <v>0</v>
      </c>
      <c r="G4" s="153">
        <f>F4*0.2+F4</f>
        <v>0</v>
      </c>
      <c r="I4" s="97"/>
      <c r="J4" s="636"/>
      <c r="K4" s="636"/>
      <c r="L4" s="97"/>
    </row>
    <row r="5" spans="1:12" ht="27.75" customHeight="1" x14ac:dyDescent="0.25">
      <c r="A5" s="147" t="s">
        <v>100</v>
      </c>
      <c r="B5" s="154">
        <v>0</v>
      </c>
      <c r="C5" s="149">
        <f t="shared" ref="C5:C15" si="0">B5*0.2+B5</f>
        <v>0</v>
      </c>
      <c r="D5" s="155">
        <v>0</v>
      </c>
      <c r="E5" s="151">
        <f t="shared" ref="E5:E15" si="1">D5*0.2+D5</f>
        <v>0</v>
      </c>
      <c r="F5" s="156">
        <v>0</v>
      </c>
      <c r="G5" s="153">
        <f>F5*0.2+F5</f>
        <v>0</v>
      </c>
      <c r="I5" s="97"/>
      <c r="J5" s="69"/>
    </row>
    <row r="6" spans="1:12" ht="27.75" customHeight="1" x14ac:dyDescent="0.25">
      <c r="A6" s="147" t="s">
        <v>101</v>
      </c>
      <c r="B6" s="154"/>
      <c r="C6" s="149">
        <f t="shared" si="0"/>
        <v>0</v>
      </c>
      <c r="D6" s="155"/>
      <c r="E6" s="151">
        <f t="shared" si="1"/>
        <v>0</v>
      </c>
      <c r="F6" s="157"/>
      <c r="G6" s="153">
        <f t="shared" ref="G6:G15" si="2">F6*0.2+F6</f>
        <v>0</v>
      </c>
      <c r="I6" s="97"/>
      <c r="J6" s="97"/>
    </row>
    <row r="7" spans="1:12" ht="27.75" customHeight="1" x14ac:dyDescent="0.25">
      <c r="A7" s="147" t="s">
        <v>102</v>
      </c>
      <c r="B7" s="158"/>
      <c r="C7" s="149">
        <f t="shared" si="0"/>
        <v>0</v>
      </c>
      <c r="D7" s="155"/>
      <c r="E7" s="151">
        <f t="shared" si="1"/>
        <v>0</v>
      </c>
      <c r="F7" s="157"/>
      <c r="G7" s="153">
        <f t="shared" si="2"/>
        <v>0</v>
      </c>
      <c r="I7" s="69"/>
      <c r="J7" s="97"/>
    </row>
    <row r="8" spans="1:12" ht="27.75" customHeight="1" x14ac:dyDescent="0.25">
      <c r="A8" s="147" t="s">
        <v>103</v>
      </c>
      <c r="B8" s="158"/>
      <c r="C8" s="149">
        <f t="shared" si="0"/>
        <v>0</v>
      </c>
      <c r="D8" s="155"/>
      <c r="E8" s="151">
        <f t="shared" si="1"/>
        <v>0</v>
      </c>
      <c r="F8" s="157"/>
      <c r="G8" s="153">
        <f t="shared" si="2"/>
        <v>0</v>
      </c>
      <c r="I8" s="91"/>
    </row>
    <row r="9" spans="1:12" ht="27.75" customHeight="1" x14ac:dyDescent="0.25">
      <c r="A9" s="147" t="s">
        <v>104</v>
      </c>
      <c r="B9" s="158"/>
      <c r="C9" s="149">
        <f t="shared" si="0"/>
        <v>0</v>
      </c>
      <c r="D9" s="155"/>
      <c r="E9" s="151">
        <f t="shared" si="1"/>
        <v>0</v>
      </c>
      <c r="F9" s="157"/>
      <c r="G9" s="153">
        <f t="shared" si="2"/>
        <v>0</v>
      </c>
      <c r="I9" s="69"/>
    </row>
    <row r="10" spans="1:12" ht="27.75" customHeight="1" x14ac:dyDescent="0.25">
      <c r="A10" s="147" t="s">
        <v>125</v>
      </c>
      <c r="B10" s="158"/>
      <c r="C10" s="149">
        <f t="shared" si="0"/>
        <v>0</v>
      </c>
      <c r="D10" s="155"/>
      <c r="E10" s="151">
        <f t="shared" si="1"/>
        <v>0</v>
      </c>
      <c r="F10" s="157"/>
      <c r="G10" s="153">
        <f t="shared" si="2"/>
        <v>0</v>
      </c>
    </row>
    <row r="11" spans="1:12" ht="27.75" customHeight="1" x14ac:dyDescent="0.25">
      <c r="A11" s="147" t="s">
        <v>126</v>
      </c>
      <c r="B11" s="158"/>
      <c r="C11" s="149">
        <f t="shared" si="0"/>
        <v>0</v>
      </c>
      <c r="D11" s="155"/>
      <c r="E11" s="151">
        <f t="shared" si="1"/>
        <v>0</v>
      </c>
      <c r="F11" s="157"/>
      <c r="G11" s="153">
        <f t="shared" si="2"/>
        <v>0</v>
      </c>
    </row>
    <row r="12" spans="1:12" ht="27.75" customHeight="1" x14ac:dyDescent="0.25">
      <c r="A12" s="147" t="s">
        <v>127</v>
      </c>
      <c r="B12" s="158"/>
      <c r="C12" s="149">
        <f t="shared" si="0"/>
        <v>0</v>
      </c>
      <c r="D12" s="155"/>
      <c r="E12" s="151">
        <f t="shared" si="1"/>
        <v>0</v>
      </c>
      <c r="F12" s="157"/>
      <c r="G12" s="153">
        <f t="shared" si="2"/>
        <v>0</v>
      </c>
    </row>
    <row r="13" spans="1:12" ht="27.75" customHeight="1" x14ac:dyDescent="0.25">
      <c r="A13" s="147" t="s">
        <v>128</v>
      </c>
      <c r="B13" s="158"/>
      <c r="C13" s="149">
        <f t="shared" si="0"/>
        <v>0</v>
      </c>
      <c r="D13" s="155"/>
      <c r="E13" s="151">
        <f t="shared" si="1"/>
        <v>0</v>
      </c>
      <c r="F13" s="157"/>
      <c r="G13" s="153">
        <f t="shared" si="2"/>
        <v>0</v>
      </c>
    </row>
    <row r="14" spans="1:12" ht="27.75" customHeight="1" x14ac:dyDescent="0.25">
      <c r="A14" s="147" t="s">
        <v>129</v>
      </c>
      <c r="B14" s="158"/>
      <c r="C14" s="149">
        <f t="shared" si="0"/>
        <v>0</v>
      </c>
      <c r="D14" s="155"/>
      <c r="E14" s="151">
        <f t="shared" si="1"/>
        <v>0</v>
      </c>
      <c r="F14" s="157"/>
      <c r="G14" s="153">
        <f t="shared" si="2"/>
        <v>0</v>
      </c>
    </row>
    <row r="15" spans="1:12" ht="27.75" customHeight="1" x14ac:dyDescent="0.25">
      <c r="A15" s="147" t="s">
        <v>130</v>
      </c>
      <c r="B15" s="158"/>
      <c r="C15" s="149">
        <f t="shared" si="0"/>
        <v>0</v>
      </c>
      <c r="D15" s="155"/>
      <c r="E15" s="151">
        <f t="shared" si="1"/>
        <v>0</v>
      </c>
      <c r="F15" s="157"/>
      <c r="G15" s="153">
        <f t="shared" si="2"/>
        <v>0</v>
      </c>
    </row>
    <row r="16" spans="1:12" ht="22.5" customHeight="1" thickBot="1" x14ac:dyDescent="0.3">
      <c r="A16" s="159"/>
      <c r="B16" s="160">
        <f t="shared" ref="B16:G16" si="3">SUM(B4:B15)</f>
        <v>0</v>
      </c>
      <c r="C16" s="161">
        <f t="shared" si="3"/>
        <v>0</v>
      </c>
      <c r="D16" s="162">
        <f t="shared" si="3"/>
        <v>0</v>
      </c>
      <c r="E16" s="163">
        <f t="shared" si="3"/>
        <v>0</v>
      </c>
      <c r="F16" s="164">
        <f t="shared" si="3"/>
        <v>0</v>
      </c>
      <c r="G16" s="163">
        <f t="shared" si="3"/>
        <v>0</v>
      </c>
    </row>
    <row r="17" spans="1:8" ht="19.5" thickBot="1" x14ac:dyDescent="0.35">
      <c r="A17" s="143" t="s">
        <v>137</v>
      </c>
      <c r="B17" s="638">
        <f>C16+E16+G16</f>
        <v>0</v>
      </c>
      <c r="C17" s="639"/>
      <c r="D17" s="639"/>
      <c r="E17" s="639"/>
      <c r="F17" s="639"/>
      <c r="G17" s="640"/>
      <c r="H17" s="144">
        <f>B17*0.2</f>
        <v>0</v>
      </c>
    </row>
    <row r="18" spans="1:8" ht="21.75" thickBot="1" x14ac:dyDescent="0.4">
      <c r="A18" s="643" t="s">
        <v>96</v>
      </c>
      <c r="B18" s="644"/>
      <c r="C18" s="644"/>
      <c r="D18" s="644"/>
      <c r="E18" s="644"/>
      <c r="F18" s="645">
        <f>B17+H17</f>
        <v>0</v>
      </c>
      <c r="G18" s="646"/>
      <c r="H18" s="141"/>
    </row>
  </sheetData>
  <mergeCells count="9">
    <mergeCell ref="J4:K4"/>
    <mergeCell ref="A1:G1"/>
    <mergeCell ref="B17:G17"/>
    <mergeCell ref="A2:A3"/>
    <mergeCell ref="A18:E18"/>
    <mergeCell ref="F18:G18"/>
    <mergeCell ref="B2:C2"/>
    <mergeCell ref="D2:E2"/>
    <mergeCell ref="F2:G2"/>
  </mergeCells>
  <printOptions horizontalCentered="1" verticalCentered="1"/>
  <pageMargins left="0.75" right="0.25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27</vt:i4>
      </vt:variant>
    </vt:vector>
  </HeadingPairs>
  <TitlesOfParts>
    <vt:vector size="56" baseType="lpstr">
      <vt:lpstr>PRODUCTION SUMMARY 2019-APR (2)</vt:lpstr>
      <vt:lpstr>SUMMARY</vt:lpstr>
      <vt:lpstr>Province of Bohol</vt:lpstr>
      <vt:lpstr>December 2024 (Group)  </vt:lpstr>
      <vt:lpstr>December 2024</vt:lpstr>
      <vt:lpstr>November 2024 (Group) </vt:lpstr>
      <vt:lpstr>November 2024</vt:lpstr>
      <vt:lpstr>October 2024 (Group)  </vt:lpstr>
      <vt:lpstr>October 2024</vt:lpstr>
      <vt:lpstr>September 2024 (Group) </vt:lpstr>
      <vt:lpstr>September 2024</vt:lpstr>
      <vt:lpstr>August 2024 (Group)  </vt:lpstr>
      <vt:lpstr>August 2024  </vt:lpstr>
      <vt:lpstr>July 2024 (Group) </vt:lpstr>
      <vt:lpstr>July 2024 </vt:lpstr>
      <vt:lpstr>June 2024 (Group) </vt:lpstr>
      <vt:lpstr>June 2024</vt:lpstr>
      <vt:lpstr>May 2024 (Group)</vt:lpstr>
      <vt:lpstr>May 2024</vt:lpstr>
      <vt:lpstr>April 2024 (Group)</vt:lpstr>
      <vt:lpstr>April 2024</vt:lpstr>
      <vt:lpstr>March 2024 (group)</vt:lpstr>
      <vt:lpstr>March 2024</vt:lpstr>
      <vt:lpstr>February 2024 (Group) </vt:lpstr>
      <vt:lpstr>February 2024</vt:lpstr>
      <vt:lpstr>January 2024 (Group)</vt:lpstr>
      <vt:lpstr>January 2024</vt:lpstr>
      <vt:lpstr>PRODUCTION SUMMARY 2019-APR (2</vt:lpstr>
      <vt:lpstr>Region 7 Tilapia Production</vt:lpstr>
      <vt:lpstr>'April 2024'!Print_Area</vt:lpstr>
      <vt:lpstr>'April 2024 (Group)'!Print_Area</vt:lpstr>
      <vt:lpstr>'August 2024  '!Print_Area</vt:lpstr>
      <vt:lpstr>'August 2024 (Group)  '!Print_Area</vt:lpstr>
      <vt:lpstr>'December 2024'!Print_Area</vt:lpstr>
      <vt:lpstr>'December 2024 (Group)  '!Print_Area</vt:lpstr>
      <vt:lpstr>'February 2024'!Print_Area</vt:lpstr>
      <vt:lpstr>'February 2024 (Group) '!Print_Area</vt:lpstr>
      <vt:lpstr>'January 2024'!Print_Area</vt:lpstr>
      <vt:lpstr>'January 2024 (Group)'!Print_Area</vt:lpstr>
      <vt:lpstr>'July 2024 '!Print_Area</vt:lpstr>
      <vt:lpstr>'July 2024 (Group) '!Print_Area</vt:lpstr>
      <vt:lpstr>'June 2024'!Print_Area</vt:lpstr>
      <vt:lpstr>'June 2024 (Group) '!Print_Area</vt:lpstr>
      <vt:lpstr>'March 2024'!Print_Area</vt:lpstr>
      <vt:lpstr>'March 2024 (group)'!Print_Area</vt:lpstr>
      <vt:lpstr>'May 2024'!Print_Area</vt:lpstr>
      <vt:lpstr>'May 2024 (Group)'!Print_Area</vt:lpstr>
      <vt:lpstr>'November 2024'!Print_Area</vt:lpstr>
      <vt:lpstr>'November 2024 (Group) '!Print_Area</vt:lpstr>
      <vt:lpstr>'October 2024'!Print_Area</vt:lpstr>
      <vt:lpstr>'October 2024 (Group)  '!Print_Area</vt:lpstr>
      <vt:lpstr>'PRODUCTION SUMMARY 2019-APR (2'!Print_Area</vt:lpstr>
      <vt:lpstr>'PRODUCTION SUMMARY 2019-APR (2)'!Print_Area</vt:lpstr>
      <vt:lpstr>'September 2024'!Print_Area</vt:lpstr>
      <vt:lpstr>'September 2024 (Group) '!Print_Area</vt:lpstr>
      <vt:lpstr>SUMMARY!Print_Area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2025-06-23T03:38:13Z</dcterms:modified>
</cp:coreProperties>
</file>