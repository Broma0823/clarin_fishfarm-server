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defaultThemeVersion="124226"/>
  <xr:revisionPtr revIDLastSave="0" documentId="13_ncr:1_{B84925DD-DAA2-4AF1-890D-58D8D4B2F6CF}" xr6:coauthVersionLast="47" xr6:coauthVersionMax="47" xr10:uidLastSave="{00000000-0000-0000-0000-000000000000}"/>
  <bookViews>
    <workbookView xWindow="-120" yWindow="-120" windowWidth="29040" windowHeight="15720" firstSheet="18" activeTab="22" xr2:uid="{00000000-000D-0000-FFFF-FFFF00000000}"/>
  </bookViews>
  <sheets>
    <sheet name="SUMMARY" sheetId="23" r:id="rId1"/>
    <sheet name="PRODUCTION SUMMARY 2019-APR (2" sheetId="76" r:id="rId2"/>
    <sheet name="December 2022 (Group)" sheetId="88" r:id="rId3"/>
    <sheet name="December 2022" sheetId="87" r:id="rId4"/>
    <sheet name="November 2022 " sheetId="86" r:id="rId5"/>
    <sheet name="October 2022" sheetId="85" r:id="rId6"/>
    <sheet name="September 2022 (Group)" sheetId="84" r:id="rId7"/>
    <sheet name="September 2022" sheetId="82" r:id="rId8"/>
    <sheet name="August 2022 (Group) " sheetId="83" r:id="rId9"/>
    <sheet name="July 2022" sheetId="81" r:id="rId10"/>
    <sheet name="June 2022" sheetId="79" r:id="rId11"/>
    <sheet name="June 2022 (Group)" sheetId="80" r:id="rId12"/>
    <sheet name="May 2022" sheetId="78" r:id="rId13"/>
    <sheet name="May 2022 (Group)" sheetId="77" r:id="rId14"/>
    <sheet name="PRODUCTION SUMMARY 2019-APR25" sheetId="75" r:id="rId15"/>
    <sheet name="April 2022 " sheetId="74" r:id="rId16"/>
    <sheet name="April (Group) " sheetId="73" r:id="rId17"/>
    <sheet name="March 2022" sheetId="72" r:id="rId18"/>
    <sheet name="March (Group) " sheetId="70" r:id="rId19"/>
    <sheet name="February 2022" sheetId="49" r:id="rId20"/>
    <sheet name="February (Group)" sheetId="48" r:id="rId21"/>
    <sheet name="January 2022" sheetId="1" r:id="rId22"/>
    <sheet name="January (Group)" sheetId="2" r:id="rId23"/>
    <sheet name="Region 7 Tilapia Production" sheetId="25" r:id="rId24"/>
    <sheet name="Province of Bohol" sheetId="17" r:id="rId25"/>
  </sheets>
  <definedNames>
    <definedName name="_xlnm.Print_Area" localSheetId="16">'April (Group) '!$A$1:$M$34</definedName>
    <definedName name="_xlnm.Print_Area" localSheetId="15">'April 2022 '!$A$1:$U$132</definedName>
    <definedName name="_xlnm.Print_Area" localSheetId="8">'August 2022 (Group) '!$A$1:$M$30</definedName>
    <definedName name="_xlnm.Print_Area" localSheetId="3">'December 2022'!$A$1:$U$75</definedName>
    <definedName name="_xlnm.Print_Area" localSheetId="2">'December 2022 (Group)'!$A$1:$M$30</definedName>
    <definedName name="_xlnm.Print_Area" localSheetId="20">'February (Group)'!$A$1:$M$28</definedName>
    <definedName name="_xlnm.Print_Area" localSheetId="19">'February 2022'!$A$1:$X$86</definedName>
    <definedName name="_xlnm.Print_Area" localSheetId="22">'January (Group)'!$A$1:$M$30</definedName>
    <definedName name="_xlnm.Print_Area" localSheetId="21">'January 2022'!$A$1:$Y$47</definedName>
    <definedName name="_xlnm.Print_Area" localSheetId="9">'July 2022'!$A$1:$U$141</definedName>
    <definedName name="_xlnm.Print_Area" localSheetId="10">'June 2022'!$A$1:$U$141</definedName>
    <definedName name="_xlnm.Print_Area" localSheetId="11">'June 2022 (Group)'!$A$1:$M$30</definedName>
    <definedName name="_xlnm.Print_Area" localSheetId="18">'March (Group) '!$A$1:$L$33</definedName>
    <definedName name="_xlnm.Print_Area" localSheetId="17">'March 2022'!$A$1:$X$137</definedName>
    <definedName name="_xlnm.Print_Area" localSheetId="12">'May 2022'!$A$1:$U$141</definedName>
    <definedName name="_xlnm.Print_Area" localSheetId="13">'May 2022 (Group)'!$A$1:$M$30</definedName>
    <definedName name="_xlnm.Print_Area" localSheetId="4">'November 2022 '!$A$1:$U$75</definedName>
    <definedName name="_xlnm.Print_Area" localSheetId="5">'October 2022'!$A$1:$U$65</definedName>
    <definedName name="_xlnm.Print_Area" localSheetId="1">'PRODUCTION SUMMARY 2019-APR (2'!$A$1:$W$8</definedName>
    <definedName name="_xlnm.Print_Area" localSheetId="14">'PRODUCTION SUMMARY 2019-APR25'!$A$1:$W$8</definedName>
    <definedName name="_xlnm.Print_Area" localSheetId="7">'September 2022'!$A$1:$U$85</definedName>
    <definedName name="_xlnm.Print_Area" localSheetId="6">'September 2022 (Group)'!$A$1:$M$30</definedName>
    <definedName name="_xlnm.Print_Area" localSheetId="0">SUMMARY!$A$1:$U$54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23" l="1"/>
  <c r="M29" i="23" l="1"/>
  <c r="G29" i="23"/>
  <c r="D22" i="23"/>
  <c r="D23" i="23"/>
  <c r="D24" i="23"/>
  <c r="D25" i="23"/>
  <c r="D26" i="23"/>
  <c r="D27" i="23"/>
  <c r="D28" i="23"/>
  <c r="D29" i="23"/>
  <c r="P28" i="23" l="1"/>
  <c r="M28" i="23"/>
  <c r="G28" i="23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45" i="87" l="1"/>
  <c r="M26" i="23"/>
  <c r="M27" i="23"/>
  <c r="P27" i="23" l="1"/>
  <c r="M44" i="86"/>
  <c r="M41" i="86"/>
  <c r="M40" i="86"/>
  <c r="M39" i="86"/>
  <c r="M37" i="86"/>
  <c r="M36" i="86"/>
  <c r="M35" i="86"/>
  <c r="M34" i="86"/>
  <c r="M33" i="86"/>
  <c r="M32" i="86"/>
  <c r="P25" i="23" l="1"/>
  <c r="P26" i="23"/>
  <c r="M25" i="23"/>
  <c r="G26" i="23"/>
  <c r="M43" i="86" l="1"/>
  <c r="M42" i="86"/>
  <c r="M38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45" i="86" s="1"/>
  <c r="G25" i="23" l="1"/>
  <c r="M34" i="85" l="1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35" i="85" l="1"/>
  <c r="M23" i="23"/>
  <c r="M53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22" i="23" l="1"/>
  <c r="M54" i="82" l="1"/>
  <c r="M52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55" i="82" l="1"/>
  <c r="M110" i="81"/>
  <c r="M109" i="81"/>
  <c r="M108" i="81"/>
  <c r="M107" i="81"/>
  <c r="M106" i="81"/>
  <c r="M105" i="81"/>
  <c r="M104" i="81"/>
  <c r="M103" i="81"/>
  <c r="M102" i="81"/>
  <c r="M101" i="81"/>
  <c r="M100" i="81"/>
  <c r="M99" i="81"/>
  <c r="M98" i="81"/>
  <c r="M97" i="81"/>
  <c r="M96" i="81"/>
  <c r="M95" i="81"/>
  <c r="M94" i="81"/>
  <c r="M93" i="81"/>
  <c r="M92" i="81"/>
  <c r="M91" i="81"/>
  <c r="M90" i="81"/>
  <c r="M89" i="81"/>
  <c r="M88" i="81"/>
  <c r="M87" i="81"/>
  <c r="M86" i="81"/>
  <c r="M85" i="81"/>
  <c r="M84" i="81"/>
  <c r="M83" i="81"/>
  <c r="M82" i="81"/>
  <c r="M81" i="81"/>
  <c r="M80" i="81"/>
  <c r="M79" i="81"/>
  <c r="M78" i="81"/>
  <c r="M77" i="81"/>
  <c r="M76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P15" i="81"/>
  <c r="M15" i="81"/>
  <c r="M14" i="81"/>
  <c r="M13" i="81"/>
  <c r="M12" i="81"/>
  <c r="P7" i="81"/>
  <c r="P9" i="81" s="1"/>
  <c r="M111" i="81" l="1"/>
  <c r="P7" i="79"/>
  <c r="P9" i="79" s="1"/>
  <c r="P11" i="78"/>
  <c r="O13" i="74"/>
  <c r="O12" i="74"/>
  <c r="O14" i="74" s="1"/>
  <c r="Q6" i="72"/>
  <c r="Q8" i="72" s="1"/>
  <c r="L31" i="70"/>
  <c r="Q13" i="49"/>
  <c r="Q12" i="49"/>
  <c r="Q14" i="49" l="1"/>
  <c r="C46" i="23"/>
  <c r="B46" i="23"/>
  <c r="P15" i="79" l="1"/>
  <c r="C45" i="23" l="1"/>
  <c r="B45" i="23"/>
  <c r="M12" i="79" l="1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30" i="79"/>
  <c r="M31" i="79"/>
  <c r="M32" i="79"/>
  <c r="M33" i="79"/>
  <c r="M34" i="79"/>
  <c r="M35" i="79"/>
  <c r="M36" i="79"/>
  <c r="M37" i="79"/>
  <c r="M38" i="79"/>
  <c r="M39" i="79"/>
  <c r="M40" i="79"/>
  <c r="M41" i="79"/>
  <c r="M42" i="79"/>
  <c r="M43" i="79"/>
  <c r="M44" i="79"/>
  <c r="M45" i="79"/>
  <c r="M46" i="79"/>
  <c r="M47" i="79"/>
  <c r="M48" i="79"/>
  <c r="M49" i="79"/>
  <c r="M50" i="79"/>
  <c r="M51" i="79"/>
  <c r="M52" i="79"/>
  <c r="M53" i="79"/>
  <c r="M54" i="79"/>
  <c r="M55" i="79"/>
  <c r="M56" i="79"/>
  <c r="M57" i="79"/>
  <c r="M58" i="79"/>
  <c r="M59" i="79"/>
  <c r="M60" i="79"/>
  <c r="M61" i="79"/>
  <c r="M62" i="79"/>
  <c r="M63" i="79"/>
  <c r="M64" i="79"/>
  <c r="M65" i="79"/>
  <c r="M66" i="79"/>
  <c r="M67" i="79"/>
  <c r="M68" i="79"/>
  <c r="M69" i="79"/>
  <c r="M70" i="79"/>
  <c r="M71" i="79"/>
  <c r="M72" i="79"/>
  <c r="M73" i="79"/>
  <c r="M74" i="79"/>
  <c r="M75" i="79"/>
  <c r="M76" i="79"/>
  <c r="M77" i="79"/>
  <c r="M78" i="79"/>
  <c r="M79" i="79"/>
  <c r="M80" i="79"/>
  <c r="M81" i="79"/>
  <c r="M82" i="79"/>
  <c r="M83" i="79"/>
  <c r="M84" i="79"/>
  <c r="M85" i="79"/>
  <c r="M86" i="79"/>
  <c r="M87" i="79"/>
  <c r="M88" i="79"/>
  <c r="M89" i="79"/>
  <c r="M90" i="79"/>
  <c r="M91" i="79"/>
  <c r="M92" i="79"/>
  <c r="M93" i="79"/>
  <c r="M94" i="79"/>
  <c r="M95" i="79"/>
  <c r="M96" i="79"/>
  <c r="M97" i="79"/>
  <c r="M98" i="79"/>
  <c r="M99" i="79"/>
  <c r="M100" i="79"/>
  <c r="M101" i="79"/>
  <c r="M102" i="79"/>
  <c r="M103" i="79"/>
  <c r="M104" i="79"/>
  <c r="M105" i="79"/>
  <c r="M106" i="79"/>
  <c r="M107" i="79"/>
  <c r="M108" i="79"/>
  <c r="M109" i="79"/>
  <c r="M110" i="79"/>
  <c r="M111" i="79" l="1"/>
  <c r="I16" i="77" l="1"/>
  <c r="M42" i="23" l="1"/>
  <c r="M44" i="23" s="1"/>
  <c r="K42" i="23"/>
  <c r="K44" i="23" s="1"/>
  <c r="O44" i="23" l="1"/>
  <c r="M110" i="78"/>
  <c r="M108" i="78"/>
  <c r="M107" i="78"/>
  <c r="M106" i="78"/>
  <c r="M99" i="78"/>
  <c r="M98" i="78"/>
  <c r="M97" i="78"/>
  <c r="M96" i="78"/>
  <c r="M95" i="78"/>
  <c r="M94" i="78"/>
  <c r="M93" i="78"/>
  <c r="O45" i="23" l="1"/>
  <c r="O46" i="23" s="1"/>
  <c r="C44" i="23"/>
  <c r="B44" i="23"/>
  <c r="S16" i="23" l="1"/>
  <c r="S17" i="23"/>
  <c r="S18" i="23"/>
  <c r="S19" i="23"/>
  <c r="S20" i="23"/>
  <c r="S21" i="23"/>
  <c r="P16" i="23"/>
  <c r="P17" i="23"/>
  <c r="P18" i="23"/>
  <c r="P19" i="23"/>
  <c r="P20" i="23"/>
  <c r="P21" i="23"/>
  <c r="M16" i="23"/>
  <c r="M17" i="23"/>
  <c r="M18" i="23"/>
  <c r="M19" i="23"/>
  <c r="M20" i="23"/>
  <c r="M21" i="23"/>
  <c r="M24" i="23"/>
  <c r="J16" i="23"/>
  <c r="J17" i="23"/>
  <c r="J18" i="23"/>
  <c r="J19" i="23"/>
  <c r="J20" i="23"/>
  <c r="J21" i="23"/>
  <c r="G16" i="23"/>
  <c r="G17" i="23"/>
  <c r="G18" i="23"/>
  <c r="G19" i="23"/>
  <c r="G20" i="23"/>
  <c r="D16" i="23"/>
  <c r="D17" i="23"/>
  <c r="D18" i="23"/>
  <c r="D19" i="23"/>
  <c r="D20" i="23"/>
  <c r="D21" i="23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29" i="78"/>
  <c r="M30" i="78"/>
  <c r="M31" i="78"/>
  <c r="M32" i="78"/>
  <c r="M33" i="78"/>
  <c r="M34" i="78"/>
  <c r="M35" i="78"/>
  <c r="M36" i="78"/>
  <c r="M37" i="78"/>
  <c r="M38" i="78"/>
  <c r="M39" i="78"/>
  <c r="M40" i="78"/>
  <c r="M41" i="78"/>
  <c r="M42" i="78"/>
  <c r="M43" i="78"/>
  <c r="M44" i="78"/>
  <c r="M45" i="78"/>
  <c r="M46" i="78"/>
  <c r="M47" i="78"/>
  <c r="M48" i="78"/>
  <c r="M49" i="78"/>
  <c r="M50" i="78"/>
  <c r="M51" i="78"/>
  <c r="M52" i="78"/>
  <c r="M53" i="78"/>
  <c r="M54" i="78"/>
  <c r="M55" i="78"/>
  <c r="M56" i="78"/>
  <c r="M57" i="78"/>
  <c r="M58" i="78"/>
  <c r="M59" i="78"/>
  <c r="M60" i="78"/>
  <c r="M61" i="78"/>
  <c r="M62" i="78"/>
  <c r="M63" i="78"/>
  <c r="M64" i="78"/>
  <c r="M65" i="78"/>
  <c r="M66" i="78"/>
  <c r="M67" i="78"/>
  <c r="M68" i="78"/>
  <c r="M69" i="78"/>
  <c r="M70" i="78"/>
  <c r="M71" i="78"/>
  <c r="M72" i="78"/>
  <c r="M73" i="78"/>
  <c r="M74" i="78"/>
  <c r="M75" i="78"/>
  <c r="M76" i="78"/>
  <c r="M77" i="78"/>
  <c r="M78" i="78"/>
  <c r="M79" i="78"/>
  <c r="M80" i="78"/>
  <c r="M81" i="78"/>
  <c r="M82" i="78"/>
  <c r="M83" i="78"/>
  <c r="M84" i="78"/>
  <c r="M85" i="78"/>
  <c r="M86" i="78"/>
  <c r="M87" i="78"/>
  <c r="M88" i="78"/>
  <c r="M89" i="78"/>
  <c r="M90" i="78"/>
  <c r="M91" i="78"/>
  <c r="M92" i="78"/>
  <c r="M100" i="78"/>
  <c r="M101" i="78"/>
  <c r="M102" i="78"/>
  <c r="M103" i="78"/>
  <c r="M104" i="78"/>
  <c r="M105" i="78"/>
  <c r="M109" i="78"/>
  <c r="M111" i="78" l="1"/>
  <c r="Q13" i="76"/>
  <c r="Q7" i="76" s="1"/>
  <c r="T8" i="76"/>
  <c r="U14" i="76" s="1"/>
  <c r="P8" i="76"/>
  <c r="Q14" i="76" s="1"/>
  <c r="Q8" i="76" s="1"/>
  <c r="L8" i="76"/>
  <c r="M14" i="76" s="1"/>
  <c r="H8" i="76"/>
  <c r="I14" i="76" s="1"/>
  <c r="I8" i="76" s="1"/>
  <c r="D8" i="76"/>
  <c r="E14" i="76" s="1"/>
  <c r="T7" i="76"/>
  <c r="U13" i="76" s="1"/>
  <c r="U7" i="76" s="1"/>
  <c r="L7" i="76"/>
  <c r="M13" i="76" s="1"/>
  <c r="M7" i="76" s="1"/>
  <c r="H7" i="76"/>
  <c r="I13" i="76" s="1"/>
  <c r="D7" i="76"/>
  <c r="E13" i="76" s="1"/>
  <c r="E7" i="76" s="1"/>
  <c r="T6" i="76"/>
  <c r="P6" i="76"/>
  <c r="Q12" i="76" s="1"/>
  <c r="Q6" i="76" s="1"/>
  <c r="L6" i="76"/>
  <c r="M12" i="76" s="1"/>
  <c r="H6" i="76"/>
  <c r="I12" i="76" s="1"/>
  <c r="I6" i="76" s="1"/>
  <c r="D6" i="76"/>
  <c r="E12" i="76" s="1"/>
  <c r="T5" i="76"/>
  <c r="U11" i="76" s="1"/>
  <c r="U5" i="76" s="1"/>
  <c r="P5" i="76"/>
  <c r="Q11" i="76" s="1"/>
  <c r="L5" i="76"/>
  <c r="M11" i="76" s="1"/>
  <c r="M5" i="76" s="1"/>
  <c r="H5" i="76"/>
  <c r="D5" i="76"/>
  <c r="E11" i="76" s="1"/>
  <c r="E5" i="76" s="1"/>
  <c r="T6" i="75"/>
  <c r="T7" i="75"/>
  <c r="T8" i="75"/>
  <c r="T5" i="75"/>
  <c r="U11" i="75" s="1"/>
  <c r="P6" i="75"/>
  <c r="Q12" i="75" s="1"/>
  <c r="P7" i="75"/>
  <c r="Q13" i="75" s="1"/>
  <c r="P8" i="75"/>
  <c r="Q14" i="75" s="1"/>
  <c r="P5" i="75"/>
  <c r="L6" i="75"/>
  <c r="L7" i="75"/>
  <c r="L8" i="75"/>
  <c r="M14" i="75" s="1"/>
  <c r="M8" i="75" s="1"/>
  <c r="L5" i="75"/>
  <c r="H6" i="75"/>
  <c r="I12" i="75" s="1"/>
  <c r="H7" i="75"/>
  <c r="I13" i="75" s="1"/>
  <c r="I7" i="75" s="1"/>
  <c r="H8" i="75"/>
  <c r="H5" i="75"/>
  <c r="D6" i="75"/>
  <c r="E12" i="75" s="1"/>
  <c r="D7" i="75"/>
  <c r="D8" i="75"/>
  <c r="D5" i="75"/>
  <c r="I5" i="76" l="1"/>
  <c r="I11" i="76"/>
  <c r="E6" i="76"/>
  <c r="U12" i="76"/>
  <c r="U6" i="76" s="1"/>
  <c r="M8" i="76"/>
  <c r="Q5" i="76"/>
  <c r="M6" i="76"/>
  <c r="I7" i="76"/>
  <c r="E8" i="76"/>
  <c r="U8" i="76"/>
  <c r="Q11" i="75"/>
  <c r="Q5" i="75" s="1"/>
  <c r="U12" i="75"/>
  <c r="U6" i="75" s="1"/>
  <c r="E6" i="75"/>
  <c r="I11" i="75"/>
  <c r="I5" i="75" s="1"/>
  <c r="I6" i="75"/>
  <c r="M13" i="75"/>
  <c r="M7" i="75" s="1"/>
  <c r="Q7" i="75"/>
  <c r="U5" i="75"/>
  <c r="Q8" i="75"/>
  <c r="E11" i="75"/>
  <c r="E5" i="75" s="1"/>
  <c r="E14" i="75"/>
  <c r="E8" i="75" s="1"/>
  <c r="I14" i="75"/>
  <c r="I8" i="75" s="1"/>
  <c r="M11" i="75"/>
  <c r="M5" i="75" s="1"/>
  <c r="M12" i="75"/>
  <c r="M6" i="75" s="1"/>
  <c r="Q6" i="75"/>
  <c r="U14" i="75"/>
  <c r="U8" i="75" s="1"/>
  <c r="E13" i="75"/>
  <c r="E7" i="75" s="1"/>
  <c r="U13" i="75"/>
  <c r="U7" i="75" s="1"/>
  <c r="Q89" i="74"/>
  <c r="R45" i="74" l="1"/>
  <c r="R48" i="74" s="1"/>
  <c r="R46" i="74" l="1"/>
  <c r="D44" i="23"/>
  <c r="E44" i="23" s="1"/>
  <c r="D45" i="23"/>
  <c r="E45" i="23" s="1"/>
  <c r="F45" i="23" s="1"/>
  <c r="D46" i="23"/>
  <c r="D47" i="23"/>
  <c r="D48" i="23"/>
  <c r="D49" i="23"/>
  <c r="D50" i="23"/>
  <c r="E50" i="23" s="1"/>
  <c r="D51" i="23"/>
  <c r="D52" i="23"/>
  <c r="C43" i="23"/>
  <c r="B43" i="23"/>
  <c r="D43" i="23" s="1"/>
  <c r="C42" i="23"/>
  <c r="B42" i="23"/>
  <c r="E51" i="23" l="1"/>
  <c r="F51" i="23" s="1"/>
  <c r="E47" i="23"/>
  <c r="F47" i="23" s="1"/>
  <c r="B53" i="23"/>
  <c r="C53" i="23"/>
  <c r="D42" i="23"/>
  <c r="D53" i="23" s="1"/>
  <c r="E43" i="23"/>
  <c r="F43" i="23" s="1"/>
  <c r="E49" i="23"/>
  <c r="F49" i="23" s="1"/>
  <c r="E52" i="23"/>
  <c r="F52" i="23" s="1"/>
  <c r="E48" i="23"/>
  <c r="F48" i="23" s="1"/>
  <c r="F50" i="23"/>
  <c r="E46" i="23"/>
  <c r="F46" i="23" s="1"/>
  <c r="F44" i="23"/>
  <c r="M99" i="74"/>
  <c r="M98" i="74"/>
  <c r="M97" i="74"/>
  <c r="M96" i="74"/>
  <c r="M95" i="74"/>
  <c r="M94" i="74"/>
  <c r="M93" i="74"/>
  <c r="M92" i="74"/>
  <c r="M91" i="74"/>
  <c r="M90" i="74"/>
  <c r="M89" i="74"/>
  <c r="M88" i="74"/>
  <c r="M87" i="74"/>
  <c r="M86" i="74"/>
  <c r="M85" i="74"/>
  <c r="M84" i="74"/>
  <c r="M83" i="74"/>
  <c r="M82" i="74"/>
  <c r="M81" i="74"/>
  <c r="M80" i="74"/>
  <c r="M79" i="74"/>
  <c r="M78" i="74"/>
  <c r="M77" i="74"/>
  <c r="M76" i="74"/>
  <c r="M75" i="74"/>
  <c r="M74" i="74"/>
  <c r="M73" i="74"/>
  <c r="M72" i="74"/>
  <c r="M71" i="74"/>
  <c r="M70" i="74"/>
  <c r="M69" i="74"/>
  <c r="M68" i="74"/>
  <c r="M67" i="74"/>
  <c r="M66" i="74"/>
  <c r="M65" i="74"/>
  <c r="M64" i="74"/>
  <c r="M63" i="74"/>
  <c r="M62" i="74"/>
  <c r="M61" i="74"/>
  <c r="M60" i="74"/>
  <c r="M59" i="74"/>
  <c r="M58" i="74"/>
  <c r="M57" i="74"/>
  <c r="M56" i="74"/>
  <c r="M55" i="74"/>
  <c r="M54" i="74"/>
  <c r="M53" i="74"/>
  <c r="M52" i="74"/>
  <c r="M51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E42" i="23" l="1"/>
  <c r="E53" i="23" s="1"/>
  <c r="F42" i="23"/>
  <c r="F53" i="23" s="1"/>
  <c r="M101" i="74"/>
  <c r="M104" i="72"/>
  <c r="M103" i="72"/>
  <c r="M102" i="72"/>
  <c r="M101" i="72"/>
  <c r="M100" i="72"/>
  <c r="M99" i="72"/>
  <c r="M98" i="72" l="1"/>
  <c r="M97" i="72"/>
  <c r="M96" i="72"/>
  <c r="M95" i="72"/>
  <c r="M94" i="72"/>
  <c r="M93" i="72"/>
  <c r="M92" i="72"/>
  <c r="M91" i="72"/>
  <c r="M90" i="72"/>
  <c r="M89" i="72"/>
  <c r="M88" i="72"/>
  <c r="M87" i="72"/>
  <c r="M86" i="72"/>
  <c r="M85" i="72"/>
  <c r="M84" i="72"/>
  <c r="M83" i="72"/>
  <c r="M82" i="72"/>
  <c r="M81" i="72"/>
  <c r="M80" i="72"/>
  <c r="D8" i="23" l="1"/>
  <c r="M79" i="72" l="1"/>
  <c r="M78" i="72"/>
  <c r="M77" i="72"/>
  <c r="M76" i="72"/>
  <c r="M75" i="72"/>
  <c r="M74" i="72"/>
  <c r="M73" i="72"/>
  <c r="M72" i="72"/>
  <c r="M71" i="72"/>
  <c r="M70" i="72"/>
  <c r="M69" i="72"/>
  <c r="M68" i="72"/>
  <c r="M67" i="72"/>
  <c r="M66" i="72"/>
  <c r="M65" i="72"/>
  <c r="M64" i="72"/>
  <c r="M63" i="72"/>
  <c r="M62" i="72"/>
  <c r="M61" i="72"/>
  <c r="M60" i="72"/>
  <c r="M59" i="72"/>
  <c r="M58" i="72"/>
  <c r="M57" i="72"/>
  <c r="M56" i="72"/>
  <c r="M55" i="72"/>
  <c r="M54" i="72"/>
  <c r="M53" i="72"/>
  <c r="M12" i="72" l="1"/>
  <c r="M52" i="72"/>
  <c r="M51" i="72"/>
  <c r="M50" i="72"/>
  <c r="M49" i="72"/>
  <c r="M48" i="72"/>
  <c r="M47" i="72"/>
  <c r="M46" i="72"/>
  <c r="M45" i="72"/>
  <c r="M44" i="72"/>
  <c r="M43" i="72"/>
  <c r="M42" i="72"/>
  <c r="M41" i="72"/>
  <c r="M40" i="72"/>
  <c r="M39" i="72"/>
  <c r="M38" i="72"/>
  <c r="M37" i="72"/>
  <c r="M36" i="72"/>
  <c r="P35" i="72"/>
  <c r="M35" i="72"/>
  <c r="P34" i="72"/>
  <c r="M34" i="72"/>
  <c r="M33" i="72"/>
  <c r="M32" i="72"/>
  <c r="M31" i="72"/>
  <c r="M30" i="72"/>
  <c r="M29" i="72"/>
  <c r="M28" i="72"/>
  <c r="M27" i="72"/>
  <c r="M26" i="72"/>
  <c r="M25" i="72"/>
  <c r="M24" i="72"/>
  <c r="M23" i="72"/>
  <c r="M22" i="72"/>
  <c r="M21" i="72"/>
  <c r="M20" i="72"/>
  <c r="M19" i="72"/>
  <c r="M18" i="72"/>
  <c r="M17" i="72"/>
  <c r="M16" i="72"/>
  <c r="M15" i="72"/>
  <c r="M14" i="72"/>
  <c r="M13" i="72"/>
  <c r="P36" i="72" l="1"/>
  <c r="P37" i="72" s="1"/>
  <c r="P38" i="72" s="1"/>
  <c r="P38" i="49"/>
  <c r="P37" i="49"/>
  <c r="P39" i="49" s="1"/>
  <c r="M55" i="49"/>
  <c r="M54" i="49"/>
  <c r="M53" i="49"/>
  <c r="M52" i="49"/>
  <c r="M51" i="49"/>
  <c r="M50" i="49"/>
  <c r="M49" i="49"/>
  <c r="P40" i="49" l="1"/>
  <c r="P41" i="49" s="1"/>
  <c r="M31" i="49"/>
  <c r="M48" i="49" l="1"/>
  <c r="M47" i="49"/>
  <c r="M46" i="49"/>
  <c r="M45" i="49"/>
  <c r="M44" i="49"/>
  <c r="M43" i="49"/>
  <c r="M39" i="49"/>
  <c r="M40" i="49"/>
  <c r="M41" i="49"/>
  <c r="M42" i="49"/>
  <c r="M38" i="49"/>
  <c r="M37" i="49"/>
  <c r="M36" i="49"/>
  <c r="M35" i="49"/>
  <c r="M30" i="49" l="1"/>
  <c r="M13" i="49"/>
  <c r="M14" i="49"/>
  <c r="M15" i="49"/>
  <c r="M16" i="49"/>
  <c r="M17" i="49"/>
  <c r="M18" i="49"/>
  <c r="M19" i="49"/>
  <c r="M20" i="49"/>
  <c r="M21" i="49"/>
  <c r="M22" i="49"/>
  <c r="M23" i="49"/>
  <c r="M24" i="49"/>
  <c r="M25" i="49"/>
  <c r="M26" i="49"/>
  <c r="M27" i="49"/>
  <c r="M28" i="49"/>
  <c r="M29" i="49"/>
  <c r="M32" i="49"/>
  <c r="M33" i="49"/>
  <c r="M34" i="49"/>
  <c r="M12" i="49"/>
  <c r="G6" i="25" l="1"/>
  <c r="G7" i="25"/>
  <c r="G8" i="25"/>
  <c r="G9" i="25"/>
  <c r="G10" i="25"/>
  <c r="G11" i="25"/>
  <c r="G12" i="25"/>
  <c r="G13" i="25"/>
  <c r="G14" i="25"/>
  <c r="G15" i="25"/>
  <c r="G5" i="25"/>
  <c r="G4" i="25"/>
  <c r="E6" i="25"/>
  <c r="E7" i="25"/>
  <c r="E8" i="25"/>
  <c r="E9" i="25"/>
  <c r="E10" i="25"/>
  <c r="E11" i="25"/>
  <c r="E12" i="25"/>
  <c r="E13" i="25"/>
  <c r="E14" i="25"/>
  <c r="E15" i="25"/>
  <c r="E5" i="25"/>
  <c r="E4" i="25"/>
  <c r="C5" i="25"/>
  <c r="C6" i="25"/>
  <c r="C7" i="25"/>
  <c r="C8" i="25"/>
  <c r="C9" i="25"/>
  <c r="C10" i="25"/>
  <c r="C11" i="25"/>
  <c r="C12" i="25"/>
  <c r="C13" i="25"/>
  <c r="C14" i="25"/>
  <c r="C15" i="25"/>
  <c r="C4" i="25"/>
  <c r="S6" i="23" l="1"/>
  <c r="S7" i="23"/>
  <c r="S8" i="23"/>
  <c r="S9" i="23"/>
  <c r="S10" i="23"/>
  <c r="S11" i="23"/>
  <c r="S12" i="23"/>
  <c r="S13" i="23"/>
  <c r="S14" i="23"/>
  <c r="S15" i="23"/>
  <c r="S24" i="23"/>
  <c r="S31" i="23"/>
  <c r="S5" i="23"/>
  <c r="S32" i="23" l="1"/>
  <c r="Q34" i="23" s="1"/>
  <c r="Q35" i="23" s="1"/>
  <c r="P6" i="23" l="1"/>
  <c r="P7" i="23"/>
  <c r="P8" i="23"/>
  <c r="P9" i="23"/>
  <c r="P10" i="23"/>
  <c r="P11" i="23"/>
  <c r="P12" i="23"/>
  <c r="P13" i="23"/>
  <c r="P14" i="23"/>
  <c r="P15" i="23"/>
  <c r="P24" i="23"/>
  <c r="P31" i="23"/>
  <c r="M6" i="23"/>
  <c r="M7" i="23"/>
  <c r="M8" i="23"/>
  <c r="M9" i="23"/>
  <c r="M10" i="23"/>
  <c r="M11" i="23"/>
  <c r="M12" i="23"/>
  <c r="M13" i="23"/>
  <c r="M14" i="23"/>
  <c r="M15" i="23"/>
  <c r="M31" i="23"/>
  <c r="J6" i="23"/>
  <c r="J7" i="23"/>
  <c r="J8" i="23"/>
  <c r="J9" i="23"/>
  <c r="J10" i="23"/>
  <c r="J11" i="23"/>
  <c r="J12" i="23"/>
  <c r="J13" i="23"/>
  <c r="J14" i="23"/>
  <c r="J15" i="23"/>
  <c r="J24" i="23"/>
  <c r="J31" i="23"/>
  <c r="G6" i="23"/>
  <c r="G7" i="23"/>
  <c r="G8" i="23"/>
  <c r="G9" i="23"/>
  <c r="G10" i="23"/>
  <c r="G11" i="23"/>
  <c r="G12" i="23"/>
  <c r="G13" i="23"/>
  <c r="G14" i="23"/>
  <c r="G15" i="23"/>
  <c r="G21" i="23"/>
  <c r="G24" i="23"/>
  <c r="G31" i="23"/>
  <c r="D6" i="23"/>
  <c r="D7" i="23"/>
  <c r="D10" i="23"/>
  <c r="D11" i="23"/>
  <c r="D12" i="23"/>
  <c r="D13" i="23"/>
  <c r="D14" i="23"/>
  <c r="D15" i="23"/>
  <c r="O42" i="23" s="1"/>
  <c r="D31" i="23"/>
  <c r="P5" i="23"/>
  <c r="M5" i="23"/>
  <c r="G5" i="23"/>
  <c r="J5" i="23"/>
  <c r="D5" i="23"/>
  <c r="P42" i="23" l="1"/>
  <c r="Q42" i="23" s="1"/>
  <c r="O32" i="23"/>
  <c r="N32" i="23"/>
  <c r="F16" i="25" l="1"/>
  <c r="D16" i="25"/>
  <c r="B16" i="25"/>
  <c r="B32" i="23" l="1"/>
  <c r="C32" i="23"/>
  <c r="E32" i="23"/>
  <c r="F32" i="23"/>
  <c r="H32" i="23"/>
  <c r="I32" i="23"/>
  <c r="K32" i="23"/>
  <c r="L32" i="23"/>
  <c r="J32" i="23" l="1"/>
  <c r="H33" i="23" s="1"/>
  <c r="H34" i="23" s="1"/>
  <c r="H35" i="23" s="1"/>
  <c r="D32" i="23"/>
  <c r="A33" i="23" s="1"/>
  <c r="D34" i="23" s="1"/>
  <c r="D35" i="23" s="1"/>
  <c r="M32" i="23"/>
  <c r="K33" i="23" s="1"/>
  <c r="K34" i="23" s="1"/>
  <c r="K35" i="23" s="1"/>
  <c r="G16" i="25" l="1"/>
  <c r="E16" i="25"/>
  <c r="P32" i="23" l="1"/>
  <c r="N33" i="23" l="1"/>
  <c r="N34" i="23" s="1"/>
  <c r="N35" i="23" s="1"/>
  <c r="C16" i="25"/>
  <c r="B17" i="25" s="1"/>
  <c r="H17" i="25" l="1"/>
  <c r="F18" i="25" s="1"/>
  <c r="G32" i="23"/>
  <c r="E33" i="23" l="1"/>
  <c r="E34" i="23" s="1"/>
  <c r="E35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DISPERSAL</t>
        </r>
      </text>
    </comment>
    <comment ref="D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+20%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Fingerlings were released on March 23, 2022 prior to Tilapia Lake Virus tests and results.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Recorded on this date since payment was just made on this date also. </t>
        </r>
      </text>
    </comment>
    <comment ref="A3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BFAR7-CFFF: last data submitted for COS accomplishment and Bi-montly report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 xml:space="preserve">20%
</t>
        </r>
      </text>
    </comment>
  </commentList>
</comments>
</file>

<file path=xl/sharedStrings.xml><?xml version="1.0" encoding="utf-8"?>
<sst xmlns="http://schemas.openxmlformats.org/spreadsheetml/2006/main" count="4864" uniqueCount="1216">
  <si>
    <t xml:space="preserve">                      FORMAT LIST OF ACTUAL BENEFICIARIES</t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</si>
  <si>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</si>
  <si>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</si>
  <si>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</si>
  <si>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</si>
  <si>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</si>
  <si>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</si>
  <si>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</si>
  <si>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</si>
  <si>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</si>
  <si>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</si>
  <si>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</si>
  <si>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</si>
  <si>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</si>
  <si>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</si>
  <si>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</si>
  <si>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</si>
  <si>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DATE</t>
  </si>
  <si>
    <t>Total</t>
  </si>
  <si>
    <t>SUMMARY:</t>
  </si>
  <si>
    <t>Prepared and Submitted by:</t>
  </si>
  <si>
    <t>Noted by:</t>
  </si>
  <si>
    <t>MARIO N. RUINATA, Ph. D.</t>
  </si>
  <si>
    <t>Total area (sq.m)</t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</si>
  <si>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</si>
  <si>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</si>
  <si>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</si>
  <si>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</si>
  <si>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</si>
  <si>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</si>
  <si>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</si>
  <si>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</si>
  <si>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</si>
  <si>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</si>
  <si>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</si>
  <si>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</si>
  <si>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</si>
  <si>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r>
      <t>Male:</t>
    </r>
    <r>
      <rPr>
        <u/>
        <sz val="10"/>
        <rFont val="Arial"/>
        <family val="2"/>
      </rPr>
      <t xml:space="preserve">  </t>
    </r>
  </si>
  <si>
    <r>
      <t>Female:</t>
    </r>
    <r>
      <rPr>
        <u/>
        <sz val="10"/>
        <rFont val="Arial"/>
        <family val="2"/>
      </rPr>
      <t xml:space="preserve">  </t>
    </r>
  </si>
  <si>
    <r>
      <t>Others:(S.C./PWD)</t>
    </r>
    <r>
      <rPr>
        <u/>
        <sz val="10"/>
        <rFont val="Arial"/>
        <family val="2"/>
      </rPr>
      <t xml:space="preserve"> </t>
    </r>
  </si>
  <si>
    <t>Male</t>
  </si>
  <si>
    <t>Anda</t>
  </si>
  <si>
    <t>Excel</t>
  </si>
  <si>
    <t>pond</t>
  </si>
  <si>
    <t>satisfied</t>
  </si>
  <si>
    <t>Carmen</t>
  </si>
  <si>
    <t>Clarin</t>
  </si>
  <si>
    <t>Bilar</t>
  </si>
  <si>
    <t>Danao</t>
  </si>
  <si>
    <t>Villaflor</t>
  </si>
  <si>
    <t>Female</t>
  </si>
  <si>
    <t>Batuan</t>
  </si>
  <si>
    <t>Nabuad</t>
  </si>
  <si>
    <t>Inabanga</t>
  </si>
  <si>
    <t>Calape</t>
  </si>
  <si>
    <t>Catigbian</t>
  </si>
  <si>
    <t>Trinidad</t>
  </si>
  <si>
    <t>Bien Unido</t>
  </si>
  <si>
    <t>Loboc</t>
  </si>
  <si>
    <t>San Roque</t>
  </si>
  <si>
    <t>Talibon</t>
  </si>
  <si>
    <t>Sagbayan</t>
  </si>
  <si>
    <t>Balilihan</t>
  </si>
  <si>
    <t>Tubigon</t>
  </si>
  <si>
    <t>Dagohoy</t>
  </si>
  <si>
    <t>Buenavista</t>
  </si>
  <si>
    <t>Ubay</t>
  </si>
  <si>
    <t>San Isidro</t>
  </si>
  <si>
    <t>San Agustin</t>
  </si>
  <si>
    <t>Sierra Bullones</t>
  </si>
  <si>
    <t>Tagbilaran City</t>
  </si>
  <si>
    <t>Katipunan</t>
  </si>
  <si>
    <t>Alicia</t>
  </si>
  <si>
    <t>San Miguel</t>
  </si>
  <si>
    <t>Sikatuna</t>
  </si>
  <si>
    <t>Valencia</t>
  </si>
  <si>
    <t>Ubujan</t>
  </si>
  <si>
    <t>dispersal</t>
  </si>
  <si>
    <t>San Vicente</t>
  </si>
  <si>
    <t>Buangan</t>
  </si>
  <si>
    <t>Loon</t>
  </si>
  <si>
    <t>Candijay</t>
  </si>
  <si>
    <t>Pilar</t>
  </si>
  <si>
    <t>Corella</t>
  </si>
  <si>
    <t>Buenos Aires</t>
  </si>
  <si>
    <t>Poblacion Sur</t>
  </si>
  <si>
    <t>Dauis</t>
  </si>
  <si>
    <t>Bogtongbod</t>
  </si>
  <si>
    <t>Getafe</t>
  </si>
  <si>
    <t>Nueva Fuerza</t>
  </si>
  <si>
    <t>Cortes</t>
  </si>
  <si>
    <t>Caboy</t>
  </si>
  <si>
    <t>Maribojoc</t>
  </si>
  <si>
    <t>Guindulman</t>
  </si>
  <si>
    <t>Jagna</t>
  </si>
  <si>
    <t>Rizal</t>
  </si>
  <si>
    <t>Lila</t>
  </si>
  <si>
    <t>Loay</t>
  </si>
  <si>
    <t>GAYMELO Y. LOPEZ</t>
  </si>
  <si>
    <t>Antequera</t>
  </si>
  <si>
    <t>Sevilla</t>
  </si>
  <si>
    <t>Garcia Hernandez</t>
  </si>
  <si>
    <t>Libertad</t>
  </si>
  <si>
    <t>Baclayon</t>
  </si>
  <si>
    <t>Panglao</t>
  </si>
  <si>
    <t>Duero</t>
  </si>
  <si>
    <t>Alburquerque</t>
  </si>
  <si>
    <t>Mabini</t>
  </si>
  <si>
    <r>
      <t xml:space="preserve">  Brackishwater:</t>
    </r>
    <r>
      <rPr>
        <u/>
        <sz val="9"/>
        <rFont val="Arial"/>
        <family val="2"/>
      </rPr>
      <t xml:space="preserve"> </t>
    </r>
  </si>
  <si>
    <t>Capayas</t>
  </si>
  <si>
    <t>Dimiao</t>
  </si>
  <si>
    <t xml:space="preserve">Male: </t>
  </si>
  <si>
    <t>President Garcia</t>
  </si>
  <si>
    <t>Ulang</t>
  </si>
  <si>
    <t>Female:</t>
  </si>
  <si>
    <t>Aqua II/Center Chief</t>
  </si>
  <si>
    <t>Dispersed</t>
  </si>
  <si>
    <t>Sold</t>
  </si>
  <si>
    <t>ULANG</t>
  </si>
  <si>
    <t>TILAPIA</t>
  </si>
  <si>
    <t>TOTAL</t>
  </si>
  <si>
    <t>ORNAMENTAL</t>
  </si>
  <si>
    <t>Date</t>
  </si>
  <si>
    <t>Koi</t>
  </si>
  <si>
    <t>Sword</t>
  </si>
  <si>
    <t>JANUARY</t>
  </si>
  <si>
    <t>FEBRUARY</t>
  </si>
  <si>
    <t>MARCH</t>
  </si>
  <si>
    <t>APRIL</t>
  </si>
  <si>
    <t>MAY</t>
  </si>
  <si>
    <t>JUNE</t>
  </si>
  <si>
    <t>HITO</t>
  </si>
  <si>
    <t>TOTAL Produced</t>
  </si>
  <si>
    <t>Freshwater:</t>
  </si>
  <si>
    <t xml:space="preserve">Brackishwater: </t>
  </si>
  <si>
    <t xml:space="preserve">Freshwater Prawn: </t>
  </si>
  <si>
    <t xml:space="preserve">Direct Client: </t>
  </si>
  <si>
    <t xml:space="preserve">Coordinating Office: </t>
  </si>
  <si>
    <t xml:space="preserve">C. Carp: </t>
  </si>
  <si>
    <t xml:space="preserve">Ornamental Fish: </t>
  </si>
  <si>
    <t>4,460 pcs.</t>
  </si>
  <si>
    <t>1,099 pcs.</t>
  </si>
  <si>
    <r>
      <t>Ornamental Fish:</t>
    </r>
    <r>
      <rPr>
        <u/>
        <sz val="9"/>
        <rFont val="Arial"/>
        <family val="2"/>
      </rPr>
      <t xml:space="preserve"> </t>
    </r>
  </si>
  <si>
    <t>Catfish</t>
  </si>
  <si>
    <t>Freshwater Prawn:</t>
  </si>
  <si>
    <t xml:space="preserve">  Freshwater:</t>
  </si>
  <si>
    <t>a. Groups</t>
  </si>
  <si>
    <t>a. Individuals</t>
  </si>
  <si>
    <t>CFFF, Clarin</t>
  </si>
  <si>
    <t>LDFF, Camotes</t>
  </si>
  <si>
    <r>
      <t>1</t>
    </r>
    <r>
      <rPr>
        <b/>
        <vertAlign val="superscript"/>
        <sz val="13"/>
        <color theme="1"/>
        <rFont val="Calibri"/>
        <family val="2"/>
        <scheme val="minor"/>
      </rPr>
      <t>st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</si>
  <si>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2</t>
    </r>
    <r>
      <rPr>
        <b/>
        <vertAlign val="superscript"/>
        <sz val="13"/>
        <color theme="1"/>
        <rFont val="Calibri"/>
        <family val="2"/>
        <scheme val="minor"/>
      </rPr>
      <t>nd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</si>
  <si>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3</t>
    </r>
    <r>
      <rPr>
        <b/>
        <vertAlign val="superscript"/>
        <sz val="13"/>
        <color theme="1"/>
        <rFont val="Calibri"/>
        <family val="2"/>
        <scheme val="minor"/>
      </rPr>
      <t>rd</t>
    </r>
    <r>
      <rPr>
        <b/>
        <sz val="13"/>
        <color theme="1"/>
        <rFont val="Calibri"/>
        <family val="2"/>
        <scheme val="minor"/>
      </rPr>
      <t xml:space="preserve"> DISTRICT</t>
    </r>
  </si>
  <si>
    <t>DISTRIBUTED</t>
  </si>
  <si>
    <t>PRODUCED</t>
  </si>
  <si>
    <t>JULY</t>
  </si>
  <si>
    <t>AUGUST</t>
  </si>
  <si>
    <t>SEPTEMBER</t>
  </si>
  <si>
    <t>OCTOBER</t>
  </si>
  <si>
    <t>NOVEMBER</t>
  </si>
  <si>
    <t>DECEMBER</t>
  </si>
  <si>
    <t>UBFF - Ubay</t>
  </si>
  <si>
    <t>COMMON CARP</t>
  </si>
  <si>
    <t>Research, Development &amp; Extension Coordinating Office</t>
  </si>
  <si>
    <t>788,150 pcs.</t>
  </si>
  <si>
    <t>42,800 pcs.</t>
  </si>
  <si>
    <t>% Accomp</t>
  </si>
  <si>
    <t>MONTH</t>
  </si>
  <si>
    <t>Bacani</t>
  </si>
  <si>
    <r>
      <t xml:space="preserve">Total No. Of Beneficiaries: </t>
    </r>
    <r>
      <rPr>
        <b/>
        <u/>
        <sz val="10"/>
        <color rgb="FFFF0000"/>
        <rFont val="Arial"/>
        <family val="2"/>
      </rPr>
      <t>287</t>
    </r>
  </si>
  <si>
    <r>
      <t xml:space="preserve">Others:(S.C./PWD): </t>
    </r>
    <r>
      <rPr>
        <b/>
        <u/>
        <sz val="10"/>
        <color rgb="FFFF0000"/>
        <rFont val="Arial"/>
        <family val="2"/>
      </rPr>
      <t>38</t>
    </r>
  </si>
  <si>
    <t>Dagnawan</t>
  </si>
  <si>
    <t>Bebiano Basio</t>
  </si>
  <si>
    <t>Danahaw</t>
  </si>
  <si>
    <t>Cabog</t>
  </si>
  <si>
    <t>Poblacion</t>
  </si>
  <si>
    <t>Ma. Rosario</t>
  </si>
  <si>
    <t>Datag</t>
  </si>
  <si>
    <t>Caluwasan</t>
  </si>
  <si>
    <t>Guinobatan</t>
  </si>
  <si>
    <t>Zamora</t>
  </si>
  <si>
    <t>San Jose</t>
  </si>
  <si>
    <t>Domingo Gonzalos</t>
  </si>
  <si>
    <t>Causwagan Norte</t>
  </si>
  <si>
    <t>Sinakayanan</t>
  </si>
  <si>
    <t>Sergio Bonajos Jr.</t>
  </si>
  <si>
    <t>Nueva Vida Este</t>
  </si>
  <si>
    <t>Cantuyoc</t>
  </si>
  <si>
    <t>Leonisa Javate</t>
  </si>
  <si>
    <t>Nahawan</t>
  </si>
  <si>
    <t>Sta. Catalina</t>
  </si>
  <si>
    <t>Emmanuel Lupian</t>
  </si>
  <si>
    <t>Lawis</t>
  </si>
  <si>
    <t>Sto. Rosario</t>
  </si>
  <si>
    <t>La Salvacion</t>
  </si>
  <si>
    <t>Tagbilaran</t>
  </si>
  <si>
    <t>Tontunan</t>
  </si>
  <si>
    <t>El Progreso</t>
  </si>
  <si>
    <t>Abucayan Norte</t>
  </si>
  <si>
    <t>San Ramon</t>
  </si>
  <si>
    <t>Mahayag</t>
  </si>
  <si>
    <t>Sta. Cruz</t>
  </si>
  <si>
    <t>La Libertad</t>
  </si>
  <si>
    <t>Christian Paul Boton</t>
  </si>
  <si>
    <t>Candelaria</t>
  </si>
  <si>
    <t>Canmaya Centro</t>
  </si>
  <si>
    <t>Bunacan</t>
  </si>
  <si>
    <t>Villahermoso</t>
  </si>
  <si>
    <t>Banlasan</t>
  </si>
  <si>
    <t>Erica Javate</t>
  </si>
  <si>
    <t>Tagum Norte</t>
  </si>
  <si>
    <t>Kauswagan</t>
  </si>
  <si>
    <t>Excel Breeders</t>
  </si>
  <si>
    <t>TILAPIA BREEDERS</t>
  </si>
  <si>
    <t>BREEDERS</t>
  </si>
  <si>
    <t>Candungao</t>
  </si>
  <si>
    <t>Villarcayo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</si>
  <si>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3</t>
    </r>
  </si>
  <si>
    <t>Concepcion</t>
  </si>
  <si>
    <t>Magtangtang</t>
  </si>
  <si>
    <t>Jose Ombayan</t>
  </si>
  <si>
    <t>Cangmundo</t>
  </si>
  <si>
    <r>
      <t xml:space="preserve">Others:(S.C./PWD): </t>
    </r>
    <r>
      <rPr>
        <b/>
        <u/>
        <sz val="10"/>
        <color rgb="FFFF0000"/>
        <rFont val="Arial"/>
        <family val="2"/>
      </rPr>
      <t>19</t>
    </r>
  </si>
  <si>
    <r>
      <t xml:space="preserve">Total No. Of Beneficiaries: </t>
    </r>
    <r>
      <rPr>
        <b/>
        <u/>
        <sz val="10"/>
        <color rgb="FFFF0000"/>
        <rFont val="Arial"/>
        <family val="2"/>
      </rPr>
      <t>188</t>
    </r>
  </si>
  <si>
    <t>55,737 sq.m.</t>
  </si>
  <si>
    <t>47,800 pcs.</t>
  </si>
  <si>
    <r>
      <t xml:space="preserve">Breeders: </t>
    </r>
    <r>
      <rPr>
        <b/>
        <u/>
        <sz val="11"/>
        <color rgb="FFFF0000"/>
        <rFont val="Calibri"/>
        <family val="2"/>
        <scheme val="minor"/>
      </rPr>
      <t>405 pcs.</t>
    </r>
  </si>
  <si>
    <t>338,480 pcs.</t>
  </si>
  <si>
    <t>6,650 pcs.</t>
  </si>
  <si>
    <t>3,020 pcs.</t>
  </si>
  <si>
    <t>7,000 pcs.</t>
  </si>
  <si>
    <t>Poblacion Norte</t>
  </si>
  <si>
    <t>Guadalupe</t>
  </si>
  <si>
    <t>Villafuerte</t>
  </si>
  <si>
    <t>Montevideo</t>
  </si>
  <si>
    <t>Cambailan</t>
  </si>
  <si>
    <t>Calatrava</t>
  </si>
  <si>
    <t>Canmaya Diot</t>
  </si>
  <si>
    <t>Abucay Sur</t>
  </si>
  <si>
    <t>Malitbog</t>
  </si>
  <si>
    <t>Ilijan Sur</t>
  </si>
  <si>
    <t>Campagao</t>
  </si>
  <si>
    <t>Salog</t>
  </si>
  <si>
    <t>Jerry Sarabosing</t>
  </si>
  <si>
    <t>Juagdan</t>
  </si>
  <si>
    <t>Anecito Cristal</t>
  </si>
  <si>
    <t>Sto. Niño</t>
  </si>
  <si>
    <t>Victor Boligao</t>
  </si>
  <si>
    <t>Matin-ao</t>
  </si>
  <si>
    <t>Montesuerte</t>
  </si>
  <si>
    <t>La Victoria</t>
  </si>
  <si>
    <t>Can-oling</t>
  </si>
  <si>
    <t>Cabagakian</t>
  </si>
  <si>
    <t>Calanggaman</t>
  </si>
  <si>
    <t>San Juan</t>
  </si>
  <si>
    <t>Nahud</t>
  </si>
  <si>
    <t>Hagbuaya</t>
  </si>
  <si>
    <t>Estaca</t>
  </si>
  <si>
    <t>Nueva Granada</t>
  </si>
  <si>
    <t>La Union</t>
  </si>
  <si>
    <t>San Carlos</t>
  </si>
  <si>
    <t>Elmer Manlangit</t>
  </si>
  <si>
    <t>Canmaya</t>
  </si>
  <si>
    <t>Bahaan</t>
  </si>
  <si>
    <t>San Antonio</t>
  </si>
  <si>
    <t>Bagtic</t>
  </si>
  <si>
    <t>Panghagban</t>
  </si>
  <si>
    <t>Prisco Alvar</t>
  </si>
  <si>
    <t>Cahayag</t>
  </si>
  <si>
    <t>Nueva Vida Sur</t>
  </si>
  <si>
    <t>Bayongan</t>
  </si>
  <si>
    <t>Bentig</t>
  </si>
  <si>
    <t>Agerio Café</t>
  </si>
  <si>
    <t>Magsaysay</t>
  </si>
  <si>
    <t>Sub.TOTAL</t>
  </si>
  <si>
    <t>Florencio Bitang</t>
  </si>
  <si>
    <t>Pamacsalan</t>
  </si>
  <si>
    <t>Aloja</t>
  </si>
  <si>
    <t>Bicao</t>
  </si>
  <si>
    <t>Cantumimbo</t>
  </si>
  <si>
    <t>Norberto Torrenueva</t>
  </si>
  <si>
    <t>Norie Tago</t>
  </si>
  <si>
    <t>Ilijan</t>
  </si>
  <si>
    <t>LGU - Alburquerque</t>
  </si>
  <si>
    <t>Cresente Bernaldez</t>
  </si>
  <si>
    <t>Tangaran</t>
  </si>
  <si>
    <t>Alegria</t>
  </si>
  <si>
    <t>Yurie Manayaga</t>
  </si>
  <si>
    <t>breeders</t>
  </si>
  <si>
    <t xml:space="preserve">Causwagan </t>
  </si>
  <si>
    <t>Napo</t>
  </si>
  <si>
    <t>Mataub</t>
  </si>
  <si>
    <t>Danny Amodia</t>
  </si>
  <si>
    <t>Pangangan</t>
  </si>
  <si>
    <t>Nestor Cagais</t>
  </si>
  <si>
    <t>Mantalongon</t>
  </si>
  <si>
    <t>Anonang</t>
  </si>
  <si>
    <t>Bugsoc</t>
  </si>
  <si>
    <t>Roberto Butal</t>
  </si>
  <si>
    <t xml:space="preserve">Sto. Niño </t>
  </si>
  <si>
    <t>Ronald Ceballos</t>
  </si>
  <si>
    <t>Marino Cosgafa</t>
  </si>
  <si>
    <t xml:space="preserve">Cangmundo </t>
  </si>
  <si>
    <t>Booy</t>
  </si>
  <si>
    <t>Marichu Nuyda</t>
  </si>
  <si>
    <t>Koi Carp</t>
  </si>
  <si>
    <t>Glecerio Ngujo</t>
  </si>
  <si>
    <t>Alexander Amihan</t>
  </si>
  <si>
    <t>Sagbayan Sur</t>
  </si>
  <si>
    <t>Ricardo Tinahora</t>
  </si>
  <si>
    <t>Jimmy Leonar</t>
  </si>
  <si>
    <t>Bongbong</t>
  </si>
  <si>
    <t>Lumbay</t>
  </si>
  <si>
    <t>Liboron</t>
  </si>
  <si>
    <t>09468952161</t>
  </si>
  <si>
    <t>09351279131</t>
  </si>
  <si>
    <t>09397408864</t>
  </si>
  <si>
    <t>Pob. Sur</t>
  </si>
  <si>
    <t>N/A</t>
  </si>
  <si>
    <t>Doroy Ngujo</t>
  </si>
  <si>
    <t>Vallehermoso</t>
  </si>
  <si>
    <t>Maitum</t>
  </si>
  <si>
    <t>Haguilanan Grande</t>
  </si>
  <si>
    <t>09778203958</t>
  </si>
  <si>
    <t>09382832913</t>
  </si>
  <si>
    <t>09208871751</t>
  </si>
  <si>
    <t>San Pascual</t>
  </si>
  <si>
    <t>09302730811</t>
  </si>
  <si>
    <t>Remedios</t>
  </si>
  <si>
    <t>09129265213</t>
  </si>
  <si>
    <t>Haguilanan</t>
  </si>
  <si>
    <t>09468740491</t>
  </si>
  <si>
    <t>Emmanuel Gulayan</t>
  </si>
  <si>
    <t>09300001620</t>
  </si>
  <si>
    <t>09304290692</t>
  </si>
  <si>
    <t>Emelito Duallo</t>
  </si>
  <si>
    <t>Richard Torreon</t>
  </si>
  <si>
    <t>09655773655</t>
  </si>
  <si>
    <t>Dexter Gudarido</t>
  </si>
  <si>
    <t>Rogelio Ampong</t>
  </si>
  <si>
    <t>09104254704</t>
  </si>
  <si>
    <t>09486700013</t>
  </si>
  <si>
    <t>09095757610</t>
  </si>
  <si>
    <t>Felixis Solijon</t>
  </si>
  <si>
    <t>Balintawak</t>
  </si>
  <si>
    <t>Baluarte</t>
  </si>
  <si>
    <t>Montesunting</t>
  </si>
  <si>
    <t>Alfredo Bagolor</t>
  </si>
  <si>
    <t>09508222706</t>
  </si>
  <si>
    <t>Lenny Caldoza</t>
  </si>
  <si>
    <t>09399282972</t>
  </si>
  <si>
    <t>Koi carp</t>
  </si>
  <si>
    <t>Roque Ombay</t>
  </si>
  <si>
    <t>09050417061</t>
  </si>
  <si>
    <t>Lutao</t>
  </si>
  <si>
    <t>Edgar Pacaldo</t>
  </si>
  <si>
    <t>09616508790</t>
  </si>
  <si>
    <t>PFO - Cebu</t>
  </si>
  <si>
    <t>Hito</t>
  </si>
  <si>
    <t>Bayong</t>
  </si>
  <si>
    <t>Lajog</t>
  </si>
  <si>
    <t>Gerry Bernaldez</t>
  </si>
  <si>
    <t>Celso Amihan</t>
  </si>
  <si>
    <t>Anecito Dapar</t>
  </si>
  <si>
    <t>Rio Suarez</t>
  </si>
  <si>
    <t>09106871736</t>
  </si>
  <si>
    <t>S. Bullones</t>
  </si>
  <si>
    <t>Marvin Peter Revilla</t>
  </si>
  <si>
    <t>09984613468</t>
  </si>
  <si>
    <t>Rene Bongato</t>
  </si>
  <si>
    <r>
      <t>Total No. Of Beneficiaries:</t>
    </r>
    <r>
      <rPr>
        <sz val="10"/>
        <color rgb="FFFF0000"/>
        <rFont val="Arial"/>
        <family val="2"/>
      </rPr>
      <t/>
    </r>
  </si>
  <si>
    <t>09089380433</t>
  </si>
  <si>
    <t>Mayana</t>
  </si>
  <si>
    <t>Samuel Cabangbang</t>
  </si>
  <si>
    <t>09508847061</t>
  </si>
  <si>
    <t>Gerlit Bajao</t>
  </si>
  <si>
    <t>09466055030</t>
  </si>
  <si>
    <t/>
  </si>
  <si>
    <t>09304263970</t>
  </si>
  <si>
    <t xml:space="preserve">La Union </t>
  </si>
  <si>
    <t>Samuel Estillore</t>
  </si>
  <si>
    <t>09055591347</t>
  </si>
  <si>
    <t>Banahaw</t>
  </si>
  <si>
    <t>Del Carmen</t>
  </si>
  <si>
    <t>09308363924</t>
  </si>
  <si>
    <t>Loel Estillore</t>
  </si>
  <si>
    <t>Rowel Rim</t>
  </si>
  <si>
    <t>Nelia Catayas</t>
  </si>
  <si>
    <t>09983247622</t>
  </si>
  <si>
    <t>Hillside</t>
  </si>
  <si>
    <t>09462336055</t>
  </si>
  <si>
    <t>09466003890</t>
  </si>
  <si>
    <t>Lapaz</t>
  </si>
  <si>
    <t>Mark Soliano</t>
  </si>
  <si>
    <t>09505053735</t>
  </si>
  <si>
    <t>09124776613</t>
  </si>
  <si>
    <t>09099039900</t>
  </si>
  <si>
    <t>09126568492</t>
  </si>
  <si>
    <t>Rolando Manatad</t>
  </si>
  <si>
    <t>Noel Garcia</t>
  </si>
  <si>
    <t>09358183693</t>
  </si>
  <si>
    <t>Pinayagan Norte</t>
  </si>
  <si>
    <t>Eda Javate</t>
  </si>
  <si>
    <t>Restituto Auza</t>
  </si>
  <si>
    <t>Tomoc</t>
  </si>
  <si>
    <t xml:space="preserve">Caluwasan </t>
  </si>
  <si>
    <t>Tilapia</t>
  </si>
  <si>
    <t>Julio Dinoy</t>
  </si>
  <si>
    <t>09774893574</t>
  </si>
  <si>
    <t>TARGET</t>
  </si>
  <si>
    <t>Cabungaan</t>
  </si>
  <si>
    <t>09167386993</t>
  </si>
  <si>
    <t>Ilijan Norte</t>
  </si>
  <si>
    <t>Romulo Buhayang</t>
  </si>
  <si>
    <t>Rocky Cutamora</t>
  </si>
  <si>
    <t>09707764675</t>
  </si>
  <si>
    <t>Marcian Almedilla</t>
  </si>
  <si>
    <t>09995070410</t>
  </si>
  <si>
    <t>09261421548</t>
  </si>
  <si>
    <t>Overland</t>
  </si>
  <si>
    <t>09658593339</t>
  </si>
  <si>
    <t>Mark Joseph Piloton</t>
  </si>
  <si>
    <t>Joel Clapano</t>
  </si>
  <si>
    <t>2022 CFFF PRODUCTION</t>
  </si>
  <si>
    <t>REGION 7 - 2022 MONTHLY TILAPIA PRODUCTION</t>
  </si>
  <si>
    <t>January 2022</t>
  </si>
  <si>
    <t>February 2022</t>
  </si>
  <si>
    <t>Mirasol Concepcion</t>
  </si>
  <si>
    <t>09319352200</t>
  </si>
  <si>
    <t>Judy Ramos</t>
  </si>
  <si>
    <t>Eden Montajes</t>
  </si>
  <si>
    <t>09195350236</t>
  </si>
  <si>
    <t>Raul Silagan</t>
  </si>
  <si>
    <t>09511531984</t>
  </si>
  <si>
    <t>Cristituto Alcober</t>
  </si>
  <si>
    <t>Calubihan</t>
  </si>
  <si>
    <t>Juan Galleto</t>
  </si>
  <si>
    <t>09507137252</t>
  </si>
  <si>
    <t>Michael Galleto</t>
  </si>
  <si>
    <t>Ursulo Taganahan</t>
  </si>
  <si>
    <t>Cabanbanan</t>
  </si>
  <si>
    <t>09155792610</t>
  </si>
  <si>
    <t>Manuel Gulayan</t>
  </si>
  <si>
    <t>Meliton Mahilum</t>
  </si>
  <si>
    <t>09105812381</t>
  </si>
  <si>
    <t>FEB 6-9</t>
  </si>
  <si>
    <t>Rogelio Linogao</t>
  </si>
  <si>
    <t xml:space="preserve">Katipunan </t>
  </si>
  <si>
    <t>Romegio Ybañez</t>
  </si>
  <si>
    <t>09512397993</t>
  </si>
  <si>
    <t>Era Guillen</t>
  </si>
  <si>
    <t>Leonard Trago</t>
  </si>
  <si>
    <t>09298023156</t>
  </si>
  <si>
    <t>Arnel Cordero</t>
  </si>
  <si>
    <t>Jeffrey Agir</t>
  </si>
  <si>
    <t>09461151468</t>
  </si>
  <si>
    <t>Homer Balais</t>
  </si>
  <si>
    <t>09995985126</t>
  </si>
  <si>
    <t>Ronnel Amoren</t>
  </si>
  <si>
    <t>09452233975</t>
  </si>
  <si>
    <t>09161227144</t>
  </si>
  <si>
    <t>Gregorio Ampoloquio</t>
  </si>
  <si>
    <t>09516422233</t>
  </si>
  <si>
    <t>Vincent Mier</t>
  </si>
  <si>
    <t>Braylee Lopoz</t>
  </si>
  <si>
    <t>09389264355</t>
  </si>
  <si>
    <t>Ronelo Langoy</t>
  </si>
  <si>
    <t>09265311489</t>
  </si>
  <si>
    <t>Grace Mangmang</t>
  </si>
  <si>
    <t>09389393949</t>
  </si>
  <si>
    <t>Marites Galacio</t>
  </si>
  <si>
    <t>Japhit Bongato</t>
  </si>
  <si>
    <t>FEB 16-21</t>
  </si>
  <si>
    <t>March 2022</t>
  </si>
  <si>
    <t>Panfilo N. Pabonita</t>
  </si>
  <si>
    <t>Broodstock</t>
  </si>
  <si>
    <t>09639013267</t>
  </si>
  <si>
    <t>Joseph Soria</t>
  </si>
  <si>
    <t>09495624501</t>
  </si>
  <si>
    <t>Rodel Cañete</t>
  </si>
  <si>
    <t>Son-oc</t>
  </si>
  <si>
    <t>Broodstock (Excel)</t>
  </si>
  <si>
    <t>Broodstock (BFAR Strain)</t>
  </si>
  <si>
    <t>Mylin Desoza</t>
  </si>
  <si>
    <t>Ronnie Repoya</t>
  </si>
  <si>
    <t>09951485163</t>
  </si>
  <si>
    <t>Jona Parohinog</t>
  </si>
  <si>
    <t>09450636547</t>
  </si>
  <si>
    <t>Jayson Vito</t>
  </si>
  <si>
    <t>09771435472</t>
  </si>
  <si>
    <t>Donald Cañas</t>
  </si>
  <si>
    <t>09494878945</t>
  </si>
  <si>
    <t>Janice Torrepalma</t>
  </si>
  <si>
    <t>09606763766</t>
  </si>
  <si>
    <t>Ramon Sarong Jr.</t>
  </si>
  <si>
    <t>09634889991</t>
  </si>
  <si>
    <t>Office of the Provincial Agriculturist</t>
  </si>
  <si>
    <t>Renante Sobingsobing</t>
  </si>
  <si>
    <t>UBFF</t>
  </si>
  <si>
    <t>Elenita Piloton</t>
  </si>
  <si>
    <t>Juliet Aparici</t>
  </si>
  <si>
    <t>09707749521</t>
  </si>
  <si>
    <t>Celso Cajes</t>
  </si>
  <si>
    <t>09056089395</t>
  </si>
  <si>
    <t>Heraldo Miano</t>
  </si>
  <si>
    <t>Buenaventura Puebla</t>
  </si>
  <si>
    <t>09271522006</t>
  </si>
  <si>
    <t>Pedro Carguez</t>
  </si>
  <si>
    <t>Jebert Lumanip</t>
  </si>
  <si>
    <t>09090804676</t>
  </si>
  <si>
    <t>Albenson Lumanip</t>
  </si>
  <si>
    <t>09462383898</t>
  </si>
  <si>
    <t>Randy Suan</t>
  </si>
  <si>
    <t>Jesir Deliman</t>
  </si>
  <si>
    <t>09369501375</t>
  </si>
  <si>
    <t>Juvely Lumanip</t>
  </si>
  <si>
    <t>09093483956</t>
  </si>
  <si>
    <t>Jerry Amihan</t>
  </si>
  <si>
    <t>Geraldo Miano</t>
  </si>
  <si>
    <t>Rolando Torres</t>
  </si>
  <si>
    <t>09453904370</t>
  </si>
  <si>
    <t>09355279127</t>
  </si>
  <si>
    <t>Edgar Lomocho</t>
  </si>
  <si>
    <t>Cansagui Sur</t>
  </si>
  <si>
    <t>Everulo Quirol Jr</t>
  </si>
  <si>
    <t>09951475943</t>
  </si>
  <si>
    <t>Crispino Racho</t>
  </si>
  <si>
    <t>Andy Melencion</t>
  </si>
  <si>
    <t>09206783335</t>
  </si>
  <si>
    <t>Dalia Ombayan</t>
  </si>
  <si>
    <t>09569972475</t>
  </si>
  <si>
    <t>Leonardo Hermchuelos</t>
  </si>
  <si>
    <t>09214370915</t>
  </si>
  <si>
    <t>Ruel Silagan</t>
  </si>
  <si>
    <t>09702882454</t>
  </si>
  <si>
    <t>Mila Brisula</t>
  </si>
  <si>
    <t>MAR 1-15</t>
  </si>
  <si>
    <t>LGU - Jagna, Bohol</t>
  </si>
  <si>
    <t>Pangdan</t>
  </si>
  <si>
    <t>09205009707</t>
  </si>
  <si>
    <t>Roderick Vertudazo</t>
  </si>
  <si>
    <t>Edwin Campos</t>
  </si>
  <si>
    <t>Timoteo Estorya</t>
  </si>
  <si>
    <t>Oscar Galang</t>
  </si>
  <si>
    <t>Eladio Linteria</t>
  </si>
  <si>
    <t>Efren Jamil</t>
  </si>
  <si>
    <t>09702894299</t>
  </si>
  <si>
    <t>09055632087</t>
  </si>
  <si>
    <t>Marcial Pojas</t>
  </si>
  <si>
    <t>09383359699</t>
  </si>
  <si>
    <t>Jonas Buñao</t>
  </si>
  <si>
    <t xml:space="preserve">Macaas </t>
  </si>
  <si>
    <t>Fredo Tirol</t>
  </si>
  <si>
    <t>Ronilo Bontilao</t>
  </si>
  <si>
    <t>09507040569</t>
  </si>
  <si>
    <t>Christopher Gaid</t>
  </si>
  <si>
    <t>Layo</t>
  </si>
  <si>
    <t>09483860939</t>
  </si>
  <si>
    <t>Jonathan Omambac</t>
  </si>
  <si>
    <t xml:space="preserve">Cawayanan </t>
  </si>
  <si>
    <t>09483387920</t>
  </si>
  <si>
    <t>Felix Munil</t>
  </si>
  <si>
    <t>Melvin Gelocia</t>
  </si>
  <si>
    <t>09464369088</t>
  </si>
  <si>
    <t>Epifanio Munil</t>
  </si>
  <si>
    <t>09634504131</t>
  </si>
  <si>
    <t>Mark Tingson</t>
  </si>
  <si>
    <t xml:space="preserve">Bonbon </t>
  </si>
  <si>
    <t>09507426189</t>
  </si>
  <si>
    <t>Hernel Gentinales</t>
  </si>
  <si>
    <t>09669302497</t>
  </si>
  <si>
    <t>Nestor Sagliba</t>
  </si>
  <si>
    <t>Cambigsi</t>
  </si>
  <si>
    <t>Alquin Boncales</t>
  </si>
  <si>
    <t xml:space="preserve">Bugang </t>
  </si>
  <si>
    <t>09097459992</t>
  </si>
  <si>
    <t>Jonathan Dolera</t>
  </si>
  <si>
    <t>09206045063</t>
  </si>
  <si>
    <t>Jose Gamayon</t>
  </si>
  <si>
    <t>09075078270</t>
  </si>
  <si>
    <t xml:space="preserve">Alexander Amihan </t>
  </si>
  <si>
    <t>Romulo Tamsi</t>
  </si>
  <si>
    <t>Neil Balonga</t>
  </si>
  <si>
    <t>09707763927</t>
  </si>
  <si>
    <t>Bon Maurillo</t>
  </si>
  <si>
    <t xml:space="preserve">Calanggaman </t>
  </si>
  <si>
    <t>09634886422</t>
  </si>
  <si>
    <t>Jevelyn Torrentina</t>
  </si>
  <si>
    <t xml:space="preserve">Calatrava </t>
  </si>
  <si>
    <t>09468723404</t>
  </si>
  <si>
    <t>09361150950</t>
  </si>
  <si>
    <t>Perigrino Marzon</t>
  </si>
  <si>
    <t>Kabasacan</t>
  </si>
  <si>
    <t xml:space="preserve">Alicia Hongoy </t>
  </si>
  <si>
    <t>Rose Ann Vistal</t>
  </si>
  <si>
    <t>Bren Hapsay</t>
  </si>
  <si>
    <t>Mandaug Gamay</t>
  </si>
  <si>
    <t>09096565710</t>
  </si>
  <si>
    <t>Jason Toreon</t>
  </si>
  <si>
    <t>Joan Valentos</t>
  </si>
  <si>
    <t>09481064066</t>
  </si>
  <si>
    <t>Gaudiosa Revilla</t>
  </si>
  <si>
    <t>09463550282</t>
  </si>
  <si>
    <t>Banny Cuyacot</t>
  </si>
  <si>
    <t>09308023716</t>
  </si>
  <si>
    <t>Abundio Balonga</t>
  </si>
  <si>
    <t>09302176337</t>
  </si>
  <si>
    <t>LGU-Carmen</t>
  </si>
  <si>
    <t>Teodoro Tejas</t>
  </si>
  <si>
    <t>Tata Cleopas</t>
  </si>
  <si>
    <t>Romeo Paquibot</t>
  </si>
  <si>
    <t xml:space="preserve">Causwagan  </t>
  </si>
  <si>
    <t>Ritche Caintoy</t>
  </si>
  <si>
    <t>Macalingan</t>
  </si>
  <si>
    <t>Evangeline Revilla</t>
  </si>
  <si>
    <t>09288114261</t>
  </si>
  <si>
    <t>Carina Bitoonan</t>
  </si>
  <si>
    <t>09108168117</t>
  </si>
  <si>
    <t>Rolando Polistico</t>
  </si>
  <si>
    <t>09355763279</t>
  </si>
  <si>
    <t>LGU-Tubigon</t>
  </si>
  <si>
    <t>09481071221</t>
  </si>
  <si>
    <t>Marcos Tagsip</t>
  </si>
  <si>
    <t>09070998165</t>
  </si>
  <si>
    <t>Gerardo Miano</t>
  </si>
  <si>
    <t xml:space="preserve"> MAR 16-24</t>
  </si>
  <si>
    <t>123,500 pcs.</t>
  </si>
  <si>
    <t>5,115 pcs.</t>
  </si>
  <si>
    <t>66,580 sq.m.</t>
  </si>
  <si>
    <t xml:space="preserve">2,000 pcs. </t>
  </si>
  <si>
    <t>325,900 pcs.</t>
  </si>
  <si>
    <t>5,000 pcs.</t>
  </si>
  <si>
    <t>Felicidad J. Dayuno</t>
  </si>
  <si>
    <t>Cabatuan</t>
  </si>
  <si>
    <t>Romneck Dayuno</t>
  </si>
  <si>
    <t>LGU-Anda</t>
  </si>
  <si>
    <t>Edison Torrentira</t>
  </si>
  <si>
    <t>Leah Anino</t>
  </si>
  <si>
    <t>Benjamin Revilla</t>
  </si>
  <si>
    <t>FPSSD/ BFAR 7 - RO</t>
  </si>
  <si>
    <t>09157767214</t>
  </si>
  <si>
    <t>MAR 28-30</t>
  </si>
  <si>
    <t>April 2022</t>
  </si>
  <si>
    <t>Domingo Purla</t>
  </si>
  <si>
    <t>09692879964</t>
  </si>
  <si>
    <t>Alejandro Ambaic</t>
  </si>
  <si>
    <t>Danny Gibalay</t>
  </si>
  <si>
    <t>09264904496</t>
  </si>
  <si>
    <t>Antonio Bitalmos</t>
  </si>
  <si>
    <t>Rolando Pelpinosas</t>
  </si>
  <si>
    <t>09154258063</t>
  </si>
  <si>
    <t>Ruel Roltenas</t>
  </si>
  <si>
    <t>09308226039</t>
  </si>
  <si>
    <t>Jeffrey Tañajura</t>
  </si>
  <si>
    <t>09287370467</t>
  </si>
  <si>
    <t xml:space="preserve">Rogelio Sagliba Jr. </t>
  </si>
  <si>
    <t>09095884753</t>
  </si>
  <si>
    <t>John Rey Ando</t>
  </si>
  <si>
    <t>09481764161</t>
  </si>
  <si>
    <t>Hipolito Tamayo</t>
  </si>
  <si>
    <t>09102955432</t>
  </si>
  <si>
    <t>182,570 pcs.</t>
  </si>
  <si>
    <t>BASIL</t>
  </si>
  <si>
    <r>
      <t>Sto. Ni</t>
    </r>
    <r>
      <rPr>
        <sz val="11"/>
        <rFont val="Calibri"/>
        <family val="2"/>
      </rPr>
      <t>ñ</t>
    </r>
    <r>
      <rPr>
        <sz val="11.65"/>
        <rFont val="Calibri"/>
        <family val="2"/>
      </rPr>
      <t>o</t>
    </r>
  </si>
  <si>
    <t>14 pcs.</t>
  </si>
  <si>
    <t>9,500 pcs.</t>
  </si>
  <si>
    <r>
      <t xml:space="preserve">Total No. Of Beneficiaries: </t>
    </r>
    <r>
      <rPr>
        <b/>
        <u/>
        <sz val="10"/>
        <rFont val="Arial"/>
        <family val="2"/>
      </rPr>
      <t>92</t>
    </r>
  </si>
  <si>
    <r>
      <t xml:space="preserve">Others:(S.C./PWD): </t>
    </r>
    <r>
      <rPr>
        <b/>
        <u/>
        <sz val="10"/>
        <rFont val="Arial"/>
        <family val="2"/>
      </rPr>
      <t>11</t>
    </r>
  </si>
  <si>
    <t>JANUARY 2022</t>
  </si>
  <si>
    <t>FEBRUARY 2022</t>
  </si>
  <si>
    <t>MARCH 2022</t>
  </si>
  <si>
    <t>SOLD</t>
  </si>
  <si>
    <t>DISPERSED</t>
  </si>
  <si>
    <t>TOTAL PRODUCED</t>
  </si>
  <si>
    <t>APRIL 2022</t>
  </si>
  <si>
    <t>MAY 2022</t>
  </si>
  <si>
    <t>JUNE 2022</t>
  </si>
  <si>
    <t>JULY 2022</t>
  </si>
  <si>
    <t>AUG 2022</t>
  </si>
  <si>
    <t>SEPT 2022</t>
  </si>
  <si>
    <t>OCT 2022</t>
  </si>
  <si>
    <t>NOV 2022</t>
  </si>
  <si>
    <t>DEC 2022</t>
  </si>
  <si>
    <t>Leonardo Olipaypay</t>
  </si>
  <si>
    <t>09706281000</t>
  </si>
  <si>
    <t>Fernando Jaum</t>
  </si>
  <si>
    <t>Tata Requina</t>
  </si>
  <si>
    <t>Antonio Celedes</t>
  </si>
  <si>
    <t>09954425028</t>
  </si>
  <si>
    <t>Alfredo Omboy</t>
  </si>
  <si>
    <t>09300049962</t>
  </si>
  <si>
    <t>Jhon Jhette Sulfucial</t>
  </si>
  <si>
    <t>09516424872</t>
  </si>
  <si>
    <t>Elsa Loquire</t>
  </si>
  <si>
    <t>09152323970</t>
  </si>
  <si>
    <t>Raymond Patricio</t>
  </si>
  <si>
    <t>Bunot-bunot</t>
  </si>
  <si>
    <t>Joselyn Visto</t>
  </si>
  <si>
    <t>095325893399</t>
  </si>
  <si>
    <t>Ronel Mabida</t>
  </si>
  <si>
    <t>09285905560</t>
  </si>
  <si>
    <t>09098517342</t>
  </si>
  <si>
    <t>Rushel Sumatra</t>
  </si>
  <si>
    <t>09261416983</t>
  </si>
  <si>
    <t>Zara Jane Celis</t>
  </si>
  <si>
    <t>Joseph Alinas</t>
  </si>
  <si>
    <t>09984553059</t>
  </si>
  <si>
    <t>Roel Abanilla</t>
  </si>
  <si>
    <t>Eleazar Estoria</t>
  </si>
  <si>
    <t>Loreto</t>
  </si>
  <si>
    <t>09464454883</t>
  </si>
  <si>
    <t>Nestor Mansueto</t>
  </si>
  <si>
    <t>09556998199</t>
  </si>
  <si>
    <t>Leonel Dagohoy</t>
  </si>
  <si>
    <t>09358529420</t>
  </si>
  <si>
    <t>APR 4-5</t>
  </si>
  <si>
    <t>LGU-Guindulman</t>
  </si>
  <si>
    <t>APR 6</t>
  </si>
  <si>
    <t>Jay-R Romana</t>
  </si>
  <si>
    <t>Bagacay Katipunan</t>
  </si>
  <si>
    <t>John Jett Salfocial</t>
  </si>
  <si>
    <t>Clayton Gambe</t>
  </si>
  <si>
    <t>09464421276</t>
  </si>
  <si>
    <t>Carlito Masola</t>
  </si>
  <si>
    <t>Leonardo Batausa</t>
  </si>
  <si>
    <t>Delfin Malingin</t>
  </si>
  <si>
    <t>Jorge Amihan</t>
  </si>
  <si>
    <t>Cerilo Candia</t>
  </si>
  <si>
    <t>Roger Cambaya</t>
  </si>
  <si>
    <t>09121144018</t>
  </si>
  <si>
    <t>Gary galos</t>
  </si>
  <si>
    <t>09550226526</t>
  </si>
  <si>
    <t>Jehasiel Betarmos</t>
  </si>
  <si>
    <t>Lendon Ortega</t>
  </si>
  <si>
    <t>Carp</t>
  </si>
  <si>
    <t>Carlydon Calderon</t>
  </si>
  <si>
    <t>Jason Paul Baluca</t>
  </si>
  <si>
    <t>Christopher Canono</t>
  </si>
  <si>
    <t>09776382904</t>
  </si>
  <si>
    <t>Ruel maglahus</t>
  </si>
  <si>
    <t>Clemente Lumaad</t>
  </si>
  <si>
    <t>Juan Dapar</t>
  </si>
  <si>
    <t>Manuel Concon</t>
  </si>
  <si>
    <t>Reno Danias</t>
  </si>
  <si>
    <t>Cocepcion</t>
  </si>
  <si>
    <t>Danilo Concon</t>
  </si>
  <si>
    <t>09396518533</t>
  </si>
  <si>
    <t>Vivian Garan</t>
  </si>
  <si>
    <t>09292939373</t>
  </si>
  <si>
    <t>Michael Garzano</t>
  </si>
  <si>
    <t>09480998076</t>
  </si>
  <si>
    <t>Virgilio Salera</t>
  </si>
  <si>
    <t>Airon Dapar</t>
  </si>
  <si>
    <t>Ernesto Palma</t>
  </si>
  <si>
    <t>09097170105</t>
  </si>
  <si>
    <t>Carlo Pantinople</t>
  </si>
  <si>
    <t>Mercidita Pojas</t>
  </si>
  <si>
    <t>Velyn Aninipot</t>
  </si>
  <si>
    <t>09506107652</t>
  </si>
  <si>
    <t>Elmer Robin</t>
  </si>
  <si>
    <t>Teodomero Bitang</t>
  </si>
  <si>
    <t>Kalubihan</t>
  </si>
  <si>
    <t>09351150013</t>
  </si>
  <si>
    <t>Alvec Sarigumba</t>
  </si>
  <si>
    <t>09177900855</t>
  </si>
  <si>
    <t>APR 7-12</t>
  </si>
  <si>
    <t>TOTAL DISTRIBUTED</t>
  </si>
  <si>
    <t>LGU-Bayawan City, Negros Oriental</t>
  </si>
  <si>
    <t>Bayawan</t>
  </si>
  <si>
    <t>09262588479</t>
  </si>
  <si>
    <t>Ricky Abayon</t>
  </si>
  <si>
    <t>Excel Broodstocks</t>
  </si>
  <si>
    <t>Panfilo Abuloc</t>
  </si>
  <si>
    <t>Emelio Melencion</t>
  </si>
  <si>
    <t>09073488736</t>
  </si>
  <si>
    <t>Virgilio Lamoste</t>
  </si>
  <si>
    <t>Sagabayan</t>
  </si>
  <si>
    <t>09656882405</t>
  </si>
  <si>
    <t>Adela Bongato</t>
  </si>
  <si>
    <t>YEAR</t>
  </si>
  <si>
    <t>TOTAL DISTRIBUTION</t>
  </si>
  <si>
    <t>TOTAL PRODUCTION</t>
  </si>
  <si>
    <t>CFFF SUMMARY OF PRODUCTION</t>
  </si>
  <si>
    <t>2019</t>
  </si>
  <si>
    <t>2020</t>
  </si>
  <si>
    <t>2021</t>
  </si>
  <si>
    <t>TOTAL NO. OF CLIENTS</t>
  </si>
  <si>
    <t>APR 22-25</t>
  </si>
  <si>
    <t>As of April 25, 2022</t>
  </si>
  <si>
    <t>Marlyn Juson</t>
  </si>
  <si>
    <t>Pame Espinal</t>
  </si>
  <si>
    <t xml:space="preserve"> May 2022</t>
  </si>
  <si>
    <t>May 2022</t>
  </si>
  <si>
    <t>Silvia Cenabre</t>
  </si>
  <si>
    <t>09308217412</t>
  </si>
  <si>
    <t>Joey Lidesma</t>
  </si>
  <si>
    <t>Jovelyn Torrentira</t>
  </si>
  <si>
    <t>Justiniano Balorio</t>
  </si>
  <si>
    <t>Felicisima Coreses</t>
  </si>
  <si>
    <t>Jinky Sojon</t>
  </si>
  <si>
    <t>09385134106</t>
  </si>
  <si>
    <t>LGU- San Isidro, Bohol</t>
  </si>
  <si>
    <t>09161247395</t>
  </si>
  <si>
    <t>Isidro Gumanid</t>
  </si>
  <si>
    <t>Ronilo Buaya</t>
  </si>
  <si>
    <t xml:space="preserve">Poblacio Sur </t>
  </si>
  <si>
    <t>09462589484</t>
  </si>
  <si>
    <t xml:space="preserve">Cawayan </t>
  </si>
  <si>
    <t>Jose Pagas</t>
  </si>
  <si>
    <t>Masunoy</t>
  </si>
  <si>
    <t>09051986900</t>
  </si>
  <si>
    <t>Marilyn Anib</t>
  </si>
  <si>
    <t xml:space="preserve">Montesunting </t>
  </si>
  <si>
    <t>09096985510</t>
  </si>
  <si>
    <t>Tranquilino Gasco Jr.</t>
  </si>
  <si>
    <t>09303097779</t>
  </si>
  <si>
    <t>Henry Cabije</t>
  </si>
  <si>
    <t>Elizalde Anib</t>
  </si>
  <si>
    <t>Jofel Manatad</t>
  </si>
  <si>
    <t>0965859339</t>
  </si>
  <si>
    <t xml:space="preserve">Jomarie Logroño </t>
  </si>
  <si>
    <t>09361651932</t>
  </si>
  <si>
    <t>Danilo Camporedondo</t>
  </si>
  <si>
    <t>Randy Boy Mahomas</t>
  </si>
  <si>
    <t xml:space="preserve">Baang </t>
  </si>
  <si>
    <t>09198975347</t>
  </si>
  <si>
    <t>Welmore Samson</t>
  </si>
  <si>
    <t>Ma. Cecilia Moreno</t>
  </si>
  <si>
    <t>09095290901</t>
  </si>
  <si>
    <t>09466014179</t>
  </si>
  <si>
    <t>Christian Galacio</t>
  </si>
  <si>
    <t>09352167118</t>
  </si>
  <si>
    <t>Jimboy Macaambac</t>
  </si>
  <si>
    <t>Subayon</t>
  </si>
  <si>
    <t>09105020923</t>
  </si>
  <si>
    <t>Marcial Galler</t>
  </si>
  <si>
    <t>Cecile Valmoria</t>
  </si>
  <si>
    <t>09636481438</t>
  </si>
  <si>
    <t>Francisco Largo</t>
  </si>
  <si>
    <t>Buenaventura Camposo</t>
  </si>
  <si>
    <t>Constantina Albores</t>
  </si>
  <si>
    <t>Tubog</t>
  </si>
  <si>
    <t>09462364574</t>
  </si>
  <si>
    <t>Martin Comamao</t>
  </si>
  <si>
    <t>09207600676</t>
  </si>
  <si>
    <t>Beinvinido Roluma</t>
  </si>
  <si>
    <t>09096338929</t>
  </si>
  <si>
    <t>Eupuldo Beltran</t>
  </si>
  <si>
    <t xml:space="preserve">Kagawasan </t>
  </si>
  <si>
    <t>Federico Inferido</t>
  </si>
  <si>
    <t>Tonturan</t>
  </si>
  <si>
    <t>Rejie Casquejo</t>
  </si>
  <si>
    <t>Fernando Laborte</t>
  </si>
  <si>
    <t>09669443005</t>
  </si>
  <si>
    <t>Melissa Valberan</t>
  </si>
  <si>
    <t>Pablito Tayone</t>
  </si>
  <si>
    <t>Lumangog</t>
  </si>
  <si>
    <t>Christian Lofranco</t>
  </si>
  <si>
    <t>09073730400</t>
  </si>
  <si>
    <t>Daniel Racho</t>
  </si>
  <si>
    <t>09485448890</t>
  </si>
  <si>
    <t>Ranillo Avergonzado</t>
  </si>
  <si>
    <t>09124638452</t>
  </si>
  <si>
    <r>
      <t>Sto. Ni</t>
    </r>
    <r>
      <rPr>
        <sz val="11"/>
        <color theme="1"/>
        <rFont val="Calibri"/>
        <family val="2"/>
      </rPr>
      <t>ñ</t>
    </r>
    <r>
      <rPr>
        <sz val="11.65"/>
        <color theme="1"/>
        <rFont val="Calibri"/>
        <family val="2"/>
      </rPr>
      <t>o</t>
    </r>
  </si>
  <si>
    <t>Quenee Tamondoc</t>
  </si>
  <si>
    <t>09554071951</t>
  </si>
  <si>
    <t>Mike Rowie Garzano</t>
  </si>
  <si>
    <t>Kauswagan Norte</t>
  </si>
  <si>
    <t>09317034596</t>
  </si>
  <si>
    <r>
      <t>Elmer Me</t>
    </r>
    <r>
      <rPr>
        <sz val="11"/>
        <rFont val="Calibri"/>
        <family val="2"/>
      </rPr>
      <t>ñ</t>
    </r>
    <r>
      <rPr>
        <sz val="11.65"/>
        <rFont val="Calibri"/>
        <family val="2"/>
      </rPr>
      <t>oza</t>
    </r>
  </si>
  <si>
    <t>Emie Bongato</t>
  </si>
  <si>
    <t>09609015555</t>
  </si>
  <si>
    <t>Julius Tagsa</t>
  </si>
  <si>
    <t>09484756844</t>
  </si>
  <si>
    <t>Marjun Baliling</t>
  </si>
  <si>
    <t>09999509978</t>
  </si>
  <si>
    <t>Flordilie Pelaje</t>
  </si>
  <si>
    <t>09453810880</t>
  </si>
  <si>
    <t>Gaudencio Silagan</t>
  </si>
  <si>
    <t>09127857433</t>
  </si>
  <si>
    <t>Beatriz Aparece</t>
  </si>
  <si>
    <t>Teresa Mae Comja</t>
  </si>
  <si>
    <t>09109979929</t>
  </si>
  <si>
    <t>Reynaldo Torredes</t>
  </si>
  <si>
    <t>09991036747</t>
  </si>
  <si>
    <t>Renavic Polistico</t>
  </si>
  <si>
    <t>09353228427</t>
  </si>
  <si>
    <r>
      <t>Urcesio Logro</t>
    </r>
    <r>
      <rPr>
        <sz val="11"/>
        <rFont val="Calibri"/>
        <family val="2"/>
      </rPr>
      <t>ñ</t>
    </r>
    <r>
      <rPr>
        <sz val="11.65"/>
        <rFont val="Calibri"/>
        <family val="2"/>
      </rPr>
      <t>o</t>
    </r>
  </si>
  <si>
    <t xml:space="preserve">Buenavista </t>
  </si>
  <si>
    <t>09264640253</t>
  </si>
  <si>
    <t>Emelio Agbon</t>
  </si>
  <si>
    <t>09388090193</t>
  </si>
  <si>
    <t>Elly William Ramirez</t>
  </si>
  <si>
    <t>09352625695</t>
  </si>
  <si>
    <t>Vivian Cubelo</t>
  </si>
  <si>
    <t>Mocpoc Sur</t>
  </si>
  <si>
    <t>Bonifacio Batulanan</t>
  </si>
  <si>
    <t>Nonie Valmoria</t>
  </si>
  <si>
    <t>09616917037</t>
  </si>
  <si>
    <t>Rhea Pirana</t>
  </si>
  <si>
    <t>Eurique Torrejos</t>
  </si>
  <si>
    <t>09359754269</t>
  </si>
  <si>
    <t>Narbie Ramos</t>
  </si>
  <si>
    <t>09950392562</t>
  </si>
  <si>
    <t>Engelberto Aparece</t>
  </si>
  <si>
    <t>Andrew Salagoste</t>
  </si>
  <si>
    <t>09070480312</t>
  </si>
  <si>
    <t>LGU-Clarin</t>
  </si>
  <si>
    <t>09099395214</t>
  </si>
  <si>
    <t>Alex Amihan</t>
  </si>
  <si>
    <t>May 2-19</t>
  </si>
  <si>
    <t>Lope Degamo</t>
  </si>
  <si>
    <t>Kent James Opelinia</t>
  </si>
  <si>
    <t>Jenelyn Orapa</t>
  </si>
  <si>
    <t>09308307700</t>
  </si>
  <si>
    <t>Vicente Mangmang</t>
  </si>
  <si>
    <t>09124877247</t>
  </si>
  <si>
    <t>Richard Sumalinog</t>
  </si>
  <si>
    <t xml:space="preserve">Buenos Aires </t>
  </si>
  <si>
    <t>Rocile Cañete</t>
  </si>
  <si>
    <t>Silvestre Mellomida</t>
  </si>
  <si>
    <t>09307265565</t>
  </si>
  <si>
    <t>Jocelyn Bagulot</t>
  </si>
  <si>
    <t>Nicolas Bongato</t>
  </si>
  <si>
    <t>Roldan Sumaylo</t>
  </si>
  <si>
    <t>09208871222</t>
  </si>
  <si>
    <t>Walter Miano</t>
  </si>
  <si>
    <t>09633835594</t>
  </si>
  <si>
    <t>Felix Nogalada</t>
  </si>
  <si>
    <t>Romeo Escaso</t>
  </si>
  <si>
    <t>Cagawetan</t>
  </si>
  <si>
    <t>Macario Sabijon</t>
  </si>
  <si>
    <t>09635325369</t>
  </si>
  <si>
    <t>Mark brian Tumanda</t>
  </si>
  <si>
    <t>German Sebusa</t>
  </si>
  <si>
    <t>Asinan</t>
  </si>
  <si>
    <t>09319633822</t>
  </si>
  <si>
    <t>Danilo Amodia</t>
  </si>
  <si>
    <t>09385291342</t>
  </si>
  <si>
    <t>09757769288</t>
  </si>
  <si>
    <t>May 23-25</t>
  </si>
  <si>
    <t>37.500 pvs.</t>
  </si>
  <si>
    <t>1,100 pcs.</t>
  </si>
  <si>
    <t>387,850 pcs.</t>
  </si>
  <si>
    <t>77,790 sq.m.</t>
  </si>
  <si>
    <t>June 2022</t>
  </si>
  <si>
    <t>LGU-Baclayon</t>
  </si>
  <si>
    <t xml:space="preserve">Libertad </t>
  </si>
  <si>
    <t>Bac;ayon</t>
  </si>
  <si>
    <t>09103957076</t>
  </si>
  <si>
    <t>Mayana Tilapia Growers Association</t>
  </si>
  <si>
    <t>09639014397</t>
  </si>
  <si>
    <t>Jason Montalban</t>
  </si>
  <si>
    <t>09107049807</t>
  </si>
  <si>
    <t xml:space="preserve">pond </t>
  </si>
  <si>
    <t>09070190559</t>
  </si>
  <si>
    <t>Ana Belga</t>
  </si>
  <si>
    <t>093218220353</t>
  </si>
  <si>
    <t>Angelito Barsenas</t>
  </si>
  <si>
    <t xml:space="preserve">San Francisco </t>
  </si>
  <si>
    <t>Camotes</t>
  </si>
  <si>
    <t>09466784184</t>
  </si>
  <si>
    <t>Benito Cagandi</t>
  </si>
  <si>
    <t>09122507197</t>
  </si>
  <si>
    <t>Eleseo Ledesma</t>
  </si>
  <si>
    <t>Warren Bustamante</t>
  </si>
  <si>
    <t>09269472534</t>
  </si>
  <si>
    <t xml:space="preserve">Excel </t>
  </si>
  <si>
    <t>09507427072</t>
  </si>
  <si>
    <t>Ramonito Lopena</t>
  </si>
  <si>
    <t>Humayhumay</t>
  </si>
  <si>
    <t>09389012289</t>
  </si>
  <si>
    <t>094837224634</t>
  </si>
  <si>
    <t>Jomary Gasco</t>
  </si>
  <si>
    <t>09483724634</t>
  </si>
  <si>
    <t>Rodrigo Jumamoy</t>
  </si>
  <si>
    <t>09265176756</t>
  </si>
  <si>
    <t>June 1-9</t>
  </si>
  <si>
    <t>Nolasco Legaspo</t>
  </si>
  <si>
    <t>09078849019</t>
  </si>
  <si>
    <t>Jisril Quindao</t>
  </si>
  <si>
    <t>09207829564</t>
  </si>
  <si>
    <t>Ely Boybanting</t>
  </si>
  <si>
    <t>09213846025</t>
  </si>
  <si>
    <t>July 2022</t>
  </si>
  <si>
    <t>August 2022</t>
  </si>
  <si>
    <t>Common carp</t>
  </si>
  <si>
    <t>PEDRO R. MILANA JR.</t>
  </si>
  <si>
    <t>OIC-Center Chief</t>
  </si>
  <si>
    <t>Center Chief</t>
  </si>
  <si>
    <t>30,000 pcs.</t>
  </si>
  <si>
    <r>
      <t>Total No. Of Beneficiaries:</t>
    </r>
    <r>
      <rPr>
        <sz val="10"/>
        <color rgb="FFFF0000"/>
        <rFont val="Arial"/>
        <family val="2"/>
      </rPr>
      <t xml:space="preserve"> 1</t>
    </r>
  </si>
  <si>
    <t>September 2022</t>
  </si>
  <si>
    <t>Rodrigo Suello</t>
  </si>
  <si>
    <t>09308059066</t>
  </si>
  <si>
    <t>Eugene Lumayag</t>
  </si>
  <si>
    <t>09084120338</t>
  </si>
  <si>
    <t>Junior Garcia</t>
  </si>
  <si>
    <t>09759441958</t>
  </si>
  <si>
    <t>Rolando Pilpinosas</t>
  </si>
  <si>
    <t xml:space="preserve">Rizal </t>
  </si>
  <si>
    <t>09953737191</t>
  </si>
  <si>
    <t>Norma Flores</t>
  </si>
  <si>
    <t>09771858033</t>
  </si>
  <si>
    <t>Glenn Iba-oc</t>
  </si>
  <si>
    <t>0961830811</t>
  </si>
  <si>
    <t>Raul Sagliba</t>
  </si>
  <si>
    <t>09460993885</t>
  </si>
  <si>
    <t>Ranulfo Tiongco</t>
  </si>
  <si>
    <t>09122061222</t>
  </si>
  <si>
    <t>Genaro Busbus</t>
  </si>
  <si>
    <t>09309023188</t>
  </si>
  <si>
    <t xml:space="preserve">San Roque </t>
  </si>
  <si>
    <t>09692033719</t>
  </si>
  <si>
    <t>Nelson Osias</t>
  </si>
  <si>
    <t>CPG</t>
  </si>
  <si>
    <t>09327154528</t>
  </si>
  <si>
    <t>Justin Orapa</t>
  </si>
  <si>
    <t>09079118754</t>
  </si>
  <si>
    <t>Edu Nuez</t>
  </si>
  <si>
    <t>09972160577</t>
  </si>
  <si>
    <t>Cansangi Sur</t>
  </si>
  <si>
    <t>09066973514</t>
  </si>
  <si>
    <t>Antonio Agocoy Jr.</t>
  </si>
  <si>
    <t>Nelson Bonajos</t>
  </si>
  <si>
    <t>Sept. 1-6</t>
  </si>
  <si>
    <t>Glenn Dellero</t>
  </si>
  <si>
    <t>Lemuel Genson</t>
  </si>
  <si>
    <t>09461248289</t>
  </si>
  <si>
    <t>09129180884</t>
  </si>
  <si>
    <t>Sept. 7</t>
  </si>
  <si>
    <t>As of September 7, 2022</t>
  </si>
  <si>
    <t>09362688642</t>
  </si>
  <si>
    <t>09977029560</t>
  </si>
  <si>
    <t>Vincent Escobido</t>
  </si>
  <si>
    <r>
      <t>Total No. Of Beneficiaries:</t>
    </r>
    <r>
      <rPr>
        <sz val="10"/>
        <color rgb="FFFF0000"/>
        <rFont val="Arial"/>
        <family val="2"/>
      </rPr>
      <t xml:space="preserve"> 2</t>
    </r>
  </si>
  <si>
    <t>Tilapia:</t>
  </si>
  <si>
    <t>OIC-FPSSD</t>
  </si>
  <si>
    <t>Andy Cornell Bornello</t>
  </si>
  <si>
    <t>09175477720</t>
  </si>
  <si>
    <t>Justine Ruloma</t>
  </si>
  <si>
    <t>Rogie Falcon</t>
  </si>
  <si>
    <t>09186625727</t>
  </si>
  <si>
    <t>09776488297</t>
  </si>
  <si>
    <t>Albino Torregosa</t>
  </si>
  <si>
    <t>Jorna Buñao</t>
  </si>
  <si>
    <t>09487580342</t>
  </si>
  <si>
    <t>Joel Algodon</t>
  </si>
  <si>
    <t>Pooc Oriental</t>
  </si>
  <si>
    <t>09507947728</t>
  </si>
  <si>
    <t>Bronzon Gambe</t>
  </si>
  <si>
    <t>Albert Calamba</t>
  </si>
  <si>
    <t>09306741318</t>
  </si>
  <si>
    <t>Norman Pojas</t>
  </si>
  <si>
    <t xml:space="preserve">Poblacion </t>
  </si>
  <si>
    <t>09707155592</t>
  </si>
  <si>
    <t>Jayrhome Dioquino</t>
  </si>
  <si>
    <t>09363092932</t>
  </si>
  <si>
    <t>Claire Hibaya</t>
  </si>
  <si>
    <t>Obujan</t>
  </si>
  <si>
    <t>09382718123</t>
  </si>
  <si>
    <t>Grace Mae Locep</t>
  </si>
  <si>
    <t>Bagakay, Kawayan</t>
  </si>
  <si>
    <t>09504777045</t>
  </si>
  <si>
    <t>Lyca Santoyas</t>
  </si>
  <si>
    <t>Calayogan Sur</t>
  </si>
  <si>
    <t>09306761004</t>
  </si>
  <si>
    <t>9,195 sq.m.</t>
  </si>
  <si>
    <r>
      <t>Others:(S.C./PWD):</t>
    </r>
    <r>
      <rPr>
        <b/>
        <u/>
        <sz val="10"/>
        <color rgb="FFFF0000"/>
        <rFont val="Arial"/>
        <family val="2"/>
      </rPr>
      <t xml:space="preserve"> 5</t>
    </r>
  </si>
  <si>
    <r>
      <t xml:space="preserve">Total No. Of Beneficiaries: </t>
    </r>
    <r>
      <rPr>
        <b/>
        <u/>
        <sz val="10"/>
        <color rgb="FFFF0000"/>
        <rFont val="Arial"/>
        <family val="2"/>
      </rPr>
      <t>40</t>
    </r>
  </si>
  <si>
    <t>Sept. 12-19</t>
  </si>
  <si>
    <t>October 2022</t>
  </si>
  <si>
    <t>Judy Bonajos</t>
  </si>
  <si>
    <t>Ronald Patalinghug</t>
  </si>
  <si>
    <t>09505578522</t>
  </si>
  <si>
    <t>Poresciano Bautista</t>
  </si>
  <si>
    <t>09485536377</t>
  </si>
  <si>
    <t>Arjhay Añana</t>
  </si>
  <si>
    <t>09304287554</t>
  </si>
  <si>
    <t>Marcia Cosicol</t>
  </si>
  <si>
    <t>Candangao</t>
  </si>
  <si>
    <t>Dianne Petacorin</t>
  </si>
  <si>
    <t>09308219536</t>
  </si>
  <si>
    <t>Jame Ryan Corsiga</t>
  </si>
  <si>
    <t>09508969488</t>
  </si>
  <si>
    <r>
      <t>Others:(S.C./PWD):</t>
    </r>
    <r>
      <rPr>
        <b/>
        <u/>
        <sz val="10"/>
        <color rgb="FFFF0000"/>
        <rFont val="Arial"/>
        <family val="2"/>
      </rPr>
      <t xml:space="preserve"> 1</t>
    </r>
  </si>
  <si>
    <t>Jim Decenilla</t>
  </si>
  <si>
    <t>Kabanugan</t>
  </si>
  <si>
    <t>09508963681</t>
  </si>
  <si>
    <t>Jaymar Derosahento</t>
  </si>
  <si>
    <t>09422928056</t>
  </si>
  <si>
    <t>Jonathan Cempron</t>
  </si>
  <si>
    <t>09266597674</t>
  </si>
  <si>
    <t>Clynn Toledo</t>
  </si>
  <si>
    <t>Bawkan</t>
  </si>
  <si>
    <t>09308267063</t>
  </si>
  <si>
    <t>09062537762</t>
  </si>
  <si>
    <r>
      <t>Total No. Of Beneficiaries:</t>
    </r>
    <r>
      <rPr>
        <u/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13</t>
    </r>
  </si>
  <si>
    <t>352 sq.m.</t>
  </si>
  <si>
    <t>Oct. 18</t>
  </si>
  <si>
    <t>November 2022</t>
  </si>
  <si>
    <t>Alvin Dano</t>
  </si>
  <si>
    <t>Felix Inojales</t>
  </si>
  <si>
    <t>09478050359</t>
  </si>
  <si>
    <t>Mark Daohag</t>
  </si>
  <si>
    <t>09288603567</t>
  </si>
  <si>
    <t>Mercy Tagalog</t>
  </si>
  <si>
    <t>09095829414</t>
  </si>
  <si>
    <t>Melvin Gambe</t>
  </si>
  <si>
    <t xml:space="preserve">Canmaya </t>
  </si>
  <si>
    <t>09486398612</t>
  </si>
  <si>
    <t>Albino Balo</t>
  </si>
  <si>
    <t>Renero Saure</t>
  </si>
  <si>
    <t>Chemor Ceniza</t>
  </si>
  <si>
    <t>09072883510</t>
  </si>
  <si>
    <t>Arthur Hinampas</t>
  </si>
  <si>
    <t>09084939399</t>
  </si>
  <si>
    <t>Zenaida Rulia</t>
  </si>
  <si>
    <t>09813892082</t>
  </si>
  <si>
    <t>Arjohn Planos</t>
  </si>
  <si>
    <t>09486180740</t>
  </si>
  <si>
    <t>Marcial Sumalinog</t>
  </si>
  <si>
    <t>Wenceslao Mendez</t>
  </si>
  <si>
    <t>Boyongan</t>
  </si>
  <si>
    <t>09995985029</t>
  </si>
  <si>
    <t>Alfie Eltero</t>
  </si>
  <si>
    <t>Abaca</t>
  </si>
  <si>
    <t>09551492051</t>
  </si>
  <si>
    <t>Arnold Jaima</t>
  </si>
  <si>
    <t>Luan</t>
  </si>
  <si>
    <t>09161274003</t>
  </si>
  <si>
    <t>Nov 9-10</t>
  </si>
  <si>
    <t>Rubelyn Fuentes</t>
  </si>
  <si>
    <t>Zenon Baguio</t>
  </si>
  <si>
    <t xml:space="preserve">Villanueva </t>
  </si>
  <si>
    <t>09463175119</t>
  </si>
  <si>
    <t>09121142785</t>
  </si>
  <si>
    <t>Carmen Sotomayor</t>
  </si>
  <si>
    <t>09107592901</t>
  </si>
  <si>
    <t>Remy Baldago</t>
  </si>
  <si>
    <t>Catugasan</t>
  </si>
  <si>
    <t>09157250176</t>
  </si>
  <si>
    <t>Rhio Suarez</t>
  </si>
  <si>
    <t>09760697218</t>
  </si>
  <si>
    <t>Antonio Niepes</t>
  </si>
  <si>
    <t>09386594586</t>
  </si>
  <si>
    <t>Elvin Jun Legaspi</t>
  </si>
  <si>
    <t>09455988456</t>
  </si>
  <si>
    <t>Alfredo Rasonado</t>
  </si>
  <si>
    <t>09099671915</t>
  </si>
  <si>
    <t>Zaldy Marimon</t>
  </si>
  <si>
    <t>09061605793</t>
  </si>
  <si>
    <t>Jame Cañete</t>
  </si>
  <si>
    <t>09461833223</t>
  </si>
  <si>
    <t>Ricardo Ngujo</t>
  </si>
  <si>
    <t>09108543499</t>
  </si>
  <si>
    <t>Dennis Gruela</t>
  </si>
  <si>
    <t>BQ</t>
  </si>
  <si>
    <t>09460994312</t>
  </si>
  <si>
    <t>Expedito Lacea</t>
  </si>
  <si>
    <t>Allan Garcia</t>
  </si>
  <si>
    <t>09270257151</t>
  </si>
  <si>
    <r>
      <t>Others:(S.C./PWD):</t>
    </r>
    <r>
      <rPr>
        <b/>
        <u/>
        <sz val="10"/>
        <color rgb="FFFF0000"/>
        <rFont val="Arial"/>
        <family val="2"/>
      </rPr>
      <t xml:space="preserve"> 3</t>
    </r>
  </si>
  <si>
    <t>5496 sq.m.</t>
  </si>
  <si>
    <t>Nov 14-22</t>
  </si>
  <si>
    <r>
      <t>Total No. Of Beneficiaries:</t>
    </r>
    <r>
      <rPr>
        <b/>
        <u/>
        <sz val="10"/>
        <color rgb="FFFF0000"/>
        <rFont val="Arial"/>
        <family val="2"/>
      </rPr>
      <t xml:space="preserve"> 29</t>
    </r>
  </si>
  <si>
    <t>Marilou Lofranco</t>
  </si>
  <si>
    <t>09125034649</t>
  </si>
  <si>
    <t>Wilfredo Sarigumba</t>
  </si>
  <si>
    <t>09561601813</t>
  </si>
  <si>
    <t>Moises Bangkil</t>
  </si>
  <si>
    <t>09495047700</t>
  </si>
  <si>
    <t>Juana Degamo</t>
  </si>
  <si>
    <t>09358505750</t>
  </si>
  <si>
    <t>Andres Margate</t>
  </si>
  <si>
    <t>Darwin Busalanan</t>
  </si>
  <si>
    <t>09451653583</t>
  </si>
  <si>
    <t>Esteban Ibaoc</t>
  </si>
  <si>
    <t>Guinubatan</t>
  </si>
  <si>
    <t>Paolo Abella</t>
  </si>
  <si>
    <t>09567194758</t>
  </si>
  <si>
    <t xml:space="preserve">Silvino Añosa Jr. </t>
  </si>
  <si>
    <t>09482127843</t>
  </si>
  <si>
    <t>Mark Fryling</t>
  </si>
  <si>
    <t>Carlos Enson</t>
  </si>
  <si>
    <t>09127707494</t>
  </si>
  <si>
    <t>Cyril Añabieza</t>
  </si>
  <si>
    <t>09465433627</t>
  </si>
  <si>
    <t>Armando Mutoc</t>
  </si>
  <si>
    <t>December 2022</t>
  </si>
  <si>
    <r>
      <t>Others:(S.C./PWD):</t>
    </r>
    <r>
      <rPr>
        <b/>
        <u/>
        <sz val="10"/>
        <color rgb="FFFF0000"/>
        <rFont val="Arial"/>
        <family val="2"/>
      </rPr>
      <t xml:space="preserve"> 4</t>
    </r>
  </si>
  <si>
    <t>Dec 6</t>
  </si>
  <si>
    <t>Bernie Basbas</t>
  </si>
  <si>
    <t>09367383961</t>
  </si>
  <si>
    <t>Glendo Lauron</t>
  </si>
  <si>
    <t>Pundol</t>
  </si>
  <si>
    <t>09088106759</t>
  </si>
  <si>
    <t>Danilo Ocaba</t>
  </si>
  <si>
    <t>Buyog</t>
  </si>
  <si>
    <t>09934148064</t>
  </si>
  <si>
    <t>Teogenes Duminayos</t>
  </si>
  <si>
    <t>09616508974</t>
  </si>
  <si>
    <t>Jonathan Manigo</t>
  </si>
  <si>
    <t xml:space="preserve">Pinayagan </t>
  </si>
  <si>
    <t>09352926288</t>
  </si>
  <si>
    <t>Angeline Bauro</t>
  </si>
  <si>
    <t>09682010760</t>
  </si>
  <si>
    <t>Ramon Cruda Jr.</t>
  </si>
  <si>
    <t>09487426977</t>
  </si>
  <si>
    <t>Red Tilapia</t>
  </si>
  <si>
    <r>
      <t>Total No. Of Beneficiaries:</t>
    </r>
    <r>
      <rPr>
        <b/>
        <u/>
        <sz val="10"/>
        <color rgb="FFFF0000"/>
        <rFont val="Arial"/>
        <family val="2"/>
      </rPr>
      <t xml:space="preserve"> 20</t>
    </r>
  </si>
  <si>
    <t>3318 sq.m.</t>
  </si>
  <si>
    <t>Dec. 19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</si>
  <si>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u/>
        <sz val="10"/>
        <color rgb="FFFF0000"/>
        <rFont val="Arial"/>
        <family val="2"/>
      </rPr>
      <t>1</t>
    </r>
  </si>
  <si>
    <t>Dec. 27</t>
  </si>
  <si>
    <t>satified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</si>
</sst>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_);_(* \(#,##0.0\);_(* &quot;-&quot;?_);_(@_)"/>
    <numFmt numFmtId="168" formatCode="_(* #,##0_);_(* \(#,##0\);_(* &quot;-&quot;?_);_(@_)"/>
  </numFmts>
  <fonts count="62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u/>
      <sz val="9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b/>
      <i/>
      <sz val="20"/>
      <color theme="3"/>
      <name val="Cambria"/>
      <family val="1"/>
      <scheme val="major"/>
    </font>
    <font>
      <b/>
      <u/>
      <sz val="10"/>
      <color rgb="FFFF0000"/>
      <name val="Arial"/>
      <family val="2"/>
    </font>
    <font>
      <b/>
      <u/>
      <sz val="9"/>
      <color rgb="FFFF0000"/>
      <name val="Arial"/>
      <family val="2"/>
    </font>
    <font>
      <b/>
      <u val="singleAccounting"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theme="5"/>
      <name val="Arial"/>
      <family val="2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i/>
      <sz val="10"/>
      <name val="Arial"/>
      <family val="2"/>
    </font>
    <font>
      <b/>
      <i/>
      <sz val="18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0"/>
      <color rgb="FFFF0000"/>
      <name val="Arial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70C0"/>
      <name val="Cambria"/>
      <family val="1"/>
      <scheme val="major"/>
    </font>
    <font>
      <sz val="11.65"/>
      <name val="Calibri"/>
      <family val="2"/>
    </font>
    <font>
      <b/>
      <u/>
      <sz val="9"/>
      <name val="Arial"/>
      <family val="2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.65"/>
      <color theme="1"/>
      <name val="Calibri"/>
      <family val="2"/>
    </font>
    <font>
      <u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11" fillId="18" borderId="32" applyNumberFormat="0" applyFont="0" applyAlignment="0" applyProtection="0"/>
  </cellStyleXfs>
  <cellXfs count="4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5" fillId="0" borderId="5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8" fillId="0" borderId="11" xfId="0" applyFont="1" applyBorder="1"/>
    <xf numFmtId="38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4" xfId="0" applyFont="1" applyBorder="1"/>
    <xf numFmtId="0" fontId="9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14" xfId="0" applyBorder="1"/>
    <xf numFmtId="0" fontId="7" fillId="0" borderId="11" xfId="0" applyFont="1" applyBorder="1" applyAlignment="1">
      <alignment horizontal="center"/>
    </xf>
    <xf numFmtId="0" fontId="5" fillId="0" borderId="14" xfId="0" applyFont="1" applyBorder="1"/>
    <xf numFmtId="3" fontId="0" fillId="0" borderId="14" xfId="0" applyNumberFormat="1" applyBorder="1"/>
    <xf numFmtId="3" fontId="0" fillId="0" borderId="0" xfId="0" applyNumberFormat="1"/>
    <xf numFmtId="0" fontId="4" fillId="0" borderId="0" xfId="0" applyFont="1"/>
    <xf numFmtId="0" fontId="7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2" xfId="0" applyBorder="1"/>
    <xf numFmtId="0" fontId="5" fillId="0" borderId="12" xfId="0" applyFont="1" applyBorder="1"/>
    <xf numFmtId="0" fontId="7" fillId="0" borderId="0" xfId="0" applyFont="1" applyAlignment="1">
      <alignment horizontal="right"/>
    </xf>
    <xf numFmtId="0" fontId="0" fillId="0" borderId="5" xfId="0" applyBorder="1"/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" fontId="0" fillId="0" borderId="2" xfId="0" applyNumberFormat="1" applyBorder="1"/>
    <xf numFmtId="0" fontId="9" fillId="0" borderId="4" xfId="0" applyFont="1" applyBorder="1" applyAlignment="1">
      <alignment horizontal="center"/>
    </xf>
    <xf numFmtId="0" fontId="0" fillId="0" borderId="4" xfId="0" applyBorder="1" applyAlignment="1">
      <alignment horizontal="right"/>
    </xf>
    <xf numFmtId="3" fontId="8" fillId="0" borderId="4" xfId="0" applyNumberFormat="1" applyFont="1" applyBorder="1" applyAlignment="1">
      <alignment horizontal="center"/>
    </xf>
    <xf numFmtId="0" fontId="8" fillId="0" borderId="11" xfId="0" applyFont="1" applyBorder="1" applyAlignment="1">
      <alignment horizontal="right"/>
    </xf>
    <xf numFmtId="4" fontId="7" fillId="0" borderId="4" xfId="0" applyNumberFormat="1" applyFont="1" applyBorder="1"/>
    <xf numFmtId="0" fontId="0" fillId="0" borderId="5" xfId="0" applyBorder="1" applyAlignment="1">
      <alignment horizontal="righ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3" fontId="8" fillId="0" borderId="6" xfId="0" applyNumberFormat="1" applyFont="1" applyBorder="1" applyAlignment="1">
      <alignment horizontal="center"/>
    </xf>
    <xf numFmtId="4" fontId="7" fillId="0" borderId="5" xfId="0" applyNumberFormat="1" applyFont="1" applyBorder="1"/>
    <xf numFmtId="0" fontId="10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right"/>
    </xf>
    <xf numFmtId="4" fontId="0" fillId="0" borderId="14" xfId="0" applyNumberFormat="1" applyBorder="1"/>
    <xf numFmtId="0" fontId="4" fillId="0" borderId="14" xfId="0" applyFont="1" applyBorder="1"/>
    <xf numFmtId="166" fontId="0" fillId="0" borderId="14" xfId="1" applyNumberFormat="1" applyFont="1" applyBorder="1"/>
    <xf numFmtId="2" fontId="0" fillId="0" borderId="14" xfId="0" applyNumberFormat="1" applyBorder="1"/>
    <xf numFmtId="0" fontId="14" fillId="0" borderId="14" xfId="0" applyFont="1" applyBorder="1"/>
    <xf numFmtId="0" fontId="9" fillId="0" borderId="0" xfId="0" applyFont="1"/>
    <xf numFmtId="0" fontId="17" fillId="0" borderId="3" xfId="0" applyFont="1" applyBorder="1"/>
    <xf numFmtId="0" fontId="17" fillId="0" borderId="4" xfId="0" applyFont="1" applyBorder="1"/>
    <xf numFmtId="0" fontId="17" fillId="0" borderId="6" xfId="0" applyFont="1" applyBorder="1"/>
    <xf numFmtId="0" fontId="0" fillId="0" borderId="9" xfId="0" applyBorder="1"/>
    <xf numFmtId="0" fontId="16" fillId="0" borderId="9" xfId="0" applyFont="1" applyBorder="1" applyAlignment="1">
      <alignment horizontal="center" vertical="center"/>
    </xf>
    <xf numFmtId="3" fontId="14" fillId="0" borderId="14" xfId="0" applyNumberFormat="1" applyFont="1" applyBorder="1"/>
    <xf numFmtId="3" fontId="2" fillId="0" borderId="14" xfId="0" applyNumberFormat="1" applyFont="1" applyBorder="1"/>
    <xf numFmtId="166" fontId="0" fillId="0" borderId="0" xfId="0" applyNumberFormat="1"/>
    <xf numFmtId="0" fontId="10" fillId="0" borderId="14" xfId="0" applyFont="1" applyBorder="1"/>
    <xf numFmtId="3" fontId="4" fillId="0" borderId="0" xfId="0" applyNumberFormat="1" applyFont="1"/>
    <xf numFmtId="0" fontId="0" fillId="0" borderId="0" xfId="0" applyAlignment="1">
      <alignment vertical="center"/>
    </xf>
    <xf numFmtId="164" fontId="9" fillId="0" borderId="4" xfId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164" fontId="0" fillId="0" borderId="14" xfId="1" applyFont="1" applyFill="1" applyBorder="1"/>
    <xf numFmtId="164" fontId="14" fillId="0" borderId="14" xfId="1" applyFont="1" applyFill="1" applyBorder="1"/>
    <xf numFmtId="0" fontId="2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38" fontId="4" fillId="0" borderId="0" xfId="0" applyNumberFormat="1" applyFont="1"/>
    <xf numFmtId="0" fontId="9" fillId="0" borderId="5" xfId="0" applyFont="1" applyBorder="1" applyAlignment="1">
      <alignment horizontal="right"/>
    </xf>
    <xf numFmtId="38" fontId="9" fillId="0" borderId="6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7" fillId="0" borderId="7" xfId="0" applyFont="1" applyBorder="1"/>
    <xf numFmtId="0" fontId="17" fillId="0" borderId="12" xfId="0" applyFont="1" applyBorder="1"/>
    <xf numFmtId="0" fontId="17" fillId="0" borderId="13" xfId="0" applyFont="1" applyBorder="1"/>
    <xf numFmtId="167" fontId="0" fillId="0" borderId="0" xfId="0" applyNumberFormat="1"/>
    <xf numFmtId="0" fontId="17" fillId="0" borderId="14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1" xfId="0" applyFont="1" applyBorder="1"/>
    <xf numFmtId="168" fontId="0" fillId="0" borderId="0" xfId="0" applyNumberFormat="1"/>
    <xf numFmtId="166" fontId="0" fillId="0" borderId="14" xfId="1" applyNumberFormat="1" applyFont="1" applyFill="1" applyBorder="1"/>
    <xf numFmtId="0" fontId="2" fillId="0" borderId="14" xfId="0" applyFont="1" applyBorder="1"/>
    <xf numFmtId="166" fontId="0" fillId="0" borderId="14" xfId="0" applyNumberFormat="1" applyBorder="1"/>
    <xf numFmtId="0" fontId="2" fillId="0" borderId="5" xfId="0" applyFont="1" applyBorder="1"/>
    <xf numFmtId="0" fontId="5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4" fillId="0" borderId="0" xfId="1" applyFont="1" applyFill="1" applyBorder="1"/>
    <xf numFmtId="164" fontId="4" fillId="0" borderId="0" xfId="1" applyFont="1" applyFill="1"/>
    <xf numFmtId="0" fontId="2" fillId="0" borderId="2" xfId="0" applyFont="1" applyBorder="1"/>
    <xf numFmtId="0" fontId="2" fillId="0" borderId="3" xfId="0" applyFont="1" applyBorder="1"/>
    <xf numFmtId="164" fontId="4" fillId="0" borderId="4" xfId="1" applyFont="1" applyFill="1" applyBorder="1"/>
    <xf numFmtId="0" fontId="2" fillId="0" borderId="6" xfId="0" applyFont="1" applyBorder="1"/>
    <xf numFmtId="164" fontId="4" fillId="0" borderId="2" xfId="1" applyFont="1" applyFill="1" applyBorder="1"/>
    <xf numFmtId="164" fontId="9" fillId="0" borderId="4" xfId="1" applyFont="1" applyFill="1" applyBorder="1"/>
    <xf numFmtId="164" fontId="9" fillId="0" borderId="5" xfId="1" applyFont="1" applyFill="1" applyBorder="1"/>
    <xf numFmtId="164" fontId="0" fillId="0" borderId="0" xfId="1" applyFont="1" applyFill="1" applyBorder="1"/>
    <xf numFmtId="164" fontId="0" fillId="0" borderId="0" xfId="1" applyFont="1" applyFill="1"/>
    <xf numFmtId="164" fontId="9" fillId="0" borderId="0" xfId="1" applyFont="1" applyFill="1"/>
    <xf numFmtId="0" fontId="12" fillId="0" borderId="0" xfId="0" applyFont="1"/>
    <xf numFmtId="164" fontId="4" fillId="0" borderId="0" xfId="1" applyFont="1" applyFill="1" applyAlignment="1"/>
    <xf numFmtId="164" fontId="4" fillId="0" borderId="0" xfId="1" applyFont="1" applyFill="1" applyAlignment="1">
      <alignment horizontal="right"/>
    </xf>
    <xf numFmtId="0" fontId="27" fillId="0" borderId="4" xfId="0" applyFont="1" applyBorder="1" applyAlignment="1">
      <alignment horizontal="left"/>
    </xf>
    <xf numFmtId="0" fontId="28" fillId="0" borderId="0" xfId="0" applyFont="1" applyAlignment="1">
      <alignment horizontal="left"/>
    </xf>
    <xf numFmtId="164" fontId="29" fillId="0" borderId="0" xfId="1" applyFont="1" applyFill="1" applyAlignment="1">
      <alignment horizontal="left"/>
    </xf>
    <xf numFmtId="0" fontId="30" fillId="0" borderId="0" xfId="0" applyFont="1"/>
    <xf numFmtId="3" fontId="28" fillId="0" borderId="0" xfId="0" applyNumberFormat="1" applyFont="1" applyAlignment="1">
      <alignment horizontal="left"/>
    </xf>
    <xf numFmtId="0" fontId="32" fillId="0" borderId="4" xfId="0" applyFont="1" applyBorder="1" applyAlignment="1">
      <alignment horizontal="left"/>
    </xf>
    <xf numFmtId="166" fontId="34" fillId="0" borderId="14" xfId="1" applyNumberFormat="1" applyFont="1" applyFill="1" applyBorder="1"/>
    <xf numFmtId="166" fontId="35" fillId="0" borderId="14" xfId="1" applyNumberFormat="1" applyFont="1" applyFill="1" applyBorder="1"/>
    <xf numFmtId="166" fontId="35" fillId="0" borderId="14" xfId="0" applyNumberFormat="1" applyFont="1" applyBorder="1"/>
    <xf numFmtId="17" fontId="34" fillId="0" borderId="14" xfId="0" applyNumberFormat="1" applyFont="1" applyBorder="1" applyAlignment="1">
      <alignment horizontal="left" vertical="center"/>
    </xf>
    <xf numFmtId="166" fontId="34" fillId="0" borderId="14" xfId="1" applyNumberFormat="1" applyFont="1" applyFill="1" applyBorder="1" applyAlignment="1">
      <alignment vertical="center"/>
    </xf>
    <xf numFmtId="17" fontId="34" fillId="0" borderId="14" xfId="0" applyNumberFormat="1" applyFont="1" applyBorder="1" applyAlignment="1">
      <alignment vertical="center"/>
    </xf>
    <xf numFmtId="0" fontId="34" fillId="0" borderId="14" xfId="0" applyFont="1" applyBorder="1"/>
    <xf numFmtId="166" fontId="34" fillId="0" borderId="14" xfId="1" applyNumberFormat="1" applyFont="1" applyBorder="1"/>
    <xf numFmtId="0" fontId="0" fillId="8" borderId="14" xfId="0" applyFill="1" applyBorder="1" applyAlignment="1">
      <alignment horizontal="center"/>
    </xf>
    <xf numFmtId="3" fontId="36" fillId="0" borderId="14" xfId="0" applyNumberFormat="1" applyFont="1" applyBorder="1" applyAlignment="1">
      <alignment horizontal="right"/>
    </xf>
    <xf numFmtId="0" fontId="36" fillId="0" borderId="14" xfId="0" applyFont="1" applyBorder="1" applyAlignment="1">
      <alignment horizontal="right"/>
    </xf>
    <xf numFmtId="0" fontId="2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center"/>
    </xf>
    <xf numFmtId="0" fontId="0" fillId="0" borderId="14" xfId="0" applyBorder="1" applyAlignment="1">
      <alignment vertical="center"/>
    </xf>
    <xf numFmtId="0" fontId="15" fillId="0" borderId="0" xfId="0" applyFont="1"/>
    <xf numFmtId="0" fontId="14" fillId="8" borderId="14" xfId="0" applyFont="1" applyFill="1" applyBorder="1"/>
    <xf numFmtId="3" fontId="14" fillId="8" borderId="14" xfId="0" applyNumberFormat="1" applyFont="1" applyFill="1" applyBorder="1"/>
    <xf numFmtId="0" fontId="14" fillId="4" borderId="14" xfId="0" applyFont="1" applyFill="1" applyBorder="1"/>
    <xf numFmtId="3" fontId="14" fillId="4" borderId="14" xfId="0" applyNumberFormat="1" applyFont="1" applyFill="1" applyBorder="1"/>
    <xf numFmtId="166" fontId="16" fillId="0" borderId="0" xfId="0" applyNumberFormat="1" applyFont="1"/>
    <xf numFmtId="0" fontId="39" fillId="0" borderId="17" xfId="0" applyFont="1" applyBorder="1"/>
    <xf numFmtId="166" fontId="15" fillId="0" borderId="0" xfId="0" applyNumberFormat="1" applyFont="1"/>
    <xf numFmtId="17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3" fontId="0" fillId="0" borderId="29" xfId="0" applyNumberFormat="1" applyBorder="1" applyAlignment="1">
      <alignment horizontal="right" vertical="center"/>
    </xf>
    <xf numFmtId="166" fontId="0" fillId="0" borderId="30" xfId="1" applyNumberFormat="1" applyFont="1" applyBorder="1" applyAlignment="1">
      <alignment vertical="center"/>
    </xf>
    <xf numFmtId="166" fontId="0" fillId="0" borderId="29" xfId="1" applyNumberFormat="1" applyFont="1" applyBorder="1" applyAlignment="1">
      <alignment vertical="center"/>
    </xf>
    <xf numFmtId="168" fontId="0" fillId="0" borderId="3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0" fillId="0" borderId="26" xfId="0" applyNumberFormat="1" applyBorder="1" applyAlignment="1">
      <alignment horizontal="right" vertical="center"/>
    </xf>
    <xf numFmtId="166" fontId="0" fillId="0" borderId="26" xfId="1" applyNumberFormat="1" applyFont="1" applyBorder="1" applyAlignment="1">
      <alignment vertical="center"/>
    </xf>
    <xf numFmtId="3" fontId="0" fillId="0" borderId="26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166" fontId="0" fillId="0" borderId="26" xfId="1" applyNumberFormat="1" applyFont="1" applyBorder="1" applyAlignment="1">
      <alignment horizontal="right" vertical="center"/>
    </xf>
    <xf numFmtId="0" fontId="0" fillId="0" borderId="31" xfId="0" applyBorder="1" applyAlignment="1">
      <alignment vertical="center"/>
    </xf>
    <xf numFmtId="3" fontId="0" fillId="0" borderId="24" xfId="0" applyNumberFormat="1" applyBorder="1" applyAlignment="1">
      <alignment vertical="center"/>
    </xf>
    <xf numFmtId="166" fontId="11" fillId="0" borderId="25" xfId="1" applyNumberFormat="1" applyFont="1" applyBorder="1" applyAlignment="1">
      <alignment vertical="center"/>
    </xf>
    <xf numFmtId="166" fontId="0" fillId="0" borderId="24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166" fontId="11" fillId="0" borderId="24" xfId="1" applyNumberFormat="1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40" fillId="0" borderId="14" xfId="0" applyFont="1" applyBorder="1"/>
    <xf numFmtId="166" fontId="14" fillId="0" borderId="14" xfId="1" applyNumberFormat="1" applyFont="1" applyFill="1" applyBorder="1"/>
    <xf numFmtId="0" fontId="0" fillId="0" borderId="14" xfId="0" quotePrefix="1" applyBorder="1"/>
    <xf numFmtId="164" fontId="0" fillId="8" borderId="14" xfId="1" applyFont="1" applyFill="1" applyBorder="1"/>
    <xf numFmtId="0" fontId="0" fillId="11" borderId="14" xfId="0" applyFill="1" applyBorder="1"/>
    <xf numFmtId="164" fontId="14" fillId="8" borderId="14" xfId="1" applyFont="1" applyFill="1" applyBorder="1"/>
    <xf numFmtId="0" fontId="0" fillId="8" borderId="14" xfId="0" applyFill="1" applyBorder="1"/>
    <xf numFmtId="0" fontId="0" fillId="8" borderId="14" xfId="0" quotePrefix="1" applyFill="1" applyBorder="1"/>
    <xf numFmtId="0" fontId="43" fillId="0" borderId="14" xfId="0" applyFont="1" applyBorder="1" applyAlignment="1">
      <alignment horizontal="right"/>
    </xf>
    <xf numFmtId="166" fontId="46" fillId="0" borderId="0" xfId="0" applyNumberFormat="1" applyFont="1"/>
    <xf numFmtId="0" fontId="46" fillId="0" borderId="0" xfId="0" applyFont="1"/>
    <xf numFmtId="166" fontId="26" fillId="11" borderId="14" xfId="0" applyNumberFormat="1" applyFont="1" applyFill="1" applyBorder="1" applyAlignment="1">
      <alignment vertical="center"/>
    </xf>
    <xf numFmtId="2" fontId="26" fillId="11" borderId="14" xfId="0" applyNumberFormat="1" applyFont="1" applyFill="1" applyBorder="1" applyAlignment="1">
      <alignment vertical="center"/>
    </xf>
    <xf numFmtId="0" fontId="23" fillId="0" borderId="0" xfId="0" applyFont="1"/>
    <xf numFmtId="164" fontId="14" fillId="4" borderId="14" xfId="1" applyFont="1" applyFill="1" applyBorder="1"/>
    <xf numFmtId="0" fontId="14" fillId="15" borderId="14" xfId="0" applyFont="1" applyFill="1" applyBorder="1"/>
    <xf numFmtId="3" fontId="14" fillId="15" borderId="14" xfId="0" applyNumberFormat="1" applyFont="1" applyFill="1" applyBorder="1"/>
    <xf numFmtId="164" fontId="14" fillId="15" borderId="14" xfId="1" applyFont="1" applyFill="1" applyBorder="1"/>
    <xf numFmtId="164" fontId="0" fillId="0" borderId="0" xfId="0" applyNumberFormat="1"/>
    <xf numFmtId="20" fontId="0" fillId="0" borderId="0" xfId="0" applyNumberForma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7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3" xfId="0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14" xfId="0" quotePrefix="1" applyFont="1" applyBorder="1"/>
    <xf numFmtId="3" fontId="14" fillId="0" borderId="0" xfId="0" applyNumberFormat="1" applyFont="1"/>
    <xf numFmtId="164" fontId="14" fillId="0" borderId="0" xfId="1" applyFont="1" applyFill="1"/>
    <xf numFmtId="0" fontId="47" fillId="0" borderId="0" xfId="0" applyFont="1"/>
    <xf numFmtId="166" fontId="47" fillId="6" borderId="0" xfId="0" applyNumberFormat="1" applyFont="1" applyFill="1"/>
    <xf numFmtId="166" fontId="47" fillId="0" borderId="0" xfId="0" applyNumberFormat="1" applyFont="1"/>
    <xf numFmtId="0" fontId="47" fillId="6" borderId="0" xfId="0" applyFont="1" applyFill="1"/>
    <xf numFmtId="0" fontId="48" fillId="0" borderId="0" xfId="0" applyFont="1"/>
    <xf numFmtId="166" fontId="48" fillId="0" borderId="0" xfId="0" applyNumberFormat="1" applyFont="1"/>
    <xf numFmtId="167" fontId="48" fillId="0" borderId="0" xfId="0" applyNumberFormat="1" applyFont="1"/>
    <xf numFmtId="167" fontId="47" fillId="6" borderId="0" xfId="0" applyNumberFormat="1" applyFont="1" applyFill="1"/>
    <xf numFmtId="166" fontId="16" fillId="0" borderId="14" xfId="0" applyNumberFormat="1" applyFont="1" applyBorder="1"/>
    <xf numFmtId="0" fontId="14" fillId="16" borderId="14" xfId="0" applyFont="1" applyFill="1" applyBorder="1"/>
    <xf numFmtId="3" fontId="14" fillId="16" borderId="14" xfId="0" applyNumberFormat="1" applyFont="1" applyFill="1" applyBorder="1"/>
    <xf numFmtId="164" fontId="14" fillId="16" borderId="14" xfId="1" applyFont="1" applyFill="1" applyBorder="1"/>
    <xf numFmtId="0" fontId="0" fillId="12" borderId="14" xfId="0" applyFill="1" applyBorder="1" applyAlignment="1">
      <alignment horizontal="center"/>
    </xf>
    <xf numFmtId="0" fontId="0" fillId="15" borderId="14" xfId="0" applyFill="1" applyBorder="1"/>
    <xf numFmtId="166" fontId="0" fillId="15" borderId="14" xfId="1" applyNumberFormat="1" applyFont="1" applyFill="1" applyBorder="1"/>
    <xf numFmtId="164" fontId="0" fillId="15" borderId="14" xfId="1" applyFont="1" applyFill="1" applyBorder="1"/>
    <xf numFmtId="0" fontId="14" fillId="17" borderId="14" xfId="0" applyFont="1" applyFill="1" applyBorder="1"/>
    <xf numFmtId="3" fontId="14" fillId="17" borderId="14" xfId="0" applyNumberFormat="1" applyFont="1" applyFill="1" applyBorder="1"/>
    <xf numFmtId="164" fontId="14" fillId="17" borderId="14" xfId="1" applyFont="1" applyFill="1" applyBorder="1"/>
    <xf numFmtId="0" fontId="0" fillId="17" borderId="14" xfId="0" applyFill="1" applyBorder="1"/>
    <xf numFmtId="166" fontId="0" fillId="17" borderId="14" xfId="1" applyNumberFormat="1" applyFont="1" applyFill="1" applyBorder="1"/>
    <xf numFmtId="164" fontId="0" fillId="17" borderId="14" xfId="1" applyFont="1" applyFill="1" applyBorder="1"/>
    <xf numFmtId="0" fontId="0" fillId="0" borderId="14" xfId="0" applyBorder="1" applyAlignment="1">
      <alignment wrapText="1"/>
    </xf>
    <xf numFmtId="0" fontId="0" fillId="17" borderId="14" xfId="0" quotePrefix="1" applyFill="1" applyBorder="1"/>
    <xf numFmtId="0" fontId="14" fillId="17" borderId="14" xfId="0" applyFont="1" applyFill="1" applyBorder="1" applyAlignment="1">
      <alignment wrapText="1"/>
    </xf>
    <xf numFmtId="0" fontId="0" fillId="17" borderId="14" xfId="0" applyFill="1" applyBorder="1" applyAlignment="1">
      <alignment horizontal="center"/>
    </xf>
    <xf numFmtId="3" fontId="44" fillId="0" borderId="14" xfId="0" applyNumberFormat="1" applyFont="1" applyBorder="1" applyAlignment="1">
      <alignment horizontal="left"/>
    </xf>
    <xf numFmtId="0" fontId="44" fillId="17" borderId="14" xfId="0" applyFont="1" applyFill="1" applyBorder="1"/>
    <xf numFmtId="0" fontId="2" fillId="17" borderId="14" xfId="0" applyFont="1" applyFill="1" applyBorder="1"/>
    <xf numFmtId="0" fontId="0" fillId="0" borderId="14" xfId="0" applyBorder="1" applyAlignment="1">
      <alignment horizontal="left" vertical="center"/>
    </xf>
    <xf numFmtId="3" fontId="44" fillId="0" borderId="14" xfId="0" applyNumberFormat="1" applyFont="1" applyBorder="1" applyAlignment="1">
      <alignment horizontal="left" vertical="center"/>
    </xf>
    <xf numFmtId="166" fontId="0" fillId="0" borderId="14" xfId="1" applyNumberFormat="1" applyFont="1" applyFill="1" applyBorder="1" applyAlignment="1">
      <alignment vertical="center"/>
    </xf>
    <xf numFmtId="0" fontId="44" fillId="17" borderId="14" xfId="0" applyFont="1" applyFill="1" applyBorder="1" applyAlignment="1">
      <alignment vertical="center"/>
    </xf>
    <xf numFmtId="0" fontId="44" fillId="17" borderId="14" xfId="0" applyFont="1" applyFill="1" applyBorder="1" applyAlignment="1">
      <alignment vertical="center" wrapText="1"/>
    </xf>
    <xf numFmtId="0" fontId="14" fillId="17" borderId="14" xfId="0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17" borderId="14" xfId="0" quotePrefix="1" applyFill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0" fillId="0" borderId="14" xfId="0" applyNumberFormat="1" applyBorder="1" applyAlignment="1">
      <alignment vertical="center"/>
    </xf>
    <xf numFmtId="0" fontId="0" fillId="0" borderId="14" xfId="0" quotePrefix="1" applyBorder="1" applyAlignment="1">
      <alignment vertical="center"/>
    </xf>
    <xf numFmtId="0" fontId="12" fillId="0" borderId="4" xfId="0" applyFont="1" applyBorder="1" applyAlignment="1">
      <alignment horizontal="left"/>
    </xf>
    <xf numFmtId="0" fontId="14" fillId="0" borderId="11" xfId="0" applyFont="1" applyBorder="1"/>
    <xf numFmtId="0" fontId="2" fillId="0" borderId="14" xfId="0" applyFont="1" applyBorder="1" applyAlignment="1">
      <alignment horizontal="center"/>
    </xf>
    <xf numFmtId="164" fontId="14" fillId="0" borderId="0" xfId="1" applyFont="1" applyFill="1" applyBorder="1"/>
    <xf numFmtId="0" fontId="51" fillId="0" borderId="0" xfId="0" applyFont="1" applyAlignment="1">
      <alignment horizontal="left"/>
    </xf>
    <xf numFmtId="166" fontId="14" fillId="0" borderId="0" xfId="0" applyNumberFormat="1" applyFont="1"/>
    <xf numFmtId="3" fontId="51" fillId="0" borderId="0" xfId="0" applyNumberFormat="1" applyFont="1" applyAlignment="1">
      <alignment horizontal="left"/>
    </xf>
    <xf numFmtId="166" fontId="14" fillId="4" borderId="14" xfId="1" applyNumberFormat="1" applyFont="1" applyFill="1" applyBorder="1"/>
    <xf numFmtId="0" fontId="45" fillId="4" borderId="14" xfId="0" applyFont="1" applyFill="1" applyBorder="1"/>
    <xf numFmtId="166" fontId="44" fillId="0" borderId="0" xfId="0" applyNumberFormat="1" applyFont="1" applyAlignment="1">
      <alignment horizontal="left"/>
    </xf>
    <xf numFmtId="0" fontId="52" fillId="0" borderId="0" xfId="0" applyFont="1" applyAlignment="1">
      <alignment horizontal="right" vertical="center"/>
    </xf>
    <xf numFmtId="166" fontId="24" fillId="0" borderId="0" xfId="0" applyNumberFormat="1" applyFont="1"/>
    <xf numFmtId="0" fontId="16" fillId="18" borderId="32" xfId="2" applyFont="1" applyAlignment="1">
      <alignment horizontal="center" vertical="center"/>
    </xf>
    <xf numFmtId="9" fontId="16" fillId="18" borderId="32" xfId="2" applyNumberFormat="1" applyFont="1" applyAlignment="1">
      <alignment horizontal="center" vertical="center"/>
    </xf>
    <xf numFmtId="17" fontId="45" fillId="18" borderId="32" xfId="2" quotePrefix="1" applyNumberFormat="1" applyFont="1" applyAlignment="1">
      <alignment vertical="center"/>
    </xf>
    <xf numFmtId="0" fontId="0" fillId="18" borderId="32" xfId="2" applyFont="1" applyAlignment="1">
      <alignment horizontal="center" vertical="center"/>
    </xf>
    <xf numFmtId="0" fontId="45" fillId="18" borderId="32" xfId="2" quotePrefix="1" applyFont="1" applyAlignment="1">
      <alignment vertical="center"/>
    </xf>
    <xf numFmtId="166" fontId="0" fillId="18" borderId="32" xfId="2" applyNumberFormat="1" applyFont="1" applyAlignment="1">
      <alignment horizontal="center" vertical="center"/>
    </xf>
    <xf numFmtId="167" fontId="0" fillId="18" borderId="32" xfId="2" applyNumberFormat="1" applyFont="1" applyAlignment="1">
      <alignment horizontal="center" vertical="center"/>
    </xf>
    <xf numFmtId="166" fontId="46" fillId="18" borderId="32" xfId="2" applyNumberFormat="1" applyFont="1"/>
    <xf numFmtId="0" fontId="53" fillId="18" borderId="32" xfId="2" applyFont="1" applyAlignment="1">
      <alignment horizontal="center" vertical="center"/>
    </xf>
    <xf numFmtId="166" fontId="0" fillId="8" borderId="14" xfId="1" applyNumberFormat="1" applyFont="1" applyFill="1" applyBorder="1"/>
    <xf numFmtId="0" fontId="0" fillId="14" borderId="14" xfId="0" applyFill="1" applyBorder="1"/>
    <xf numFmtId="166" fontId="0" fillId="14" borderId="14" xfId="1" applyNumberFormat="1" applyFont="1" applyFill="1" applyBorder="1"/>
    <xf numFmtId="164" fontId="0" fillId="14" borderId="14" xfId="1" applyFont="1" applyFill="1" applyBorder="1"/>
    <xf numFmtId="0" fontId="0" fillId="13" borderId="14" xfId="0" applyFill="1" applyBorder="1"/>
    <xf numFmtId="166" fontId="0" fillId="13" borderId="14" xfId="1" applyNumberFormat="1" applyFont="1" applyFill="1" applyBorder="1"/>
    <xf numFmtId="0" fontId="0" fillId="10" borderId="14" xfId="0" applyFill="1" applyBorder="1"/>
    <xf numFmtId="166" fontId="0" fillId="10" borderId="14" xfId="1" applyNumberFormat="1" applyFont="1" applyFill="1" applyBorder="1"/>
    <xf numFmtId="0" fontId="0" fillId="6" borderId="14" xfId="0" applyFill="1" applyBorder="1" applyAlignment="1">
      <alignment horizontal="center"/>
    </xf>
    <xf numFmtId="0" fontId="2" fillId="6" borderId="14" xfId="0" applyFont="1" applyFill="1" applyBorder="1"/>
    <xf numFmtId="0" fontId="0" fillId="6" borderId="14" xfId="0" quotePrefix="1" applyFill="1" applyBorder="1"/>
    <xf numFmtId="0" fontId="2" fillId="6" borderId="14" xfId="0" applyFont="1" applyFill="1" applyBorder="1" applyAlignment="1">
      <alignment wrapText="1"/>
    </xf>
    <xf numFmtId="0" fontId="5" fillId="6" borderId="14" xfId="0" applyFont="1" applyFill="1" applyBorder="1"/>
    <xf numFmtId="0" fontId="0" fillId="6" borderId="14" xfId="0" applyFill="1" applyBorder="1" applyAlignment="1">
      <alignment horizontal="center" vertical="center"/>
    </xf>
    <xf numFmtId="0" fontId="44" fillId="3" borderId="14" xfId="0" applyFont="1" applyFill="1" applyBorder="1" applyAlignment="1">
      <alignment wrapText="1"/>
    </xf>
    <xf numFmtId="166" fontId="0" fillId="3" borderId="14" xfId="1" applyNumberFormat="1" applyFont="1" applyFill="1" applyBorder="1"/>
    <xf numFmtId="2" fontId="0" fillId="3" borderId="14" xfId="0" applyNumberFormat="1" applyFill="1" applyBorder="1"/>
    <xf numFmtId="0" fontId="14" fillId="14" borderId="14" xfId="0" applyFont="1" applyFill="1" applyBorder="1" applyAlignment="1">
      <alignment wrapText="1"/>
    </xf>
    <xf numFmtId="2" fontId="0" fillId="14" borderId="14" xfId="0" applyNumberFormat="1" applyFill="1" applyBorder="1"/>
    <xf numFmtId="0" fontId="55" fillId="19" borderId="14" xfId="0" applyFont="1" applyFill="1" applyBorder="1"/>
    <xf numFmtId="166" fontId="55" fillId="19" borderId="14" xfId="0" applyNumberFormat="1" applyFont="1" applyFill="1" applyBorder="1"/>
    <xf numFmtId="0" fontId="56" fillId="19" borderId="14" xfId="0" applyFont="1" applyFill="1" applyBorder="1"/>
    <xf numFmtId="17" fontId="35" fillId="0" borderId="14" xfId="0" quotePrefix="1" applyNumberFormat="1" applyFont="1" applyBorder="1" applyAlignment="1">
      <alignment horizontal="center" vertical="center"/>
    </xf>
    <xf numFmtId="166" fontId="34" fillId="0" borderId="14" xfId="1" applyNumberFormat="1" applyFont="1" applyFill="1" applyBorder="1" applyAlignment="1">
      <alignment horizontal="center" vertical="center"/>
    </xf>
    <xf numFmtId="166" fontId="35" fillId="0" borderId="14" xfId="1" applyNumberFormat="1" applyFont="1" applyFill="1" applyBorder="1" applyAlignment="1">
      <alignment horizontal="center" vertical="center"/>
    </xf>
    <xf numFmtId="166" fontId="35" fillId="0" borderId="14" xfId="0" applyNumberFormat="1" applyFont="1" applyBorder="1" applyAlignment="1">
      <alignment horizontal="center" vertical="center"/>
    </xf>
    <xf numFmtId="166" fontId="58" fillId="0" borderId="14" xfId="1" applyNumberFormat="1" applyFont="1" applyFill="1" applyBorder="1" applyAlignment="1">
      <alignment horizontal="center" vertical="center"/>
    </xf>
    <xf numFmtId="3" fontId="58" fillId="0" borderId="14" xfId="0" applyNumberFormat="1" applyFont="1" applyBorder="1" applyAlignment="1">
      <alignment horizontal="center" vertical="center"/>
    </xf>
    <xf numFmtId="17" fontId="35" fillId="0" borderId="14" xfId="0" quotePrefix="1" applyNumberFormat="1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/>
    </xf>
    <xf numFmtId="17" fontId="35" fillId="0" borderId="5" xfId="0" quotePrefix="1" applyNumberFormat="1" applyFont="1" applyBorder="1" applyAlignment="1">
      <alignment horizontal="center" vertical="center"/>
    </xf>
    <xf numFmtId="166" fontId="34" fillId="0" borderId="5" xfId="1" applyNumberFormat="1" applyFont="1" applyFill="1" applyBorder="1" applyAlignment="1">
      <alignment horizontal="center" vertical="center"/>
    </xf>
    <xf numFmtId="166" fontId="35" fillId="0" borderId="5" xfId="1" applyNumberFormat="1" applyFont="1" applyFill="1" applyBorder="1" applyAlignment="1">
      <alignment horizontal="center" vertical="center"/>
    </xf>
    <xf numFmtId="166" fontId="35" fillId="0" borderId="5" xfId="0" applyNumberFormat="1" applyFont="1" applyBorder="1" applyAlignment="1">
      <alignment horizontal="center" vertical="center"/>
    </xf>
    <xf numFmtId="166" fontId="58" fillId="0" borderId="5" xfId="1" applyNumberFormat="1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 wrapText="1"/>
    </xf>
    <xf numFmtId="0" fontId="54" fillId="0" borderId="27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 wrapText="1"/>
    </xf>
    <xf numFmtId="0" fontId="57" fillId="9" borderId="37" xfId="0" applyFont="1" applyFill="1" applyBorder="1" applyAlignment="1">
      <alignment horizontal="center" vertical="center"/>
    </xf>
    <xf numFmtId="0" fontId="54" fillId="0" borderId="38" xfId="0" applyFont="1" applyBorder="1" applyAlignment="1">
      <alignment horizontal="center" vertical="center" wrapText="1"/>
    </xf>
    <xf numFmtId="0" fontId="44" fillId="0" borderId="14" xfId="0" applyFont="1" applyBorder="1"/>
    <xf numFmtId="0" fontId="2" fillId="0" borderId="14" xfId="0" applyFont="1" applyBorder="1" applyAlignment="1">
      <alignment wrapText="1"/>
    </xf>
    <xf numFmtId="0" fontId="44" fillId="0" borderId="14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2" fontId="0" fillId="0" borderId="14" xfId="0" applyNumberFormat="1" applyBorder="1" applyAlignment="1">
      <alignment horizontal="right"/>
    </xf>
    <xf numFmtId="166" fontId="34" fillId="11" borderId="14" xfId="1" applyNumberFormat="1" applyFont="1" applyFill="1" applyBorder="1"/>
    <xf numFmtId="166" fontId="35" fillId="11" borderId="14" xfId="1" applyNumberFormat="1" applyFont="1" applyFill="1" applyBorder="1"/>
    <xf numFmtId="166" fontId="35" fillId="11" borderId="14" xfId="0" applyNumberFormat="1" applyFont="1" applyFill="1" applyBorder="1"/>
    <xf numFmtId="166" fontId="16" fillId="11" borderId="14" xfId="0" applyNumberFormat="1" applyFont="1" applyFill="1" applyBorder="1"/>
    <xf numFmtId="17" fontId="34" fillId="2" borderId="14" xfId="0" applyNumberFormat="1" applyFont="1" applyFill="1" applyBorder="1" applyAlignment="1">
      <alignment horizontal="left"/>
    </xf>
    <xf numFmtId="166" fontId="34" fillId="2" borderId="14" xfId="1" applyNumberFormat="1" applyFont="1" applyFill="1" applyBorder="1"/>
    <xf numFmtId="166" fontId="35" fillId="2" borderId="14" xfId="1" applyNumberFormat="1" applyFont="1" applyFill="1" applyBorder="1"/>
    <xf numFmtId="166" fontId="35" fillId="2" borderId="14" xfId="0" applyNumberFormat="1" applyFont="1" applyFill="1" applyBorder="1"/>
    <xf numFmtId="0" fontId="0" fillId="2" borderId="14" xfId="0" applyFill="1" applyBorder="1"/>
    <xf numFmtId="166" fontId="16" fillId="2" borderId="14" xfId="0" applyNumberFormat="1" applyFont="1" applyFill="1" applyBorder="1"/>
    <xf numFmtId="17" fontId="34" fillId="2" borderId="14" xfId="0" quotePrefix="1" applyNumberFormat="1" applyFont="1" applyFill="1" applyBorder="1" applyAlignment="1">
      <alignment horizontal="left"/>
    </xf>
    <xf numFmtId="17" fontId="34" fillId="2" borderId="14" xfId="0" applyNumberFormat="1" applyFont="1" applyFill="1" applyBorder="1" applyAlignment="1">
      <alignment horizontal="left" vertical="center"/>
    </xf>
    <xf numFmtId="166" fontId="34" fillId="2" borderId="14" xfId="1" applyNumberFormat="1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3" fontId="0" fillId="2" borderId="14" xfId="0" applyNumberFormat="1" applyFill="1" applyBorder="1" applyAlignment="1">
      <alignment vertical="center"/>
    </xf>
    <xf numFmtId="17" fontId="34" fillId="11" borderId="14" xfId="0" applyNumberFormat="1" applyFont="1" applyFill="1" applyBorder="1"/>
    <xf numFmtId="166" fontId="0" fillId="11" borderId="14" xfId="0" applyNumberFormat="1" applyFill="1" applyBorder="1"/>
    <xf numFmtId="166" fontId="0" fillId="11" borderId="14" xfId="1" applyNumberFormat="1" applyFont="1" applyFill="1" applyBorder="1"/>
    <xf numFmtId="17" fontId="34" fillId="20" borderId="14" xfId="0" applyNumberFormat="1" applyFont="1" applyFill="1" applyBorder="1" applyAlignment="1">
      <alignment horizontal="left"/>
    </xf>
    <xf numFmtId="166" fontId="34" fillId="20" borderId="14" xfId="1" applyNumberFormat="1" applyFont="1" applyFill="1" applyBorder="1"/>
    <xf numFmtId="166" fontId="35" fillId="20" borderId="14" xfId="1" applyNumberFormat="1" applyFont="1" applyFill="1" applyBorder="1"/>
    <xf numFmtId="166" fontId="35" fillId="20" borderId="14" xfId="0" applyNumberFormat="1" applyFont="1" applyFill="1" applyBorder="1"/>
    <xf numFmtId="0" fontId="0" fillId="20" borderId="14" xfId="0" applyFill="1" applyBorder="1"/>
    <xf numFmtId="166" fontId="16" fillId="20" borderId="14" xfId="0" applyNumberFormat="1" applyFont="1" applyFill="1" applyBorder="1"/>
    <xf numFmtId="166" fontId="0" fillId="9" borderId="14" xfId="1" applyNumberFormat="1" applyFont="1" applyFill="1" applyBorder="1"/>
    <xf numFmtId="164" fontId="0" fillId="9" borderId="14" xfId="1" applyFont="1" applyFill="1" applyBorder="1"/>
    <xf numFmtId="166" fontId="35" fillId="8" borderId="14" xfId="1" applyNumberFormat="1" applyFont="1" applyFill="1" applyBorder="1" applyAlignment="1">
      <alignment horizontal="center" vertical="center"/>
    </xf>
    <xf numFmtId="166" fontId="54" fillId="9" borderId="0" xfId="0" applyNumberFormat="1" applyFont="1" applyFill="1"/>
    <xf numFmtId="17" fontId="34" fillId="21" borderId="14" xfId="0" quotePrefix="1" applyNumberFormat="1" applyFont="1" applyFill="1" applyBorder="1" applyAlignment="1">
      <alignment horizontal="left" vertical="center"/>
    </xf>
    <xf numFmtId="166" fontId="34" fillId="21" borderId="14" xfId="1" applyNumberFormat="1" applyFont="1" applyFill="1" applyBorder="1" applyAlignment="1">
      <alignment vertical="center"/>
    </xf>
    <xf numFmtId="166" fontId="35" fillId="21" borderId="14" xfId="1" applyNumberFormat="1" applyFont="1" applyFill="1" applyBorder="1"/>
    <xf numFmtId="166" fontId="35" fillId="21" borderId="14" xfId="0" applyNumberFormat="1" applyFont="1" applyFill="1" applyBorder="1"/>
    <xf numFmtId="0" fontId="0" fillId="21" borderId="14" xfId="0" applyFill="1" applyBorder="1"/>
    <xf numFmtId="166" fontId="16" fillId="21" borderId="14" xfId="0" applyNumberFormat="1" applyFont="1" applyFill="1" applyBorder="1"/>
    <xf numFmtId="17" fontId="34" fillId="21" borderId="14" xfId="0" applyNumberFormat="1" applyFont="1" applyFill="1" applyBorder="1" applyAlignment="1">
      <alignment horizontal="left" vertical="center"/>
    </xf>
    <xf numFmtId="3" fontId="0" fillId="5" borderId="0" xfId="0" applyNumberFormat="1" applyFill="1"/>
    <xf numFmtId="0" fontId="0" fillId="5" borderId="0" xfId="0" applyFill="1"/>
    <xf numFmtId="0" fontId="0" fillId="4" borderId="14" xfId="0" applyFill="1" applyBorder="1" applyAlignment="1">
      <alignment horizontal="center"/>
    </xf>
    <xf numFmtId="0" fontId="0" fillId="4" borderId="14" xfId="0" applyFill="1" applyBorder="1"/>
    <xf numFmtId="0" fontId="0" fillId="4" borderId="14" xfId="0" quotePrefix="1" applyFill="1" applyBorder="1"/>
    <xf numFmtId="17" fontId="34" fillId="22" borderId="14" xfId="0" applyNumberFormat="1" applyFont="1" applyFill="1" applyBorder="1" applyAlignment="1">
      <alignment horizontal="left" vertical="center"/>
    </xf>
    <xf numFmtId="166" fontId="34" fillId="22" borderId="14" xfId="1" applyNumberFormat="1" applyFont="1" applyFill="1" applyBorder="1" applyAlignment="1">
      <alignment vertical="center"/>
    </xf>
    <xf numFmtId="166" fontId="35" fillId="22" borderId="14" xfId="1" applyNumberFormat="1" applyFont="1" applyFill="1" applyBorder="1"/>
    <xf numFmtId="166" fontId="35" fillId="22" borderId="14" xfId="0" applyNumberFormat="1" applyFont="1" applyFill="1" applyBorder="1"/>
    <xf numFmtId="0" fontId="0" fillId="22" borderId="14" xfId="0" applyFill="1" applyBorder="1"/>
    <xf numFmtId="3" fontId="0" fillId="22" borderId="14" xfId="0" applyNumberFormat="1" applyFill="1" applyBorder="1"/>
    <xf numFmtId="166" fontId="16" fillId="22" borderId="14" xfId="0" applyNumberFormat="1" applyFont="1" applyFill="1" applyBorder="1"/>
    <xf numFmtId="17" fontId="34" fillId="12" borderId="14" xfId="0" applyNumberFormat="1" applyFont="1" applyFill="1" applyBorder="1" applyAlignment="1">
      <alignment horizontal="left" vertical="center"/>
    </xf>
    <xf numFmtId="166" fontId="34" fillId="12" borderId="14" xfId="1" applyNumberFormat="1" applyFont="1" applyFill="1" applyBorder="1" applyAlignment="1">
      <alignment vertical="center"/>
    </xf>
    <xf numFmtId="166" fontId="35" fillId="12" borderId="14" xfId="1" applyNumberFormat="1" applyFont="1" applyFill="1" applyBorder="1"/>
    <xf numFmtId="166" fontId="35" fillId="12" borderId="14" xfId="0" applyNumberFormat="1" applyFont="1" applyFill="1" applyBorder="1"/>
    <xf numFmtId="0" fontId="0" fillId="12" borderId="14" xfId="0" applyFill="1" applyBorder="1"/>
    <xf numFmtId="166" fontId="16" fillId="12" borderId="14" xfId="0" applyNumberFormat="1" applyFont="1" applyFill="1" applyBorder="1"/>
    <xf numFmtId="2" fontId="0" fillId="0" borderId="14" xfId="0" applyNumberFormat="1" applyBorder="1" applyAlignment="1">
      <alignment horizontal="left"/>
    </xf>
    <xf numFmtId="17" fontId="34" fillId="9" borderId="14" xfId="0" applyNumberFormat="1" applyFont="1" applyFill="1" applyBorder="1" applyAlignment="1">
      <alignment vertical="center"/>
    </xf>
    <xf numFmtId="166" fontId="34" fillId="9" borderId="14" xfId="1" applyNumberFormat="1" applyFont="1" applyFill="1" applyBorder="1" applyAlignment="1">
      <alignment vertical="center"/>
    </xf>
    <xf numFmtId="166" fontId="35" fillId="9" borderId="14" xfId="1" applyNumberFormat="1" applyFont="1" applyFill="1" applyBorder="1"/>
    <xf numFmtId="166" fontId="35" fillId="9" borderId="14" xfId="0" applyNumberFormat="1" applyFont="1" applyFill="1" applyBorder="1"/>
    <xf numFmtId="0" fontId="0" fillId="9" borderId="14" xfId="0" applyFill="1" applyBorder="1"/>
    <xf numFmtId="166" fontId="16" fillId="9" borderId="14" xfId="0" applyNumberFormat="1" applyFont="1" applyFill="1" applyBorder="1"/>
    <xf numFmtId="17" fontId="34" fillId="14" borderId="14" xfId="0" applyNumberFormat="1" applyFont="1" applyFill="1" applyBorder="1" applyAlignment="1">
      <alignment horizontal="left" vertical="center"/>
    </xf>
    <xf numFmtId="166" fontId="34" fillId="14" borderId="14" xfId="1" applyNumberFormat="1" applyFont="1" applyFill="1" applyBorder="1" applyAlignment="1">
      <alignment vertical="center"/>
    </xf>
    <xf numFmtId="166" fontId="35" fillId="14" borderId="14" xfId="1" applyNumberFormat="1" applyFont="1" applyFill="1" applyBorder="1"/>
    <xf numFmtId="166" fontId="35" fillId="14" borderId="14" xfId="0" applyNumberFormat="1" applyFont="1" applyFill="1" applyBorder="1"/>
    <xf numFmtId="166" fontId="16" fillId="14" borderId="14" xfId="0" applyNumberFormat="1" applyFont="1" applyFill="1" applyBorder="1"/>
    <xf numFmtId="166" fontId="35" fillId="17" borderId="14" xfId="1" applyNumberFormat="1" applyFont="1" applyFill="1" applyBorder="1"/>
    <xf numFmtId="166" fontId="35" fillId="17" borderId="14" xfId="0" applyNumberFormat="1" applyFont="1" applyFill="1" applyBorder="1"/>
    <xf numFmtId="17" fontId="34" fillId="0" borderId="14" xfId="0" quotePrefix="1" applyNumberFormat="1" applyFont="1" applyBorder="1" applyAlignment="1">
      <alignment horizontal="left" vertical="center"/>
    </xf>
    <xf numFmtId="17" fontId="34" fillId="20" borderId="14" xfId="0" applyNumberFormat="1" applyFont="1" applyFill="1" applyBorder="1" applyAlignment="1">
      <alignment horizontal="left" vertical="center"/>
    </xf>
    <xf numFmtId="166" fontId="34" fillId="20" borderId="14" xfId="1" applyNumberFormat="1" applyFont="1" applyFill="1" applyBorder="1" applyAlignment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166" fontId="26" fillId="11" borderId="9" xfId="0" applyNumberFormat="1" applyFont="1" applyFill="1" applyBorder="1" applyAlignment="1">
      <alignment horizontal="center" vertical="center"/>
    </xf>
    <xf numFmtId="166" fontId="26" fillId="11" borderId="16" xfId="0" applyNumberFormat="1" applyFont="1" applyFill="1" applyBorder="1" applyAlignment="1">
      <alignment horizontal="center" vertical="center"/>
    </xf>
    <xf numFmtId="166" fontId="26" fillId="11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167" fontId="33" fillId="0" borderId="9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167" fontId="33" fillId="0" borderId="16" xfId="0" applyNumberFormat="1" applyFont="1" applyBorder="1" applyAlignment="1">
      <alignment horizontal="center"/>
    </xf>
    <xf numFmtId="167" fontId="33" fillId="0" borderId="10" xfId="0" applyNumberFormat="1" applyFont="1" applyBorder="1" applyAlignment="1">
      <alignment horizontal="center"/>
    </xf>
    <xf numFmtId="0" fontId="24" fillId="7" borderId="14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 wrapText="1"/>
    </xf>
    <xf numFmtId="0" fontId="26" fillId="11" borderId="9" xfId="0" applyFont="1" applyFill="1" applyBorder="1" applyAlignment="1">
      <alignment horizontal="right" vertical="center"/>
    </xf>
    <xf numFmtId="0" fontId="26" fillId="11" borderId="16" xfId="0" applyFont="1" applyFill="1" applyBorder="1" applyAlignment="1">
      <alignment horizontal="right" vertical="center"/>
    </xf>
    <xf numFmtId="0" fontId="26" fillId="11" borderId="10" xfId="0" applyFont="1" applyFill="1" applyBorder="1" applyAlignment="1">
      <alignment horizontal="right" vertical="center"/>
    </xf>
    <xf numFmtId="2" fontId="26" fillId="11" borderId="9" xfId="0" applyNumberFormat="1" applyFont="1" applyFill="1" applyBorder="1" applyAlignment="1">
      <alignment horizontal="right" vertical="center"/>
    </xf>
    <xf numFmtId="2" fontId="26" fillId="11" borderId="16" xfId="0" applyNumberFormat="1" applyFont="1" applyFill="1" applyBorder="1" applyAlignment="1">
      <alignment horizontal="right" vertical="center"/>
    </xf>
    <xf numFmtId="2" fontId="26" fillId="11" borderId="10" xfId="0" applyNumberFormat="1" applyFont="1" applyFill="1" applyBorder="1" applyAlignment="1">
      <alignment horizontal="right" vertical="center"/>
    </xf>
    <xf numFmtId="0" fontId="26" fillId="11" borderId="9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/>
    </xf>
    <xf numFmtId="0" fontId="16" fillId="18" borderId="32" xfId="2" applyFont="1" applyAlignment="1">
      <alignment horizontal="center" vertical="center"/>
    </xf>
    <xf numFmtId="0" fontId="0" fillId="18" borderId="32" xfId="2" applyFont="1" applyAlignment="1">
      <alignment horizontal="center" vertical="center"/>
    </xf>
    <xf numFmtId="167" fontId="0" fillId="18" borderId="32" xfId="2" applyNumberFormat="1" applyFont="1" applyAlignment="1">
      <alignment horizontal="center" vertical="center"/>
    </xf>
    <xf numFmtId="0" fontId="57" fillId="19" borderId="37" xfId="0" applyFont="1" applyFill="1" applyBorder="1" applyAlignment="1">
      <alignment horizontal="center" vertical="center" wrapText="1"/>
    </xf>
    <xf numFmtId="0" fontId="57" fillId="19" borderId="38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57" fillId="3" borderId="22" xfId="0" applyFont="1" applyFill="1" applyBorder="1" applyAlignment="1">
      <alignment horizontal="center" vertical="center"/>
    </xf>
    <xf numFmtId="0" fontId="57" fillId="3" borderId="34" xfId="0" applyFont="1" applyFill="1" applyBorder="1" applyAlignment="1">
      <alignment horizontal="center" vertical="center"/>
    </xf>
    <xf numFmtId="0" fontId="57" fillId="3" borderId="23" xfId="0" applyFont="1" applyFill="1" applyBorder="1" applyAlignment="1">
      <alignment horizontal="center" vertical="center"/>
    </xf>
    <xf numFmtId="0" fontId="57" fillId="4" borderId="22" xfId="0" applyFont="1" applyFill="1" applyBorder="1" applyAlignment="1">
      <alignment horizontal="center" vertical="center"/>
    </xf>
    <xf numFmtId="0" fontId="57" fillId="4" borderId="34" xfId="0" applyFont="1" applyFill="1" applyBorder="1" applyAlignment="1">
      <alignment horizontal="center" vertical="center"/>
    </xf>
    <xf numFmtId="0" fontId="57" fillId="4" borderId="23" xfId="0" applyFont="1" applyFill="1" applyBorder="1" applyAlignment="1">
      <alignment horizontal="center" vertical="center"/>
    </xf>
    <xf numFmtId="0" fontId="57" fillId="2" borderId="22" xfId="0" applyFont="1" applyFill="1" applyBorder="1" applyAlignment="1">
      <alignment horizontal="center" vertical="center"/>
    </xf>
    <xf numFmtId="0" fontId="57" fillId="2" borderId="34" xfId="0" applyFont="1" applyFill="1" applyBorder="1" applyAlignment="1">
      <alignment horizontal="center" vertical="center"/>
    </xf>
    <xf numFmtId="0" fontId="57" fillId="2" borderId="23" xfId="0" applyFont="1" applyFill="1" applyBorder="1" applyAlignment="1">
      <alignment horizontal="center" vertical="center"/>
    </xf>
    <xf numFmtId="0" fontId="57" fillId="5" borderId="22" xfId="0" applyFont="1" applyFill="1" applyBorder="1" applyAlignment="1">
      <alignment horizontal="center" vertical="center"/>
    </xf>
    <xf numFmtId="0" fontId="57" fillId="5" borderId="34" xfId="0" applyFont="1" applyFill="1" applyBorder="1" applyAlignment="1">
      <alignment horizontal="center" vertical="center"/>
    </xf>
    <xf numFmtId="0" fontId="57" fillId="5" borderId="23" xfId="0" applyFont="1" applyFill="1" applyBorder="1" applyAlignment="1">
      <alignment horizontal="center" vertical="center"/>
    </xf>
    <xf numFmtId="0" fontId="57" fillId="7" borderId="22" xfId="0" applyFont="1" applyFill="1" applyBorder="1" applyAlignment="1">
      <alignment horizontal="center" vertical="center"/>
    </xf>
    <xf numFmtId="0" fontId="57" fillId="7" borderId="34" xfId="0" applyFont="1" applyFill="1" applyBorder="1" applyAlignment="1">
      <alignment horizontal="center" vertical="center"/>
    </xf>
    <xf numFmtId="0" fontId="57" fillId="7" borderId="2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59" fillId="0" borderId="0" xfId="0" quotePrefix="1" applyNumberFormat="1" applyFont="1" applyAlignment="1">
      <alignment horizontal="center"/>
    </xf>
    <xf numFmtId="165" fontId="59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165" fontId="3" fillId="0" borderId="0" xfId="0" quotePrefix="1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167" fontId="0" fillId="0" borderId="0" xfId="0" applyNumberFormat="1" applyAlignment="1">
      <alignment horizontal="center"/>
    </xf>
    <xf numFmtId="0" fontId="24" fillId="0" borderId="0" xfId="0" applyFont="1" applyAlignment="1">
      <alignment horizontal="center" vertical="center"/>
    </xf>
    <xf numFmtId="166" fontId="39" fillId="0" borderId="18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38" fillId="0" borderId="17" xfId="0" applyFont="1" applyBorder="1" applyAlignment="1">
      <alignment horizontal="right"/>
    </xf>
    <xf numFmtId="0" fontId="38" fillId="0" borderId="18" xfId="0" applyFont="1" applyBorder="1" applyAlignment="1">
      <alignment horizontal="right"/>
    </xf>
    <xf numFmtId="166" fontId="38" fillId="0" borderId="18" xfId="0" applyNumberFormat="1" applyFont="1" applyBorder="1" applyAlignment="1">
      <alignment horizontal="center"/>
    </xf>
    <xf numFmtId="166" fontId="38" fillId="0" borderId="19" xfId="0" applyNumberFormat="1" applyFont="1" applyBorder="1" applyAlignment="1">
      <alignment horizontal="center"/>
    </xf>
    <xf numFmtId="17" fontId="22" fillId="0" borderId="22" xfId="0" applyNumberFormat="1" applyFont="1" applyBorder="1" applyAlignment="1">
      <alignment horizontal="center" vertical="center"/>
    </xf>
    <xf numFmtId="17" fontId="22" fillId="0" borderId="23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te" xfId="2" builtinId="10"/>
  </cellStyles>
  <dxfs count="0"/>
  <tableStyles count="0" defaultTableStyle="TableStyleMedium2" defaultPivotStyle="PivotStyleMedium9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63"/>
  <sheetViews>
    <sheetView view="pageBreakPreview" topLeftCell="B10" zoomScale="73" zoomScaleNormal="73" zoomScaleSheetLayoutView="73" zoomScalePageLayoutView="84" workbookViewId="0">
      <selection activeCell="M32" sqref="M32"/>
    </sheetView>
  </sheetViews>
  <sheetFormatPr defaultRowHeight="15" x14ac:dyDescent="0.25"/>
  <cols>
    <col min="1" max="1" width="17.28515625" customWidth="1"/>
    <col min="2" max="2" width="24.28515625" customWidth="1"/>
    <col min="3" max="3" width="19.42578125" customWidth="1"/>
    <col min="4" max="4" width="29.28515625" customWidth="1"/>
    <col min="5" max="5" width="15.7109375" customWidth="1"/>
    <col min="6" max="6" width="13.140625" customWidth="1"/>
    <col min="7" max="7" width="23.140625" customWidth="1"/>
    <col min="8" max="8" width="16.42578125" customWidth="1"/>
    <col min="9" max="9" width="14.7109375" customWidth="1"/>
    <col min="10" max="10" width="17.140625" customWidth="1"/>
    <col min="11" max="11" width="16.85546875" customWidth="1"/>
    <col min="12" max="12" width="15.140625" customWidth="1"/>
    <col min="13" max="13" width="17.7109375" customWidth="1"/>
    <col min="14" max="14" width="14.85546875" customWidth="1"/>
    <col min="15" max="15" width="15.42578125" customWidth="1"/>
    <col min="16" max="16" width="26.28515625" customWidth="1"/>
    <col min="17" max="17" width="18.42578125" customWidth="1"/>
    <col min="18" max="18" width="17.7109375" customWidth="1"/>
    <col min="19" max="19" width="26.7109375" customWidth="1"/>
    <col min="21" max="21" width="6.28515625" customWidth="1"/>
    <col min="22" max="22" width="21.7109375" customWidth="1"/>
    <col min="23" max="23" width="12.42578125" customWidth="1"/>
    <col min="24" max="24" width="16.5703125" customWidth="1"/>
  </cols>
  <sheetData>
    <row r="1" spans="1:19" ht="25.5" x14ac:dyDescent="0.35">
      <c r="A1" s="379" t="s">
        <v>423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</row>
    <row r="3" spans="1:19" ht="30" customHeight="1" x14ac:dyDescent="0.25">
      <c r="A3" s="380" t="s">
        <v>122</v>
      </c>
      <c r="B3" s="395" t="s">
        <v>119</v>
      </c>
      <c r="C3" s="396"/>
      <c r="D3" s="397"/>
      <c r="E3" s="398" t="s">
        <v>121</v>
      </c>
      <c r="F3" s="399"/>
      <c r="G3" s="400"/>
      <c r="H3" s="401" t="s">
        <v>118</v>
      </c>
      <c r="I3" s="402"/>
      <c r="J3" s="403"/>
      <c r="K3" s="404" t="s">
        <v>131</v>
      </c>
      <c r="L3" s="405"/>
      <c r="M3" s="406"/>
      <c r="N3" s="394" t="s">
        <v>162</v>
      </c>
      <c r="O3" s="394"/>
      <c r="P3" s="394"/>
      <c r="Q3" s="382" t="s">
        <v>213</v>
      </c>
      <c r="R3" s="382"/>
      <c r="S3" s="382"/>
    </row>
    <row r="4" spans="1:19" ht="17.25" x14ac:dyDescent="0.3">
      <c r="A4" s="381"/>
      <c r="B4" s="75" t="s">
        <v>117</v>
      </c>
      <c r="C4" s="75" t="s">
        <v>116</v>
      </c>
      <c r="D4" s="76" t="s">
        <v>18</v>
      </c>
      <c r="E4" s="75" t="s">
        <v>123</v>
      </c>
      <c r="F4" s="75" t="s">
        <v>124</v>
      </c>
      <c r="G4" s="76" t="s">
        <v>18</v>
      </c>
      <c r="H4" s="75" t="s">
        <v>117</v>
      </c>
      <c r="I4" s="88" t="s">
        <v>116</v>
      </c>
      <c r="J4" s="76" t="s">
        <v>18</v>
      </c>
      <c r="K4" s="75" t="s">
        <v>117</v>
      </c>
      <c r="L4" s="88" t="s">
        <v>116</v>
      </c>
      <c r="M4" s="76" t="s">
        <v>18</v>
      </c>
      <c r="N4" s="75" t="s">
        <v>117</v>
      </c>
      <c r="O4" s="88" t="s">
        <v>116</v>
      </c>
      <c r="P4" s="76" t="s">
        <v>18</v>
      </c>
      <c r="Q4" s="75" t="s">
        <v>117</v>
      </c>
      <c r="R4" s="75" t="s">
        <v>116</v>
      </c>
      <c r="S4" s="76" t="s">
        <v>18</v>
      </c>
    </row>
    <row r="5" spans="1:19" ht="29.25" customHeight="1" x14ac:dyDescent="0.3">
      <c r="A5" s="321" t="s">
        <v>445</v>
      </c>
      <c r="B5" s="306">
        <v>94000</v>
      </c>
      <c r="C5" s="306">
        <v>0</v>
      </c>
      <c r="D5" s="307">
        <f>SUM(B5:C5)</f>
        <v>94000</v>
      </c>
      <c r="E5" s="306">
        <v>0</v>
      </c>
      <c r="F5" s="306">
        <v>0</v>
      </c>
      <c r="G5" s="307">
        <f>SUM(E5:F5)</f>
        <v>0</v>
      </c>
      <c r="H5" s="306">
        <v>0</v>
      </c>
      <c r="I5" s="306">
        <v>1000</v>
      </c>
      <c r="J5" s="307">
        <f>SUM(H5:I5)</f>
        <v>1000</v>
      </c>
      <c r="K5" s="306">
        <v>0</v>
      </c>
      <c r="L5" s="306">
        <v>0</v>
      </c>
      <c r="M5" s="307">
        <f>SUM(K5:L5)</f>
        <v>0</v>
      </c>
      <c r="N5" s="306">
        <v>0</v>
      </c>
      <c r="O5" s="306">
        <v>0</v>
      </c>
      <c r="P5" s="308">
        <f>SUM(N5:O5)</f>
        <v>0</v>
      </c>
      <c r="Q5" s="322">
        <v>0</v>
      </c>
      <c r="R5" s="322">
        <v>0</v>
      </c>
      <c r="S5" s="309">
        <f>Q5+R5</f>
        <v>0</v>
      </c>
    </row>
    <row r="6" spans="1:19" ht="29.25" customHeight="1" x14ac:dyDescent="0.3">
      <c r="A6" s="321" t="s">
        <v>472</v>
      </c>
      <c r="B6" s="306">
        <v>71100</v>
      </c>
      <c r="C6" s="306">
        <v>1600</v>
      </c>
      <c r="D6" s="307">
        <f t="shared" ref="D6:D31" si="0">SUM(B6:C6)</f>
        <v>72700</v>
      </c>
      <c r="E6" s="306"/>
      <c r="F6" s="306"/>
      <c r="G6" s="307">
        <f t="shared" ref="G6:G31" si="1">SUM(E6:F6)</f>
        <v>0</v>
      </c>
      <c r="H6" s="306"/>
      <c r="I6" s="306"/>
      <c r="J6" s="307">
        <f t="shared" ref="J6:J31" si="2">SUM(H6:I6)</f>
        <v>0</v>
      </c>
      <c r="K6" s="306"/>
      <c r="L6" s="306"/>
      <c r="M6" s="307">
        <f t="shared" ref="M6:M31" si="3">SUM(K6:L6)</f>
        <v>0</v>
      </c>
      <c r="N6" s="306"/>
      <c r="O6" s="306"/>
      <c r="P6" s="308">
        <f t="shared" ref="P6:P31" si="4">SUM(N6:O6)</f>
        <v>0</v>
      </c>
      <c r="Q6" s="167">
        <v>0</v>
      </c>
      <c r="R6" s="323">
        <v>7115</v>
      </c>
      <c r="S6" s="309">
        <f t="shared" ref="S6:S31" si="5">Q6+R6</f>
        <v>7115</v>
      </c>
    </row>
    <row r="7" spans="1:19" ht="29.25" customHeight="1" x14ac:dyDescent="0.3">
      <c r="A7" s="324" t="s">
        <v>536</v>
      </c>
      <c r="B7" s="325">
        <v>124900</v>
      </c>
      <c r="C7" s="325">
        <v>40500</v>
      </c>
      <c r="D7" s="326">
        <f t="shared" si="0"/>
        <v>165400</v>
      </c>
      <c r="E7" s="325"/>
      <c r="F7" s="325"/>
      <c r="G7" s="326">
        <f t="shared" si="1"/>
        <v>0</v>
      </c>
      <c r="H7" s="325"/>
      <c r="I7" s="325"/>
      <c r="J7" s="326">
        <f t="shared" si="2"/>
        <v>0</v>
      </c>
      <c r="K7" s="325"/>
      <c r="L7" s="325"/>
      <c r="M7" s="326">
        <f t="shared" si="3"/>
        <v>0</v>
      </c>
      <c r="N7" s="325"/>
      <c r="O7" s="325"/>
      <c r="P7" s="327">
        <f t="shared" si="4"/>
        <v>0</v>
      </c>
      <c r="Q7" s="328"/>
      <c r="R7" s="328"/>
      <c r="S7" s="329">
        <f t="shared" si="5"/>
        <v>0</v>
      </c>
    </row>
    <row r="8" spans="1:19" ht="29.25" customHeight="1" x14ac:dyDescent="0.3">
      <c r="A8" s="324" t="s">
        <v>625</v>
      </c>
      <c r="B8" s="325">
        <v>201000</v>
      </c>
      <c r="C8" s="325">
        <v>88000</v>
      </c>
      <c r="D8" s="326">
        <f t="shared" si="0"/>
        <v>289000</v>
      </c>
      <c r="E8" s="325"/>
      <c r="F8" s="325"/>
      <c r="G8" s="326">
        <f t="shared" si="1"/>
        <v>0</v>
      </c>
      <c r="H8" s="325"/>
      <c r="I8" s="325"/>
      <c r="J8" s="326">
        <f t="shared" si="2"/>
        <v>0</v>
      </c>
      <c r="K8" s="325"/>
      <c r="L8" s="325"/>
      <c r="M8" s="326">
        <f t="shared" si="3"/>
        <v>0</v>
      </c>
      <c r="N8" s="325"/>
      <c r="O8" s="325"/>
      <c r="P8" s="327">
        <f t="shared" si="4"/>
        <v>0</v>
      </c>
      <c r="Q8" s="328"/>
      <c r="R8" s="328"/>
      <c r="S8" s="329">
        <f t="shared" si="5"/>
        <v>0</v>
      </c>
    </row>
    <row r="9" spans="1:19" ht="29.25" customHeight="1" x14ac:dyDescent="0.3">
      <c r="A9" s="324" t="s">
        <v>641</v>
      </c>
      <c r="B9" s="325">
        <v>0</v>
      </c>
      <c r="C9" s="325">
        <v>63570</v>
      </c>
      <c r="D9" s="326">
        <v>63570</v>
      </c>
      <c r="E9" s="325">
        <v>14</v>
      </c>
      <c r="F9" s="325">
        <v>0</v>
      </c>
      <c r="G9" s="326">
        <f t="shared" si="1"/>
        <v>14</v>
      </c>
      <c r="H9" s="325"/>
      <c r="I9" s="325"/>
      <c r="J9" s="326">
        <f t="shared" si="2"/>
        <v>0</v>
      </c>
      <c r="K9" s="325"/>
      <c r="L9" s="325"/>
      <c r="M9" s="326">
        <f t="shared" si="3"/>
        <v>0</v>
      </c>
      <c r="N9" s="325"/>
      <c r="O9" s="325"/>
      <c r="P9" s="327">
        <f t="shared" si="4"/>
        <v>0</v>
      </c>
      <c r="Q9" s="328"/>
      <c r="R9" s="328"/>
      <c r="S9" s="329">
        <f t="shared" si="5"/>
        <v>0</v>
      </c>
    </row>
    <row r="10" spans="1:19" ht="29.25" customHeight="1" x14ac:dyDescent="0.3">
      <c r="A10" s="310" t="s">
        <v>715</v>
      </c>
      <c r="B10" s="311">
        <v>27600</v>
      </c>
      <c r="C10" s="311">
        <v>500</v>
      </c>
      <c r="D10" s="312">
        <f t="shared" si="0"/>
        <v>28100</v>
      </c>
      <c r="E10" s="311"/>
      <c r="F10" s="311"/>
      <c r="G10" s="312">
        <f t="shared" si="1"/>
        <v>0</v>
      </c>
      <c r="H10" s="311"/>
      <c r="I10" s="311"/>
      <c r="J10" s="312">
        <f t="shared" si="2"/>
        <v>0</v>
      </c>
      <c r="K10" s="311"/>
      <c r="L10" s="311"/>
      <c r="M10" s="312">
        <f t="shared" si="3"/>
        <v>0</v>
      </c>
      <c r="N10" s="311"/>
      <c r="O10" s="311"/>
      <c r="P10" s="313">
        <f t="shared" si="4"/>
        <v>0</v>
      </c>
      <c r="Q10" s="314"/>
      <c r="R10" s="314"/>
      <c r="S10" s="315">
        <f t="shared" si="5"/>
        <v>0</v>
      </c>
    </row>
    <row r="11" spans="1:19" ht="29.25" customHeight="1" x14ac:dyDescent="0.3">
      <c r="A11" s="316" t="s">
        <v>717</v>
      </c>
      <c r="B11" s="311">
        <v>20400</v>
      </c>
      <c r="C11" s="311">
        <v>1500</v>
      </c>
      <c r="D11" s="312">
        <f t="shared" si="0"/>
        <v>21900</v>
      </c>
      <c r="E11" s="311"/>
      <c r="F11" s="311"/>
      <c r="G11" s="312">
        <f t="shared" si="1"/>
        <v>0</v>
      </c>
      <c r="H11" s="311"/>
      <c r="I11" s="311"/>
      <c r="J11" s="312">
        <f t="shared" si="2"/>
        <v>0</v>
      </c>
      <c r="K11" s="311"/>
      <c r="L11" s="311"/>
      <c r="M11" s="312">
        <f t="shared" si="3"/>
        <v>0</v>
      </c>
      <c r="N11" s="311"/>
      <c r="O11" s="311"/>
      <c r="P11" s="313">
        <f t="shared" si="4"/>
        <v>0</v>
      </c>
      <c r="Q11" s="314"/>
      <c r="R11" s="314"/>
      <c r="S11" s="315">
        <f t="shared" si="5"/>
        <v>0</v>
      </c>
    </row>
    <row r="12" spans="1:19" ht="29.25" customHeight="1" x14ac:dyDescent="0.3">
      <c r="A12" s="317" t="s">
        <v>765</v>
      </c>
      <c r="B12" s="311">
        <v>95450</v>
      </c>
      <c r="C12" s="311">
        <v>24500</v>
      </c>
      <c r="D12" s="312">
        <f t="shared" si="0"/>
        <v>119950</v>
      </c>
      <c r="E12" s="311">
        <v>12</v>
      </c>
      <c r="F12" s="311"/>
      <c r="G12" s="312">
        <f t="shared" si="1"/>
        <v>12</v>
      </c>
      <c r="H12" s="311"/>
      <c r="I12" s="311"/>
      <c r="J12" s="312">
        <f t="shared" si="2"/>
        <v>0</v>
      </c>
      <c r="K12" s="311"/>
      <c r="L12" s="311"/>
      <c r="M12" s="312">
        <f t="shared" si="3"/>
        <v>0</v>
      </c>
      <c r="N12" s="311">
        <v>20</v>
      </c>
      <c r="O12" s="311"/>
      <c r="P12" s="313">
        <f t="shared" si="4"/>
        <v>20</v>
      </c>
      <c r="Q12" s="314"/>
      <c r="R12" s="314"/>
      <c r="S12" s="315">
        <f t="shared" si="5"/>
        <v>0</v>
      </c>
    </row>
    <row r="13" spans="1:19" s="70" customFormat="1" ht="29.25" customHeight="1" x14ac:dyDescent="0.3">
      <c r="A13" s="317" t="s">
        <v>787</v>
      </c>
      <c r="B13" s="318">
        <v>22700</v>
      </c>
      <c r="C13" s="318">
        <v>1000</v>
      </c>
      <c r="D13" s="312">
        <f t="shared" si="0"/>
        <v>23700</v>
      </c>
      <c r="E13" s="318">
        <v>22</v>
      </c>
      <c r="F13" s="318"/>
      <c r="G13" s="312">
        <f t="shared" si="1"/>
        <v>22</v>
      </c>
      <c r="H13" s="318"/>
      <c r="I13" s="318"/>
      <c r="J13" s="312">
        <f t="shared" si="2"/>
        <v>0</v>
      </c>
      <c r="K13" s="318"/>
      <c r="L13" s="318"/>
      <c r="M13" s="312">
        <f t="shared" si="3"/>
        <v>0</v>
      </c>
      <c r="N13" s="318"/>
      <c r="O13" s="318"/>
      <c r="P13" s="313">
        <f t="shared" si="4"/>
        <v>0</v>
      </c>
      <c r="Q13" s="319">
        <v>0</v>
      </c>
      <c r="R13" s="320">
        <v>12000</v>
      </c>
      <c r="S13" s="315">
        <f t="shared" si="5"/>
        <v>12000</v>
      </c>
    </row>
    <row r="14" spans="1:19" ht="31.5" customHeight="1" x14ac:dyDescent="0.3">
      <c r="A14" s="317">
        <v>46113</v>
      </c>
      <c r="B14" s="318">
        <v>26500</v>
      </c>
      <c r="C14" s="318"/>
      <c r="D14" s="312">
        <f t="shared" si="0"/>
        <v>26500</v>
      </c>
      <c r="E14" s="318"/>
      <c r="F14" s="318"/>
      <c r="G14" s="312">
        <f t="shared" si="1"/>
        <v>0</v>
      </c>
      <c r="H14" s="318"/>
      <c r="I14" s="318"/>
      <c r="J14" s="312">
        <f t="shared" si="2"/>
        <v>0</v>
      </c>
      <c r="K14" s="318"/>
      <c r="L14" s="318"/>
      <c r="M14" s="312">
        <f t="shared" si="3"/>
        <v>0</v>
      </c>
      <c r="N14" s="318"/>
      <c r="O14" s="318"/>
      <c r="P14" s="313">
        <f t="shared" si="4"/>
        <v>0</v>
      </c>
      <c r="Q14" s="314"/>
      <c r="R14" s="314"/>
      <c r="S14" s="315">
        <f t="shared" si="5"/>
        <v>0</v>
      </c>
    </row>
    <row r="15" spans="1:19" ht="29.25" customHeight="1" x14ac:dyDescent="0.3">
      <c r="A15" s="334" t="s">
        <v>910</v>
      </c>
      <c r="B15" s="335">
        <v>346100</v>
      </c>
      <c r="C15" s="335">
        <v>38500</v>
      </c>
      <c r="D15" s="336">
        <f t="shared" si="0"/>
        <v>384600</v>
      </c>
      <c r="E15" s="335"/>
      <c r="F15" s="335"/>
      <c r="G15" s="336">
        <f t="shared" si="1"/>
        <v>0</v>
      </c>
      <c r="H15" s="335"/>
      <c r="I15" s="335"/>
      <c r="J15" s="336">
        <f t="shared" si="2"/>
        <v>0</v>
      </c>
      <c r="K15" s="335"/>
      <c r="L15" s="335"/>
      <c r="M15" s="336">
        <f t="shared" si="3"/>
        <v>0</v>
      </c>
      <c r="N15" s="335"/>
      <c r="O15" s="335"/>
      <c r="P15" s="337">
        <f t="shared" si="4"/>
        <v>0</v>
      </c>
      <c r="Q15" s="338"/>
      <c r="R15" s="338"/>
      <c r="S15" s="339">
        <f t="shared" si="5"/>
        <v>0</v>
      </c>
    </row>
    <row r="16" spans="1:19" ht="29.25" customHeight="1" x14ac:dyDescent="0.3">
      <c r="A16" s="340" t="s">
        <v>940</v>
      </c>
      <c r="B16" s="335">
        <v>41750</v>
      </c>
      <c r="C16" s="335">
        <v>100</v>
      </c>
      <c r="D16" s="336">
        <f t="shared" si="0"/>
        <v>41850</v>
      </c>
      <c r="E16" s="335"/>
      <c r="F16" s="335"/>
      <c r="G16" s="336">
        <f t="shared" si="1"/>
        <v>0</v>
      </c>
      <c r="H16" s="335"/>
      <c r="I16" s="335"/>
      <c r="J16" s="336">
        <f t="shared" si="2"/>
        <v>0</v>
      </c>
      <c r="K16" s="335"/>
      <c r="L16" s="335"/>
      <c r="M16" s="336">
        <f t="shared" si="3"/>
        <v>0</v>
      </c>
      <c r="N16" s="335"/>
      <c r="O16" s="335"/>
      <c r="P16" s="337">
        <f t="shared" si="4"/>
        <v>0</v>
      </c>
      <c r="Q16" s="338"/>
      <c r="R16" s="338"/>
      <c r="S16" s="339">
        <f t="shared" si="5"/>
        <v>0</v>
      </c>
    </row>
    <row r="17" spans="1:19" ht="29.25" customHeight="1" x14ac:dyDescent="0.3">
      <c r="A17" s="346" t="s">
        <v>977</v>
      </c>
      <c r="B17" s="347">
        <v>19200</v>
      </c>
      <c r="C17" s="347">
        <v>5700</v>
      </c>
      <c r="D17" s="348">
        <f t="shared" si="0"/>
        <v>24900</v>
      </c>
      <c r="E17" s="347"/>
      <c r="F17" s="347"/>
      <c r="G17" s="348">
        <f t="shared" si="1"/>
        <v>0</v>
      </c>
      <c r="H17" s="347"/>
      <c r="I17" s="347"/>
      <c r="J17" s="348">
        <f t="shared" si="2"/>
        <v>0</v>
      </c>
      <c r="K17" s="347"/>
      <c r="L17" s="347"/>
      <c r="M17" s="348">
        <f t="shared" si="3"/>
        <v>0</v>
      </c>
      <c r="N17" s="347"/>
      <c r="O17" s="347"/>
      <c r="P17" s="349">
        <f t="shared" si="4"/>
        <v>0</v>
      </c>
      <c r="Q17" s="350"/>
      <c r="R17" s="351">
        <v>13411</v>
      </c>
      <c r="S17" s="352">
        <f t="shared" si="5"/>
        <v>13411</v>
      </c>
    </row>
    <row r="18" spans="1:19" ht="29.25" customHeight="1" x14ac:dyDescent="0.3">
      <c r="A18" s="346">
        <v>41426</v>
      </c>
      <c r="B18" s="347">
        <v>7000</v>
      </c>
      <c r="C18" s="347"/>
      <c r="D18" s="348">
        <f t="shared" si="0"/>
        <v>7000</v>
      </c>
      <c r="E18" s="347"/>
      <c r="F18" s="347"/>
      <c r="G18" s="348">
        <f t="shared" si="1"/>
        <v>0</v>
      </c>
      <c r="H18" s="347"/>
      <c r="I18" s="347"/>
      <c r="J18" s="348">
        <f t="shared" si="2"/>
        <v>0</v>
      </c>
      <c r="K18" s="347">
        <v>500</v>
      </c>
      <c r="L18" s="347"/>
      <c r="M18" s="348">
        <f t="shared" si="3"/>
        <v>500</v>
      </c>
      <c r="N18" s="347"/>
      <c r="O18" s="347"/>
      <c r="P18" s="349">
        <f t="shared" si="4"/>
        <v>0</v>
      </c>
      <c r="Q18" s="350"/>
      <c r="R18" s="350"/>
      <c r="S18" s="352">
        <f t="shared" si="5"/>
        <v>0</v>
      </c>
    </row>
    <row r="19" spans="1:19" ht="29.25" customHeight="1" x14ac:dyDescent="0.3">
      <c r="A19" s="346">
        <v>41791</v>
      </c>
      <c r="B19" s="347">
        <v>5000</v>
      </c>
      <c r="C19" s="347"/>
      <c r="D19" s="348">
        <f t="shared" si="0"/>
        <v>5000</v>
      </c>
      <c r="E19" s="347"/>
      <c r="F19" s="347"/>
      <c r="G19" s="348">
        <f t="shared" si="1"/>
        <v>0</v>
      </c>
      <c r="H19" s="347"/>
      <c r="I19" s="347"/>
      <c r="J19" s="348">
        <f t="shared" si="2"/>
        <v>0</v>
      </c>
      <c r="K19" s="347">
        <v>3000</v>
      </c>
      <c r="L19" s="347"/>
      <c r="M19" s="348">
        <f t="shared" si="3"/>
        <v>3000</v>
      </c>
      <c r="N19" s="347"/>
      <c r="O19" s="347"/>
      <c r="P19" s="349">
        <f t="shared" si="4"/>
        <v>0</v>
      </c>
      <c r="Q19" s="350"/>
      <c r="R19" s="350"/>
      <c r="S19" s="352">
        <f t="shared" si="5"/>
        <v>0</v>
      </c>
    </row>
    <row r="20" spans="1:19" ht="29.25" customHeight="1" x14ac:dyDescent="0.3">
      <c r="A20" s="353">
        <v>40391</v>
      </c>
      <c r="B20" s="354"/>
      <c r="C20" s="354"/>
      <c r="D20" s="355">
        <f t="shared" si="0"/>
        <v>0</v>
      </c>
      <c r="E20" s="354"/>
      <c r="F20" s="354"/>
      <c r="G20" s="355">
        <f t="shared" si="1"/>
        <v>0</v>
      </c>
      <c r="H20" s="354"/>
      <c r="I20" s="354"/>
      <c r="J20" s="355">
        <f t="shared" si="2"/>
        <v>0</v>
      </c>
      <c r="K20" s="354"/>
      <c r="L20" s="354"/>
      <c r="M20" s="355">
        <f t="shared" si="3"/>
        <v>0</v>
      </c>
      <c r="N20" s="354"/>
      <c r="O20" s="354">
        <v>30000</v>
      </c>
      <c r="P20" s="356">
        <f t="shared" si="4"/>
        <v>30000</v>
      </c>
      <c r="Q20" s="357"/>
      <c r="R20" s="357"/>
      <c r="S20" s="358">
        <f t="shared" si="5"/>
        <v>0</v>
      </c>
    </row>
    <row r="21" spans="1:19" ht="28.5" customHeight="1" x14ac:dyDescent="0.3">
      <c r="A21" s="125" t="s">
        <v>1025</v>
      </c>
      <c r="B21" s="124">
        <v>15000</v>
      </c>
      <c r="C21" s="124"/>
      <c r="D21" s="121">
        <f t="shared" si="0"/>
        <v>15000</v>
      </c>
      <c r="E21" s="124"/>
      <c r="F21" s="124"/>
      <c r="G21" s="121">
        <f t="shared" si="1"/>
        <v>0</v>
      </c>
      <c r="H21" s="124"/>
      <c r="I21" s="124"/>
      <c r="J21" s="121">
        <f t="shared" si="2"/>
        <v>0</v>
      </c>
      <c r="K21" s="124">
        <v>14550</v>
      </c>
      <c r="L21" s="124">
        <v>1100</v>
      </c>
      <c r="M21" s="121">
        <f t="shared" si="3"/>
        <v>15650</v>
      </c>
      <c r="N21" s="124">
        <v>1400</v>
      </c>
      <c r="O21" s="124"/>
      <c r="P21" s="122">
        <f t="shared" si="4"/>
        <v>1400</v>
      </c>
      <c r="Q21" s="25"/>
      <c r="R21" s="25"/>
      <c r="S21" s="207">
        <f t="shared" si="5"/>
        <v>0</v>
      </c>
    </row>
    <row r="22" spans="1:19" ht="28.5" customHeight="1" x14ac:dyDescent="0.3">
      <c r="A22" s="125" t="s">
        <v>1030</v>
      </c>
      <c r="B22" s="124"/>
      <c r="C22" s="124"/>
      <c r="D22" s="121">
        <f t="shared" si="0"/>
        <v>0</v>
      </c>
      <c r="E22" s="124"/>
      <c r="F22" s="124"/>
      <c r="G22" s="121"/>
      <c r="H22" s="124"/>
      <c r="I22" s="124"/>
      <c r="J22" s="121"/>
      <c r="K22" s="124">
        <v>200</v>
      </c>
      <c r="L22" s="124"/>
      <c r="M22" s="121">
        <f t="shared" si="3"/>
        <v>200</v>
      </c>
      <c r="N22" s="124">
        <v>400</v>
      </c>
      <c r="O22" s="124"/>
      <c r="P22" s="122">
        <v>400</v>
      </c>
      <c r="Q22" s="25"/>
      <c r="R22" s="25"/>
      <c r="S22" s="207"/>
    </row>
    <row r="23" spans="1:19" ht="28.5" customHeight="1" x14ac:dyDescent="0.3">
      <c r="A23" s="360" t="s">
        <v>1070</v>
      </c>
      <c r="B23" s="361"/>
      <c r="C23" s="361"/>
      <c r="D23" s="362">
        <f t="shared" si="0"/>
        <v>0</v>
      </c>
      <c r="E23" s="361"/>
      <c r="F23" s="361"/>
      <c r="G23" s="362"/>
      <c r="H23" s="361"/>
      <c r="I23" s="361"/>
      <c r="J23" s="362"/>
      <c r="K23" s="361">
        <v>10100</v>
      </c>
      <c r="L23" s="361">
        <v>13825</v>
      </c>
      <c r="M23" s="362">
        <f>SUM(K23:L23)</f>
        <v>23925</v>
      </c>
      <c r="N23" s="361"/>
      <c r="O23" s="361">
        <v>30400</v>
      </c>
      <c r="P23" s="363">
        <v>30400</v>
      </c>
      <c r="Q23" s="364"/>
      <c r="R23" s="364"/>
      <c r="S23" s="365"/>
    </row>
    <row r="24" spans="1:19" ht="25.5" customHeight="1" x14ac:dyDescent="0.3">
      <c r="A24" s="366">
        <v>40452</v>
      </c>
      <c r="B24" s="367"/>
      <c r="C24" s="367"/>
      <c r="D24" s="368">
        <f t="shared" si="0"/>
        <v>0</v>
      </c>
      <c r="E24" s="367">
        <v>125</v>
      </c>
      <c r="F24" s="367"/>
      <c r="G24" s="368">
        <f t="shared" si="1"/>
        <v>125</v>
      </c>
      <c r="H24" s="367"/>
      <c r="I24" s="367"/>
      <c r="J24" s="368">
        <f t="shared" si="2"/>
        <v>0</v>
      </c>
      <c r="K24" s="367"/>
      <c r="L24" s="367">
        <v>200</v>
      </c>
      <c r="M24" s="368">
        <f t="shared" si="3"/>
        <v>200</v>
      </c>
      <c r="N24" s="367">
        <v>600</v>
      </c>
      <c r="O24" s="367">
        <v>350</v>
      </c>
      <c r="P24" s="369">
        <f t="shared" si="4"/>
        <v>950</v>
      </c>
      <c r="Q24" s="261"/>
      <c r="R24" s="261"/>
      <c r="S24" s="370">
        <f t="shared" si="5"/>
        <v>0</v>
      </c>
    </row>
    <row r="25" spans="1:19" ht="25.5" customHeight="1" x14ac:dyDescent="0.3">
      <c r="A25" s="366" t="s">
        <v>1099</v>
      </c>
      <c r="B25" s="367"/>
      <c r="C25" s="367"/>
      <c r="D25" s="368">
        <f t="shared" si="0"/>
        <v>0</v>
      </c>
      <c r="E25" s="367">
        <v>485</v>
      </c>
      <c r="F25" s="367"/>
      <c r="G25" s="368">
        <f t="shared" si="1"/>
        <v>485</v>
      </c>
      <c r="H25" s="367"/>
      <c r="I25" s="367"/>
      <c r="J25" s="368"/>
      <c r="K25" s="367"/>
      <c r="L25" s="367"/>
      <c r="M25" s="368">
        <f t="shared" si="3"/>
        <v>0</v>
      </c>
      <c r="N25" s="367"/>
      <c r="O25" s="367"/>
      <c r="P25" s="369">
        <f t="shared" si="4"/>
        <v>0</v>
      </c>
      <c r="Q25" s="261"/>
      <c r="R25" s="261"/>
      <c r="S25" s="370"/>
    </row>
    <row r="26" spans="1:19" ht="25.5" customHeight="1" x14ac:dyDescent="0.3">
      <c r="A26" s="374" t="s">
        <v>1131</v>
      </c>
      <c r="B26" s="375"/>
      <c r="C26" s="375"/>
      <c r="D26" s="326">
        <f t="shared" si="0"/>
        <v>0</v>
      </c>
      <c r="E26" s="375">
        <v>370</v>
      </c>
      <c r="F26" s="375"/>
      <c r="G26" s="326">
        <f t="shared" si="1"/>
        <v>370</v>
      </c>
      <c r="H26" s="375"/>
      <c r="I26" s="375"/>
      <c r="J26" s="326"/>
      <c r="K26" s="375">
        <v>17800</v>
      </c>
      <c r="L26" s="375"/>
      <c r="M26" s="326">
        <f t="shared" si="3"/>
        <v>17800</v>
      </c>
      <c r="N26" s="375">
        <v>660</v>
      </c>
      <c r="O26" s="375">
        <v>100</v>
      </c>
      <c r="P26" s="327">
        <f t="shared" si="4"/>
        <v>760</v>
      </c>
      <c r="Q26" s="328"/>
      <c r="R26" s="328"/>
      <c r="S26" s="329"/>
    </row>
    <row r="27" spans="1:19" ht="25.5" customHeight="1" x14ac:dyDescent="0.3">
      <c r="A27" s="374" t="s">
        <v>1164</v>
      </c>
      <c r="B27" s="375"/>
      <c r="C27" s="375"/>
      <c r="D27" s="326">
        <f t="shared" si="0"/>
        <v>0</v>
      </c>
      <c r="E27" s="375">
        <v>100</v>
      </c>
      <c r="F27" s="375"/>
      <c r="G27" s="326">
        <v>100</v>
      </c>
      <c r="H27" s="375"/>
      <c r="I27" s="375"/>
      <c r="J27" s="326"/>
      <c r="K27" s="375">
        <v>8100</v>
      </c>
      <c r="L27" s="375"/>
      <c r="M27" s="326">
        <f t="shared" si="3"/>
        <v>8100</v>
      </c>
      <c r="N27" s="375">
        <v>300</v>
      </c>
      <c r="O27" s="375"/>
      <c r="P27" s="327">
        <f t="shared" si="4"/>
        <v>300</v>
      </c>
      <c r="Q27" s="328"/>
      <c r="R27" s="328"/>
      <c r="S27" s="329"/>
    </row>
    <row r="28" spans="1:19" ht="25.5" customHeight="1" x14ac:dyDescent="0.3">
      <c r="A28" s="373" t="s">
        <v>1191</v>
      </c>
      <c r="B28" s="124"/>
      <c r="C28" s="124"/>
      <c r="D28" s="121">
        <f t="shared" si="0"/>
        <v>0</v>
      </c>
      <c r="E28" s="124">
        <v>440</v>
      </c>
      <c r="F28" s="124"/>
      <c r="G28" s="371">
        <f>SUM(E28:F28)</f>
        <v>440</v>
      </c>
      <c r="H28" s="124"/>
      <c r="I28" s="124"/>
      <c r="J28" s="121"/>
      <c r="K28" s="124">
        <v>6100</v>
      </c>
      <c r="L28" s="124"/>
      <c r="M28" s="371">
        <f t="shared" si="3"/>
        <v>6100</v>
      </c>
      <c r="N28" s="124">
        <v>8500</v>
      </c>
      <c r="O28" s="124"/>
      <c r="P28" s="372">
        <f t="shared" si="4"/>
        <v>8500</v>
      </c>
      <c r="Q28" s="25"/>
      <c r="R28" s="25"/>
      <c r="S28" s="207"/>
    </row>
    <row r="29" spans="1:19" ht="25.5" customHeight="1" x14ac:dyDescent="0.3">
      <c r="A29" s="123" t="s">
        <v>1212</v>
      </c>
      <c r="B29" s="124">
        <v>1000</v>
      </c>
      <c r="C29" s="124"/>
      <c r="D29" s="121">
        <f t="shared" si="0"/>
        <v>1000</v>
      </c>
      <c r="E29" s="124">
        <v>260</v>
      </c>
      <c r="F29" s="124"/>
      <c r="G29" s="121">
        <f>SUM(E29:F29)</f>
        <v>260</v>
      </c>
      <c r="H29" s="124"/>
      <c r="I29" s="124"/>
      <c r="J29" s="121"/>
      <c r="K29" s="124">
        <v>70</v>
      </c>
      <c r="L29" s="124"/>
      <c r="M29" s="121">
        <f t="shared" si="3"/>
        <v>70</v>
      </c>
      <c r="N29" s="124">
        <v>220</v>
      </c>
      <c r="O29" s="124"/>
      <c r="P29" s="122">
        <v>220</v>
      </c>
      <c r="Q29" s="25"/>
      <c r="R29" s="25"/>
      <c r="S29" s="207"/>
    </row>
    <row r="30" spans="1:19" ht="25.5" customHeight="1" x14ac:dyDescent="0.3">
      <c r="A30" s="123" t="s">
        <v>1214</v>
      </c>
      <c r="B30" s="124"/>
      <c r="C30" s="124"/>
      <c r="D30" s="121"/>
      <c r="E30" s="124"/>
      <c r="F30" s="124"/>
      <c r="G30" s="121"/>
      <c r="H30" s="124"/>
      <c r="I30" s="124"/>
      <c r="J30" s="121"/>
      <c r="K30" s="124"/>
      <c r="L30" s="124"/>
      <c r="M30" s="121"/>
      <c r="N30" s="124"/>
      <c r="O30" s="124">
        <v>30000</v>
      </c>
      <c r="P30" s="122">
        <f>N30+O30</f>
        <v>30000</v>
      </c>
      <c r="Q30" s="25"/>
      <c r="R30" s="25"/>
      <c r="S30" s="207"/>
    </row>
    <row r="31" spans="1:19" ht="22.5" customHeight="1" x14ac:dyDescent="0.3">
      <c r="A31" s="126"/>
      <c r="B31" s="127"/>
      <c r="C31" s="127"/>
      <c r="D31" s="121">
        <f t="shared" si="0"/>
        <v>0</v>
      </c>
      <c r="E31" s="120"/>
      <c r="F31" s="120"/>
      <c r="G31" s="121">
        <f t="shared" si="1"/>
        <v>0</v>
      </c>
      <c r="H31" s="120"/>
      <c r="I31" s="120"/>
      <c r="J31" s="121">
        <f t="shared" si="2"/>
        <v>0</v>
      </c>
      <c r="K31" s="120"/>
      <c r="L31" s="120"/>
      <c r="M31" s="121">
        <f t="shared" si="3"/>
        <v>0</v>
      </c>
      <c r="N31" s="120"/>
      <c r="O31" s="126"/>
      <c r="P31" s="122">
        <f t="shared" si="4"/>
        <v>0</v>
      </c>
      <c r="Q31" s="25"/>
      <c r="R31" s="25"/>
      <c r="S31" s="95">
        <f t="shared" si="5"/>
        <v>0</v>
      </c>
    </row>
    <row r="32" spans="1:19" ht="29.25" customHeight="1" x14ac:dyDescent="0.4">
      <c r="A32" s="279" t="s">
        <v>120</v>
      </c>
      <c r="B32" s="280">
        <f>SUM(B5:B31)</f>
        <v>1118700</v>
      </c>
      <c r="C32" s="280">
        <f>SUM(C5:C31)</f>
        <v>265470</v>
      </c>
      <c r="D32" s="280">
        <f>SUM(B32:C32)</f>
        <v>1384170</v>
      </c>
      <c r="E32" s="280">
        <f>SUM(E5:E31)</f>
        <v>1828</v>
      </c>
      <c r="F32" s="280">
        <f>SUM(F5:F31)</f>
        <v>0</v>
      </c>
      <c r="G32" s="280">
        <f>SUM(G5:G31)</f>
        <v>1828</v>
      </c>
      <c r="H32" s="280">
        <f>SUM(H5:H31)</f>
        <v>0</v>
      </c>
      <c r="I32" s="280">
        <f>SUM(I5:I31)</f>
        <v>1000</v>
      </c>
      <c r="J32" s="280">
        <f>SUM(H32:I32)</f>
        <v>1000</v>
      </c>
      <c r="K32" s="280">
        <f>SUM(K5:K31)</f>
        <v>60420</v>
      </c>
      <c r="L32" s="280">
        <f>SUM(L5:L31)</f>
        <v>15125</v>
      </c>
      <c r="M32" s="280">
        <f>SUM(K32:L32)</f>
        <v>75545</v>
      </c>
      <c r="N32" s="280">
        <f>SUM(N5:N31)</f>
        <v>12100</v>
      </c>
      <c r="O32" s="280">
        <f>SUM(O5:O31)</f>
        <v>90850</v>
      </c>
      <c r="P32" s="280">
        <f>SUM(P5:P31)</f>
        <v>102950</v>
      </c>
      <c r="Q32" s="281"/>
      <c r="R32" s="281"/>
      <c r="S32" s="280">
        <f>SUM(S5:S31)</f>
        <v>32526</v>
      </c>
    </row>
    <row r="33" spans="1:19" ht="26.25" customHeight="1" x14ac:dyDescent="0.25">
      <c r="A33" s="389">
        <f>D32*0.2</f>
        <v>276834</v>
      </c>
      <c r="B33" s="392"/>
      <c r="C33" s="392"/>
      <c r="D33" s="393"/>
      <c r="E33" s="389">
        <f>G32*0.2</f>
        <v>365.6</v>
      </c>
      <c r="F33" s="390"/>
      <c r="G33" s="391"/>
      <c r="H33" s="389">
        <f>J32*0.2</f>
        <v>200</v>
      </c>
      <c r="I33" s="392"/>
      <c r="J33" s="393"/>
      <c r="K33" s="389">
        <f>M32*0.2</f>
        <v>15109</v>
      </c>
      <c r="L33" s="392"/>
      <c r="M33" s="393"/>
      <c r="N33" s="389">
        <f>P32*0.2</f>
        <v>20590</v>
      </c>
      <c r="O33" s="392"/>
      <c r="P33" s="393"/>
      <c r="Q33" s="386"/>
      <c r="R33" s="387"/>
      <c r="S33" s="388"/>
    </row>
    <row r="34" spans="1:19" ht="36.75" customHeight="1" x14ac:dyDescent="0.25">
      <c r="A34" s="407" t="s">
        <v>132</v>
      </c>
      <c r="B34" s="407"/>
      <c r="C34" s="407"/>
      <c r="D34" s="174">
        <f>D32+A33</f>
        <v>1661004</v>
      </c>
      <c r="E34" s="383">
        <f>G32+E33</f>
        <v>2193.6</v>
      </c>
      <c r="F34" s="384"/>
      <c r="G34" s="385"/>
      <c r="H34" s="383">
        <f>J32+H33</f>
        <v>1200</v>
      </c>
      <c r="I34" s="384"/>
      <c r="J34" s="385"/>
      <c r="K34" s="383">
        <f>M32+K33</f>
        <v>90654</v>
      </c>
      <c r="L34" s="384"/>
      <c r="M34" s="385"/>
      <c r="N34" s="383">
        <f>P32+N33</f>
        <v>123540</v>
      </c>
      <c r="O34" s="384"/>
      <c r="P34" s="385"/>
      <c r="Q34" s="383">
        <f>S32+Q33</f>
        <v>32526</v>
      </c>
      <c r="R34" s="384"/>
      <c r="S34" s="385"/>
    </row>
    <row r="35" spans="1:19" ht="37.5" customHeight="1" x14ac:dyDescent="0.25">
      <c r="A35" s="414" t="s">
        <v>166</v>
      </c>
      <c r="B35" s="415"/>
      <c r="C35" s="416"/>
      <c r="D35" s="175">
        <f>D34/4200000*(100)</f>
        <v>39.547714285714285</v>
      </c>
      <c r="E35" s="411">
        <f>E34/6000*(100)</f>
        <v>36.559999999999995</v>
      </c>
      <c r="F35" s="412"/>
      <c r="G35" s="413"/>
      <c r="H35" s="408">
        <f>H34/6000*(100)</f>
        <v>20</v>
      </c>
      <c r="I35" s="409"/>
      <c r="J35" s="410"/>
      <c r="K35" s="408">
        <f>K34/60000*(100)</f>
        <v>151.09</v>
      </c>
      <c r="L35" s="409"/>
      <c r="M35" s="410"/>
      <c r="N35" s="408">
        <f>N34/120000*(100)</f>
        <v>102.95</v>
      </c>
      <c r="O35" s="409"/>
      <c r="P35" s="410"/>
      <c r="Q35" s="408">
        <f>Q34/5000*(100)</f>
        <v>650.52</v>
      </c>
      <c r="R35" s="409"/>
      <c r="S35" s="410"/>
    </row>
    <row r="36" spans="1:19" ht="23.25" x14ac:dyDescent="0.25">
      <c r="B36" s="376" t="s">
        <v>119</v>
      </c>
      <c r="C36" s="377"/>
      <c r="D36" s="378"/>
      <c r="E36" s="376" t="s">
        <v>121</v>
      </c>
      <c r="F36" s="377"/>
      <c r="G36" s="378"/>
      <c r="H36" s="376" t="s">
        <v>118</v>
      </c>
      <c r="I36" s="377"/>
      <c r="J36" s="378"/>
      <c r="K36" s="376" t="s">
        <v>131</v>
      </c>
      <c r="L36" s="377"/>
      <c r="M36" s="378"/>
      <c r="N36" s="376" t="s">
        <v>162</v>
      </c>
      <c r="O36" s="377"/>
      <c r="P36" s="378"/>
      <c r="Q36" s="376" t="s">
        <v>214</v>
      </c>
      <c r="R36" s="377"/>
      <c r="S36" s="378"/>
    </row>
    <row r="40" spans="1:19" ht="25.5" customHeight="1" x14ac:dyDescent="0.25">
      <c r="A40" s="259" t="s">
        <v>119</v>
      </c>
      <c r="B40" s="251" t="s">
        <v>671</v>
      </c>
      <c r="C40" s="251" t="s">
        <v>672</v>
      </c>
      <c r="D40" s="251" t="s">
        <v>766</v>
      </c>
      <c r="E40" s="252">
        <v>0.2</v>
      </c>
      <c r="F40" s="418" t="s">
        <v>673</v>
      </c>
      <c r="G40" s="418"/>
    </row>
    <row r="41" spans="1:19" ht="27.75" customHeight="1" x14ac:dyDescent="0.25">
      <c r="A41" s="253" t="s">
        <v>668</v>
      </c>
      <c r="B41" s="254">
        <v>0</v>
      </c>
      <c r="C41" s="254">
        <v>0</v>
      </c>
      <c r="D41" s="254">
        <v>0</v>
      </c>
      <c r="E41" s="254">
        <v>0</v>
      </c>
      <c r="F41" s="419">
        <v>0</v>
      </c>
      <c r="G41" s="419"/>
    </row>
    <row r="42" spans="1:19" ht="34.5" customHeight="1" x14ac:dyDescent="0.3">
      <c r="A42" s="255" t="s">
        <v>669</v>
      </c>
      <c r="B42" s="256">
        <f>SUM(B5:B6)</f>
        <v>165100</v>
      </c>
      <c r="C42" s="256">
        <f>SUM(C5:C6)</f>
        <v>1600</v>
      </c>
      <c r="D42" s="256">
        <f>B42+C42</f>
        <v>166700</v>
      </c>
      <c r="E42" s="257">
        <f>D42*0.2</f>
        <v>33340</v>
      </c>
      <c r="F42" s="420">
        <f>D42+E42</f>
        <v>200040</v>
      </c>
      <c r="G42" s="419"/>
      <c r="K42" s="333">
        <f>SUM(B15:B16)</f>
        <v>387850</v>
      </c>
      <c r="L42" s="67"/>
      <c r="M42" s="333">
        <f>SUM(C15:C16)</f>
        <v>38600</v>
      </c>
      <c r="O42" s="67">
        <f>SUM(D15:D16)</f>
        <v>426450</v>
      </c>
      <c r="P42" s="87">
        <f>O42*0.2</f>
        <v>85290</v>
      </c>
      <c r="Q42" s="333">
        <f>SUM(O42:P42)</f>
        <v>511740</v>
      </c>
    </row>
    <row r="43" spans="1:19" ht="34.5" customHeight="1" x14ac:dyDescent="0.25">
      <c r="A43" s="255" t="s">
        <v>670</v>
      </c>
      <c r="B43" s="256">
        <f>SUM(B7:B9)</f>
        <v>325900</v>
      </c>
      <c r="C43" s="256">
        <f>SUM(C7:C9)</f>
        <v>192070</v>
      </c>
      <c r="D43" s="256">
        <f>B43+C43</f>
        <v>517970</v>
      </c>
      <c r="E43" s="257">
        <f>D43*0.2</f>
        <v>103594</v>
      </c>
      <c r="F43" s="420">
        <f>D43+E43</f>
        <v>621564</v>
      </c>
      <c r="G43" s="419"/>
      <c r="K43">
        <v>259700</v>
      </c>
      <c r="L43" s="67"/>
      <c r="M43" s="139">
        <v>500</v>
      </c>
    </row>
    <row r="44" spans="1:19" ht="34.5" customHeight="1" x14ac:dyDescent="0.3">
      <c r="A44" s="255" t="s">
        <v>674</v>
      </c>
      <c r="B44" s="256">
        <f>SUM(B10:B14)</f>
        <v>192650</v>
      </c>
      <c r="C44" s="256">
        <f>SUM(C10:C14)</f>
        <v>27500</v>
      </c>
      <c r="D44" s="256">
        <f t="shared" ref="D44:D52" si="6">B44+C44</f>
        <v>220150</v>
      </c>
      <c r="E44" s="257">
        <f t="shared" ref="E44:E52" si="7">D44*0.2</f>
        <v>44030</v>
      </c>
      <c r="F44" s="420">
        <f t="shared" ref="F44:F52" si="8">D44+E44</f>
        <v>264180</v>
      </c>
      <c r="G44" s="419"/>
      <c r="K44" s="250">
        <f>K42-K43</f>
        <v>128150</v>
      </c>
      <c r="L44" s="250"/>
      <c r="M44" s="250">
        <f>M42-M43</f>
        <v>38100</v>
      </c>
      <c r="O44" s="67">
        <f>K44+M44</f>
        <v>166250</v>
      </c>
    </row>
    <row r="45" spans="1:19" ht="34.5" customHeight="1" x14ac:dyDescent="0.25">
      <c r="A45" s="255" t="s">
        <v>675</v>
      </c>
      <c r="B45" s="256">
        <f>SUM(B15:B16)</f>
        <v>387850</v>
      </c>
      <c r="C45" s="256">
        <f>SUM(C15:C16)</f>
        <v>38600</v>
      </c>
      <c r="D45" s="256">
        <f t="shared" si="6"/>
        <v>426450</v>
      </c>
      <c r="E45" s="257">
        <f t="shared" si="7"/>
        <v>85290</v>
      </c>
      <c r="F45" s="420">
        <f t="shared" si="8"/>
        <v>511740</v>
      </c>
      <c r="G45" s="419"/>
      <c r="L45" s="67"/>
      <c r="M45" s="87"/>
      <c r="O45" s="87">
        <f>O44*0.2</f>
        <v>33250</v>
      </c>
    </row>
    <row r="46" spans="1:19" ht="34.5" customHeight="1" x14ac:dyDescent="0.3">
      <c r="A46" s="255" t="s">
        <v>676</v>
      </c>
      <c r="B46" s="256">
        <f>SUM(B17:B19)</f>
        <v>31200</v>
      </c>
      <c r="C46" s="256">
        <f>SUM(C17:C19)</f>
        <v>5700</v>
      </c>
      <c r="D46" s="256">
        <f t="shared" si="6"/>
        <v>36900</v>
      </c>
      <c r="E46" s="257">
        <f t="shared" si="7"/>
        <v>7380</v>
      </c>
      <c r="F46" s="420">
        <f t="shared" si="8"/>
        <v>44280</v>
      </c>
      <c r="G46" s="419"/>
      <c r="L46" s="67"/>
      <c r="M46" s="139"/>
      <c r="O46" s="250">
        <f>SUM(O44:O45)</f>
        <v>199500</v>
      </c>
    </row>
    <row r="47" spans="1:19" ht="34.5" customHeight="1" x14ac:dyDescent="0.25">
      <c r="A47" s="255" t="s">
        <v>677</v>
      </c>
      <c r="B47" s="256"/>
      <c r="C47" s="256"/>
      <c r="D47" s="256">
        <f t="shared" si="6"/>
        <v>0</v>
      </c>
      <c r="E47" s="257">
        <f t="shared" si="7"/>
        <v>0</v>
      </c>
      <c r="F47" s="420">
        <f t="shared" si="8"/>
        <v>0</v>
      </c>
      <c r="G47" s="419"/>
      <c r="J47" s="67"/>
    </row>
    <row r="48" spans="1:19" ht="34.5" customHeight="1" x14ac:dyDescent="0.25">
      <c r="A48" s="255" t="s">
        <v>678</v>
      </c>
      <c r="B48" s="256"/>
      <c r="C48" s="256"/>
      <c r="D48" s="256">
        <f t="shared" si="6"/>
        <v>0</v>
      </c>
      <c r="E48" s="257">
        <f t="shared" si="7"/>
        <v>0</v>
      </c>
      <c r="F48" s="420">
        <f t="shared" si="8"/>
        <v>0</v>
      </c>
      <c r="G48" s="419"/>
      <c r="I48" s="87"/>
    </row>
    <row r="49" spans="1:19" ht="34.5" customHeight="1" x14ac:dyDescent="0.25">
      <c r="A49" s="255" t="s">
        <v>679</v>
      </c>
      <c r="B49" s="256"/>
      <c r="C49" s="256"/>
      <c r="D49" s="256">
        <f t="shared" si="6"/>
        <v>0</v>
      </c>
      <c r="E49" s="257">
        <f t="shared" si="7"/>
        <v>0</v>
      </c>
      <c r="F49" s="420">
        <f t="shared" si="8"/>
        <v>0</v>
      </c>
      <c r="G49" s="419"/>
    </row>
    <row r="50" spans="1:19" ht="34.5" customHeight="1" x14ac:dyDescent="0.25">
      <c r="A50" s="255" t="s">
        <v>680</v>
      </c>
      <c r="B50" s="256"/>
      <c r="C50" s="256"/>
      <c r="D50" s="256">
        <f t="shared" si="6"/>
        <v>0</v>
      </c>
      <c r="E50" s="257">
        <f t="shared" si="7"/>
        <v>0</v>
      </c>
      <c r="F50" s="420">
        <f t="shared" si="8"/>
        <v>0</v>
      </c>
      <c r="G50" s="419"/>
    </row>
    <row r="51" spans="1:19" ht="34.5" customHeight="1" x14ac:dyDescent="0.25">
      <c r="A51" s="255" t="s">
        <v>681</v>
      </c>
      <c r="B51" s="256"/>
      <c r="C51" s="256"/>
      <c r="D51" s="256">
        <f t="shared" si="6"/>
        <v>0</v>
      </c>
      <c r="E51" s="257">
        <f t="shared" si="7"/>
        <v>0</v>
      </c>
      <c r="F51" s="420">
        <f t="shared" si="8"/>
        <v>0</v>
      </c>
      <c r="G51" s="419"/>
    </row>
    <row r="52" spans="1:19" s="173" customFormat="1" ht="29.25" customHeight="1" thickBot="1" x14ac:dyDescent="0.3">
      <c r="A52" s="255" t="s">
        <v>682</v>
      </c>
      <c r="B52" s="258"/>
      <c r="C52" s="258"/>
      <c r="D52" s="256">
        <f t="shared" si="6"/>
        <v>0</v>
      </c>
      <c r="E52" s="257">
        <f t="shared" si="7"/>
        <v>0</v>
      </c>
      <c r="F52" s="420">
        <f t="shared" si="8"/>
        <v>0</v>
      </c>
      <c r="G52" s="419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</row>
    <row r="53" spans="1:19" ht="24" customHeight="1" thickTop="1" x14ac:dyDescent="0.3">
      <c r="A53" s="249" t="s">
        <v>120</v>
      </c>
      <c r="B53" s="250">
        <f>SUM(B41:B52)</f>
        <v>1102700</v>
      </c>
      <c r="C53" s="250">
        <f>SUM(C41:C52)</f>
        <v>265470</v>
      </c>
      <c r="D53" s="250">
        <f>SUM(D41:D52)</f>
        <v>1368170</v>
      </c>
      <c r="E53" s="250">
        <f>SUM(E41:E52)</f>
        <v>273634</v>
      </c>
      <c r="F53" s="417">
        <f t="shared" ref="F53" si="9">SUM(F41:F52)</f>
        <v>1641804</v>
      </c>
      <c r="G53" s="417"/>
      <c r="M53" s="87"/>
    </row>
    <row r="54" spans="1:19" s="199" customFormat="1" ht="44.25" customHeight="1" x14ac:dyDescent="0.4">
      <c r="B54" s="201"/>
      <c r="C54" s="201"/>
      <c r="D54" s="201"/>
      <c r="G54" s="204"/>
      <c r="H54" s="201"/>
      <c r="J54" s="204"/>
      <c r="K54" s="201"/>
      <c r="L54" s="201"/>
      <c r="M54" s="204"/>
    </row>
    <row r="55" spans="1:19" s="199" customFormat="1" ht="34.5" customHeight="1" x14ac:dyDescent="0.4">
      <c r="B55" s="201"/>
      <c r="D55" s="205"/>
      <c r="E55" s="201"/>
      <c r="G55" s="205"/>
      <c r="H55" s="202"/>
      <c r="J55" s="205"/>
      <c r="K55" s="201"/>
      <c r="L55" s="201"/>
      <c r="M55" s="204"/>
    </row>
    <row r="56" spans="1:19" s="203" customFormat="1" ht="57.75" customHeight="1" x14ac:dyDescent="0.4">
      <c r="B56" s="204"/>
      <c r="D56" s="200"/>
      <c r="E56" s="205"/>
      <c r="G56" s="200"/>
      <c r="J56" s="200"/>
      <c r="M56" s="206"/>
    </row>
    <row r="57" spans="1:19" x14ac:dyDescent="0.25">
      <c r="B57" s="67"/>
      <c r="C57" s="67"/>
      <c r="E57" s="67"/>
      <c r="M57" s="67"/>
    </row>
    <row r="58" spans="1:19" x14ac:dyDescent="0.25">
      <c r="B58" s="87"/>
      <c r="C58" s="87"/>
      <c r="M58" s="87"/>
      <c r="O58" s="67"/>
    </row>
    <row r="59" spans="1:19" x14ac:dyDescent="0.25">
      <c r="B59" s="67"/>
      <c r="C59" s="67"/>
      <c r="M59" s="67"/>
    </row>
    <row r="60" spans="1:19" x14ac:dyDescent="0.25">
      <c r="B60" s="87"/>
    </row>
    <row r="61" spans="1:19" x14ac:dyDescent="0.25">
      <c r="I61" s="182"/>
    </row>
    <row r="62" spans="1:19" x14ac:dyDescent="0.25">
      <c r="I62" s="182"/>
    </row>
    <row r="63" spans="1:19" x14ac:dyDescent="0.25">
      <c r="I63" s="182"/>
    </row>
  </sheetData>
  <mergeCells count="46">
    <mergeCell ref="F53:G53"/>
    <mergeCell ref="F40:G40"/>
    <mergeCell ref="F41:G41"/>
    <mergeCell ref="F42:G42"/>
    <mergeCell ref="F52:G5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E34:G34"/>
    <mergeCell ref="Q35:S35"/>
    <mergeCell ref="E35:G35"/>
    <mergeCell ref="H35:J35"/>
    <mergeCell ref="A35:C35"/>
    <mergeCell ref="K35:M35"/>
    <mergeCell ref="N35:P35"/>
    <mergeCell ref="H34:J34"/>
    <mergeCell ref="K34:M34"/>
    <mergeCell ref="N34:P34"/>
    <mergeCell ref="A1:S1"/>
    <mergeCell ref="A3:A4"/>
    <mergeCell ref="Q3:S3"/>
    <mergeCell ref="Q34:S34"/>
    <mergeCell ref="Q33:S33"/>
    <mergeCell ref="E33:G33"/>
    <mergeCell ref="A33:D33"/>
    <mergeCell ref="N3:P3"/>
    <mergeCell ref="B3:D3"/>
    <mergeCell ref="E3:G3"/>
    <mergeCell ref="H3:J3"/>
    <mergeCell ref="K3:M3"/>
    <mergeCell ref="A34:C34"/>
    <mergeCell ref="N33:P33"/>
    <mergeCell ref="K33:M33"/>
    <mergeCell ref="H33:J33"/>
    <mergeCell ref="H36:J36"/>
    <mergeCell ref="K36:M36"/>
    <mergeCell ref="N36:P36"/>
    <mergeCell ref="Q36:S36"/>
    <mergeCell ref="B36:D36"/>
    <mergeCell ref="E36:G36"/>
  </mergeCells>
  <printOptions horizontalCentered="1" verticalCentered="1"/>
  <pageMargins left="0" right="0" top="0.75" bottom="0.75" header="0.3" footer="0.3"/>
  <pageSetup paperSize="5" scale="4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6"/>
  <sheetViews>
    <sheetView view="pageBreakPreview" zoomScale="73" zoomScaleNormal="84" zoomScaleSheetLayoutView="73" workbookViewId="0">
      <selection activeCell="W3" sqref="W3:W8"/>
    </sheetView>
  </sheetViews>
  <sheetFormatPr defaultRowHeight="15" x14ac:dyDescent="0.25"/>
  <cols>
    <col min="1" max="1" width="16" customWidth="1"/>
    <col min="2" max="3" width="15" customWidth="1"/>
    <col min="4" max="5" width="17.7109375" customWidth="1"/>
    <col min="6" max="6" width="12.28515625" customWidth="1"/>
    <col min="7" max="7" width="13" customWidth="1"/>
    <col min="8" max="8" width="18.28515625" customWidth="1"/>
    <col min="9" max="9" width="17.28515625" customWidth="1"/>
    <col min="10" max="10" width="11.42578125" customWidth="1"/>
    <col min="11" max="11" width="13.42578125" customWidth="1"/>
    <col min="12" max="12" width="18" customWidth="1"/>
    <col min="13" max="13" width="17.5703125" customWidth="1"/>
    <col min="14" max="14" width="11.85546875" customWidth="1"/>
    <col min="15" max="15" width="13.7109375" customWidth="1"/>
    <col min="16" max="16" width="17.7109375" customWidth="1"/>
    <col min="17" max="17" width="17.28515625" customWidth="1"/>
    <col min="18" max="18" width="11.5703125" customWidth="1"/>
    <col min="19" max="19" width="13.42578125" customWidth="1"/>
    <col min="20" max="20" width="18.85546875" customWidth="1"/>
    <col min="21" max="21" width="17" customWidth="1"/>
    <col min="22" max="22" width="19.42578125" customWidth="1"/>
    <col min="23" max="23" width="19.85546875" customWidth="1"/>
  </cols>
  <sheetData>
    <row r="1" spans="1:23" ht="26.25" x14ac:dyDescent="0.4">
      <c r="A1" s="423" t="s">
        <v>782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</row>
    <row r="2" spans="1:23" ht="15.75" thickBot="1" x14ac:dyDescent="0.3"/>
    <row r="3" spans="1:23" ht="39.75" customHeight="1" x14ac:dyDescent="0.25">
      <c r="A3" s="424" t="s">
        <v>779</v>
      </c>
      <c r="B3" s="426" t="s">
        <v>119</v>
      </c>
      <c r="C3" s="427"/>
      <c r="D3" s="427"/>
      <c r="E3" s="428"/>
      <c r="F3" s="429" t="s">
        <v>121</v>
      </c>
      <c r="G3" s="430"/>
      <c r="H3" s="430"/>
      <c r="I3" s="431"/>
      <c r="J3" s="432" t="s">
        <v>118</v>
      </c>
      <c r="K3" s="433"/>
      <c r="L3" s="433"/>
      <c r="M3" s="434"/>
      <c r="N3" s="435" t="s">
        <v>131</v>
      </c>
      <c r="O3" s="436"/>
      <c r="P3" s="436"/>
      <c r="Q3" s="437"/>
      <c r="R3" s="438" t="s">
        <v>162</v>
      </c>
      <c r="S3" s="439"/>
      <c r="T3" s="439"/>
      <c r="U3" s="440"/>
      <c r="V3" s="299" t="s">
        <v>214</v>
      </c>
      <c r="W3" s="421" t="s">
        <v>786</v>
      </c>
    </row>
    <row r="4" spans="1:23" ht="63.75" customHeight="1" thickBot="1" x14ac:dyDescent="0.3">
      <c r="A4" s="425"/>
      <c r="B4" s="297" t="s">
        <v>117</v>
      </c>
      <c r="C4" s="295" t="s">
        <v>116</v>
      </c>
      <c r="D4" s="296" t="s">
        <v>780</v>
      </c>
      <c r="E4" s="298" t="s">
        <v>781</v>
      </c>
      <c r="F4" s="297" t="s">
        <v>117</v>
      </c>
      <c r="G4" s="295" t="s">
        <v>116</v>
      </c>
      <c r="H4" s="296" t="s">
        <v>780</v>
      </c>
      <c r="I4" s="298" t="s">
        <v>781</v>
      </c>
      <c r="J4" s="297" t="s">
        <v>117</v>
      </c>
      <c r="K4" s="295" t="s">
        <v>116</v>
      </c>
      <c r="L4" s="296" t="s">
        <v>780</v>
      </c>
      <c r="M4" s="298" t="s">
        <v>781</v>
      </c>
      <c r="N4" s="297" t="s">
        <v>117</v>
      </c>
      <c r="O4" s="295" t="s">
        <v>116</v>
      </c>
      <c r="P4" s="296" t="s">
        <v>780</v>
      </c>
      <c r="Q4" s="298" t="s">
        <v>781</v>
      </c>
      <c r="R4" s="297" t="s">
        <v>117</v>
      </c>
      <c r="S4" s="295" t="s">
        <v>116</v>
      </c>
      <c r="T4" s="296" t="s">
        <v>780</v>
      </c>
      <c r="U4" s="298" t="s">
        <v>781</v>
      </c>
      <c r="V4" s="300" t="s">
        <v>780</v>
      </c>
      <c r="W4" s="422"/>
    </row>
    <row r="5" spans="1:23" ht="63.75" customHeight="1" x14ac:dyDescent="0.25">
      <c r="A5" s="290" t="s">
        <v>783</v>
      </c>
      <c r="B5" s="291">
        <v>5466839</v>
      </c>
      <c r="C5" s="291">
        <v>1287092</v>
      </c>
      <c r="D5" s="291">
        <f>B5+C5</f>
        <v>6753931</v>
      </c>
      <c r="E5" s="292">
        <f>D5+E11</f>
        <v>8104717.2000000002</v>
      </c>
      <c r="F5" s="291">
        <v>17578</v>
      </c>
      <c r="G5" s="291">
        <v>0</v>
      </c>
      <c r="H5" s="291">
        <f>F5+G5</f>
        <v>17578</v>
      </c>
      <c r="I5" s="292">
        <f>H5+I11</f>
        <v>21093.599999999999</v>
      </c>
      <c r="J5" s="291">
        <v>2250</v>
      </c>
      <c r="K5" s="291">
        <v>0</v>
      </c>
      <c r="L5" s="291">
        <f>J5+K5</f>
        <v>2250</v>
      </c>
      <c r="M5" s="292">
        <f>L5+M11</f>
        <v>2700</v>
      </c>
      <c r="N5" s="291">
        <v>0</v>
      </c>
      <c r="O5" s="291">
        <v>0</v>
      </c>
      <c r="P5" s="291">
        <f>N5+O5</f>
        <v>0</v>
      </c>
      <c r="Q5" s="292">
        <f>P5+Q11</f>
        <v>0</v>
      </c>
      <c r="R5" s="291">
        <v>41650</v>
      </c>
      <c r="S5" s="291">
        <v>84000</v>
      </c>
      <c r="T5" s="291">
        <f>R5+S5</f>
        <v>125650</v>
      </c>
      <c r="U5" s="293">
        <f>T5+U11</f>
        <v>150780</v>
      </c>
      <c r="V5" s="294">
        <v>15239</v>
      </c>
      <c r="W5" s="287">
        <v>1933</v>
      </c>
    </row>
    <row r="6" spans="1:23" ht="63.75" customHeight="1" x14ac:dyDescent="0.25">
      <c r="A6" s="282" t="s">
        <v>784</v>
      </c>
      <c r="B6" s="283">
        <v>5517875</v>
      </c>
      <c r="C6" s="283">
        <v>1489619</v>
      </c>
      <c r="D6" s="283">
        <f t="shared" ref="D6:D8" si="0">B6+C6</f>
        <v>7007494</v>
      </c>
      <c r="E6" s="284">
        <f>D6+E12</f>
        <v>8408992.8000000007</v>
      </c>
      <c r="F6" s="283">
        <v>15053</v>
      </c>
      <c r="G6" s="283">
        <v>844</v>
      </c>
      <c r="H6" s="283">
        <f t="shared" ref="H6:H8" si="1">F6+G6</f>
        <v>15897</v>
      </c>
      <c r="I6" s="284">
        <f>H6+I12</f>
        <v>19076.400000000001</v>
      </c>
      <c r="J6" s="283">
        <v>10580</v>
      </c>
      <c r="K6" s="283">
        <v>9500</v>
      </c>
      <c r="L6" s="283">
        <f t="shared" ref="L6:L8" si="2">J6+K6</f>
        <v>20080</v>
      </c>
      <c r="M6" s="284">
        <f>L6+M12</f>
        <v>24096</v>
      </c>
      <c r="N6" s="283">
        <v>28960</v>
      </c>
      <c r="O6" s="283">
        <v>13640</v>
      </c>
      <c r="P6" s="283">
        <f t="shared" ref="P6:P8" si="3">N6+O6</f>
        <v>42600</v>
      </c>
      <c r="Q6" s="332">
        <f>P6+Q12</f>
        <v>51120</v>
      </c>
      <c r="R6" s="283">
        <v>30800</v>
      </c>
      <c r="S6" s="283">
        <v>75153</v>
      </c>
      <c r="T6" s="283">
        <f t="shared" ref="T6:T8" si="4">R6+S6</f>
        <v>105953</v>
      </c>
      <c r="U6" s="285">
        <f>T6+U12</f>
        <v>127143.6</v>
      </c>
      <c r="V6" s="286">
        <v>12250</v>
      </c>
      <c r="W6" s="287">
        <v>3251</v>
      </c>
    </row>
    <row r="7" spans="1:23" ht="63.75" customHeight="1" x14ac:dyDescent="0.25">
      <c r="A7" s="282" t="s">
        <v>785</v>
      </c>
      <c r="B7" s="283">
        <v>4997870</v>
      </c>
      <c r="C7" s="283">
        <v>1207180</v>
      </c>
      <c r="D7" s="283">
        <f t="shared" si="0"/>
        <v>6205050</v>
      </c>
      <c r="E7" s="284">
        <f>D7+E13</f>
        <v>7446060</v>
      </c>
      <c r="F7" s="283">
        <v>8756</v>
      </c>
      <c r="G7" s="283">
        <v>1123</v>
      </c>
      <c r="H7" s="283">
        <f t="shared" si="1"/>
        <v>9879</v>
      </c>
      <c r="I7" s="284">
        <f>H7+I13</f>
        <v>11854.8</v>
      </c>
      <c r="J7" s="283">
        <v>12400</v>
      </c>
      <c r="K7" s="283">
        <v>0</v>
      </c>
      <c r="L7" s="283">
        <f t="shared" si="2"/>
        <v>12400</v>
      </c>
      <c r="M7" s="284">
        <f>L7+M13</f>
        <v>14880</v>
      </c>
      <c r="N7" s="283">
        <v>53650</v>
      </c>
      <c r="O7" s="283">
        <v>37675</v>
      </c>
      <c r="P7" s="283">
        <v>103675</v>
      </c>
      <c r="Q7" s="332">
        <f>P7+Q13</f>
        <v>124410</v>
      </c>
      <c r="R7" s="283">
        <v>24200</v>
      </c>
      <c r="S7" s="283">
        <v>118745</v>
      </c>
      <c r="T7" s="283">
        <f t="shared" si="4"/>
        <v>142945</v>
      </c>
      <c r="U7" s="285">
        <f>T7+U13</f>
        <v>171534</v>
      </c>
      <c r="V7" s="286">
        <v>23508</v>
      </c>
      <c r="W7" s="287">
        <v>2626</v>
      </c>
    </row>
    <row r="8" spans="1:23" ht="63.75" customHeight="1" x14ac:dyDescent="0.25">
      <c r="A8" s="288" t="s">
        <v>1031</v>
      </c>
      <c r="B8" s="283">
        <v>1117700</v>
      </c>
      <c r="C8" s="283">
        <v>265470</v>
      </c>
      <c r="D8" s="283">
        <f t="shared" si="0"/>
        <v>1383170</v>
      </c>
      <c r="E8" s="284">
        <f>D8+E14</f>
        <v>1659804</v>
      </c>
      <c r="F8" s="283">
        <v>26</v>
      </c>
      <c r="G8" s="283">
        <v>22</v>
      </c>
      <c r="H8" s="283">
        <f t="shared" si="1"/>
        <v>48</v>
      </c>
      <c r="I8" s="284">
        <f>H8+I14</f>
        <v>57.6</v>
      </c>
      <c r="J8" s="283">
        <v>0</v>
      </c>
      <c r="K8" s="283">
        <v>1000</v>
      </c>
      <c r="L8" s="283">
        <f t="shared" si="2"/>
        <v>1000</v>
      </c>
      <c r="M8" s="284">
        <f>L8+M14</f>
        <v>1200</v>
      </c>
      <c r="N8" s="283">
        <v>18250</v>
      </c>
      <c r="O8" s="283">
        <v>1100</v>
      </c>
      <c r="P8" s="283">
        <f t="shared" si="3"/>
        <v>19350</v>
      </c>
      <c r="Q8" s="284">
        <f>P8+Q14</f>
        <v>23220</v>
      </c>
      <c r="R8" s="283">
        <v>1820</v>
      </c>
      <c r="S8" s="283">
        <v>30000</v>
      </c>
      <c r="T8" s="283">
        <f t="shared" si="4"/>
        <v>31820</v>
      </c>
      <c r="U8" s="285">
        <f>T8+U14</f>
        <v>38184</v>
      </c>
      <c r="V8" s="286">
        <v>32526</v>
      </c>
      <c r="W8" s="289">
        <v>229</v>
      </c>
    </row>
    <row r="11" spans="1:23" ht="35.25" customHeight="1" x14ac:dyDescent="0.25">
      <c r="E11" s="67">
        <f>D5*0.2</f>
        <v>1350786.2000000002</v>
      </c>
      <c r="I11" s="67">
        <f>H5*0.2</f>
        <v>3515.6000000000004</v>
      </c>
      <c r="M11" s="92">
        <f>L5*0.2</f>
        <v>450</v>
      </c>
      <c r="Q11" s="87">
        <f>P5*0.2</f>
        <v>0</v>
      </c>
      <c r="U11" s="92">
        <f>T5*0.2</f>
        <v>25130</v>
      </c>
    </row>
    <row r="12" spans="1:23" x14ac:dyDescent="0.25">
      <c r="E12" s="67">
        <f>D6*0.2</f>
        <v>1401498.8</v>
      </c>
      <c r="I12" s="67">
        <f>H6*0.2</f>
        <v>3179.4</v>
      </c>
      <c r="M12" s="92">
        <f>L6*0.2</f>
        <v>4016</v>
      </c>
      <c r="Q12" s="87">
        <f>P6*0.2</f>
        <v>8520</v>
      </c>
      <c r="U12" s="92">
        <f>T6*0.2</f>
        <v>21190.600000000002</v>
      </c>
    </row>
    <row r="13" spans="1:23" x14ac:dyDescent="0.25">
      <c r="E13" s="67">
        <f>D7*0.2</f>
        <v>1241010</v>
      </c>
      <c r="I13" s="67">
        <f>H7*0.2</f>
        <v>1975.8000000000002</v>
      </c>
      <c r="M13" s="92">
        <f>L7*0.2</f>
        <v>2480</v>
      </c>
      <c r="Q13" s="87">
        <f>P7*0.2</f>
        <v>20735</v>
      </c>
      <c r="U13" s="92">
        <f>T7*0.2</f>
        <v>28589</v>
      </c>
    </row>
    <row r="14" spans="1:23" x14ac:dyDescent="0.25">
      <c r="E14" s="67">
        <f>D8*0.2</f>
        <v>276634</v>
      </c>
      <c r="I14" s="67">
        <f>H8*0.2</f>
        <v>9.6000000000000014</v>
      </c>
      <c r="M14" s="92">
        <f>L8*0.2</f>
        <v>200</v>
      </c>
      <c r="Q14" s="87">
        <f>P8*0.2</f>
        <v>3870</v>
      </c>
      <c r="U14" s="92">
        <f>T8*0.2</f>
        <v>6364</v>
      </c>
    </row>
    <row r="19" spans="5:5" x14ac:dyDescent="0.25">
      <c r="E19" s="181"/>
    </row>
    <row r="26" spans="5:5" x14ac:dyDescent="0.25">
      <c r="E26" s="181"/>
    </row>
  </sheetData>
  <mergeCells count="8">
    <mergeCell ref="W3:W4"/>
    <mergeCell ref="A1:V1"/>
    <mergeCell ref="A3:A4"/>
    <mergeCell ref="B3:E3"/>
    <mergeCell ref="F3:I3"/>
    <mergeCell ref="J3:M3"/>
    <mergeCell ref="N3:Q3"/>
    <mergeCell ref="R3:U3"/>
  </mergeCells>
  <printOptions horizontalCentered="1"/>
  <pageMargins left="0.25" right="0.25" top="0.75" bottom="0.75" header="0.3" footer="0.3"/>
  <pageSetup paperSize="155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O28"/>
  <sheetViews>
    <sheetView view="pageBreakPreview" zoomScale="96" zoomScaleNormal="100" zoomScaleSheetLayoutView="96" workbookViewId="0">
      <selection activeCell="G20" sqref="G20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46" t="s">
        <v>1189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1213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1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0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27</v>
      </c>
      <c r="B12" s="236" t="s">
        <v>639</v>
      </c>
      <c r="C12" s="25"/>
      <c r="D12" s="236"/>
      <c r="E12" s="236"/>
      <c r="F12" s="238"/>
      <c r="G12" s="236" t="s">
        <v>421</v>
      </c>
      <c r="H12" s="58" t="s">
        <v>986</v>
      </c>
      <c r="I12" s="230">
        <v>30000</v>
      </c>
      <c r="J12" s="237" t="s">
        <v>77</v>
      </c>
      <c r="K12" s="94" t="s">
        <v>662</v>
      </c>
      <c r="L12" s="236" t="s">
        <v>44</v>
      </c>
      <c r="M12" s="173"/>
    </row>
    <row r="13" spans="1:15" ht="17.25" customHeight="1" x14ac:dyDescent="0.25">
      <c r="A13" s="72"/>
      <c r="B13" s="236"/>
      <c r="C13" s="25"/>
      <c r="D13" s="94"/>
      <c r="E13" s="94"/>
      <c r="F13" s="165"/>
      <c r="G13" s="94"/>
      <c r="H13" s="58"/>
      <c r="I13" s="93"/>
      <c r="J13" s="359"/>
      <c r="K13" s="94"/>
      <c r="L13" s="25"/>
      <c r="M13" s="173"/>
      <c r="O13" s="67"/>
    </row>
    <row r="14" spans="1:15" ht="18" customHeight="1" x14ac:dyDescent="0.25">
      <c r="A14" s="98"/>
      <c r="B14" s="302"/>
      <c r="C14" s="27"/>
      <c r="D14" s="94"/>
      <c r="E14" s="94"/>
      <c r="F14" s="165"/>
      <c r="G14" s="94"/>
      <c r="H14" s="303"/>
      <c r="I14" s="93"/>
      <c r="J14" s="305"/>
      <c r="K14" s="94"/>
      <c r="L14" s="94"/>
      <c r="O14" s="67"/>
    </row>
    <row r="15" spans="1:15" ht="16.5" customHeight="1" x14ac:dyDescent="0.25">
      <c r="A15" s="72"/>
      <c r="B15" s="302"/>
      <c r="C15" s="27"/>
      <c r="D15" s="94"/>
      <c r="E15" s="94"/>
      <c r="F15" s="165"/>
      <c r="G15" s="94"/>
      <c r="H15" s="304"/>
      <c r="I15" s="93"/>
      <c r="J15" s="57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165"/>
      <c r="G16" s="94"/>
      <c r="H16" s="130"/>
      <c r="I16" s="93"/>
      <c r="J16" s="25"/>
      <c r="K16" s="94"/>
      <c r="L16" s="94"/>
      <c r="O16" s="67"/>
    </row>
    <row r="17" spans="2:12" x14ac:dyDescent="0.25">
      <c r="I17" s="30"/>
      <c r="J17" s="30"/>
    </row>
    <row r="18" spans="2:12" x14ac:dyDescent="0.25">
      <c r="I18" s="59" t="s">
        <v>19</v>
      </c>
      <c r="J18" s="30"/>
    </row>
    <row r="19" spans="2:12" x14ac:dyDescent="0.25">
      <c r="I19" s="30" t="s">
        <v>136</v>
      </c>
      <c r="J19" s="30"/>
    </row>
    <row r="20" spans="2:12" x14ac:dyDescent="0.25">
      <c r="B20" t="s">
        <v>20</v>
      </c>
      <c r="E20" t="s">
        <v>21</v>
      </c>
      <c r="I20" s="30" t="s">
        <v>137</v>
      </c>
      <c r="J20" s="118"/>
    </row>
    <row r="21" spans="2:12" x14ac:dyDescent="0.25">
      <c r="I21" s="30" t="s">
        <v>1036</v>
      </c>
      <c r="J21" s="118"/>
    </row>
    <row r="22" spans="2:12" x14ac:dyDescent="0.25">
      <c r="I22" s="30" t="s">
        <v>138</v>
      </c>
      <c r="J22" s="118">
        <v>30000</v>
      </c>
    </row>
    <row r="23" spans="2:12" x14ac:dyDescent="0.25">
      <c r="I23" s="30" t="s">
        <v>142</v>
      </c>
      <c r="J23" s="115">
        <v>0</v>
      </c>
    </row>
    <row r="24" spans="2:12" x14ac:dyDescent="0.25">
      <c r="B24" s="31" t="s">
        <v>987</v>
      </c>
      <c r="E24" s="443" t="s">
        <v>22</v>
      </c>
      <c r="F24" s="443"/>
      <c r="G24" s="443"/>
      <c r="H24" s="443"/>
      <c r="I24" s="30" t="s">
        <v>143</v>
      </c>
      <c r="J24" s="118">
        <v>0</v>
      </c>
      <c r="L24" s="67"/>
    </row>
    <row r="25" spans="2:12" x14ac:dyDescent="0.25">
      <c r="B25" t="s">
        <v>988</v>
      </c>
      <c r="E25" s="444" t="s">
        <v>1037</v>
      </c>
      <c r="F25" s="444"/>
      <c r="G25" s="444"/>
      <c r="H25" s="444"/>
      <c r="I25" s="30" t="s">
        <v>144</v>
      </c>
      <c r="J25" s="115">
        <v>0</v>
      </c>
      <c r="L25" s="67"/>
    </row>
    <row r="26" spans="2:12" x14ac:dyDescent="0.25">
      <c r="I26" s="30" t="s">
        <v>23</v>
      </c>
      <c r="J26" s="117"/>
    </row>
    <row r="27" spans="2:12" x14ac:dyDescent="0.25">
      <c r="I27" s="4" t="s">
        <v>145</v>
      </c>
      <c r="J27" s="118"/>
    </row>
    <row r="28" spans="2:12" x14ac:dyDescent="0.25">
      <c r="I28" s="4" t="s">
        <v>108</v>
      </c>
      <c r="J28" s="118"/>
    </row>
  </sheetData>
  <mergeCells count="9">
    <mergeCell ref="A8:B8"/>
    <mergeCell ref="E24:H24"/>
    <mergeCell ref="E25:H2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Q232"/>
  <sheetViews>
    <sheetView view="pageBreakPreview" topLeftCell="A24" zoomScaleNormal="100" zoomScaleSheetLayoutView="100" workbookViewId="0">
      <selection activeCell="C36" sqref="C36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1189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1210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17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1190</v>
      </c>
      <c r="K6" s="104"/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/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/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>
        <v>6</v>
      </c>
      <c r="B12" s="25" t="s">
        <v>1166</v>
      </c>
      <c r="C12" s="25" t="s">
        <v>50</v>
      </c>
      <c r="D12" s="25" t="s">
        <v>299</v>
      </c>
      <c r="E12" s="25" t="s">
        <v>48</v>
      </c>
      <c r="F12" s="165" t="s">
        <v>1167</v>
      </c>
      <c r="G12" s="58" t="s">
        <v>986</v>
      </c>
      <c r="H12" s="65">
        <v>2500</v>
      </c>
      <c r="I12" s="74">
        <v>1250</v>
      </c>
      <c r="J12" s="25" t="s">
        <v>954</v>
      </c>
      <c r="K12" s="25" t="s">
        <v>44</v>
      </c>
      <c r="M12">
        <f>H12/5</f>
        <v>500</v>
      </c>
      <c r="O12" s="29"/>
    </row>
    <row r="13" spans="1:16" x14ac:dyDescent="0.25">
      <c r="A13" s="98">
        <v>6</v>
      </c>
      <c r="B13" s="25" t="s">
        <v>1166</v>
      </c>
      <c r="C13" s="25" t="s">
        <v>50</v>
      </c>
      <c r="D13" s="25" t="s">
        <v>299</v>
      </c>
      <c r="E13" s="25" t="s">
        <v>48</v>
      </c>
      <c r="F13" s="165" t="s">
        <v>1167</v>
      </c>
      <c r="G13" s="58" t="s">
        <v>358</v>
      </c>
      <c r="H13" s="65">
        <v>1500</v>
      </c>
      <c r="I13" s="74">
        <v>1500</v>
      </c>
      <c r="J13" s="25" t="s">
        <v>954</v>
      </c>
      <c r="K13" s="25" t="s">
        <v>44</v>
      </c>
      <c r="M13">
        <f t="shared" ref="M13:M44" si="0">H13/5</f>
        <v>300</v>
      </c>
      <c r="O13" s="29"/>
    </row>
    <row r="14" spans="1:16" x14ac:dyDescent="0.25">
      <c r="A14" s="98">
        <v>6</v>
      </c>
      <c r="B14" s="25" t="s">
        <v>1168</v>
      </c>
      <c r="C14" s="25" t="s">
        <v>40</v>
      </c>
      <c r="D14" s="25"/>
      <c r="E14" s="25" t="s">
        <v>104</v>
      </c>
      <c r="F14" s="165" t="s">
        <v>1169</v>
      </c>
      <c r="G14" s="58" t="s">
        <v>358</v>
      </c>
      <c r="H14" s="65">
        <v>500</v>
      </c>
      <c r="I14" s="74">
        <v>500</v>
      </c>
      <c r="J14" s="25" t="s">
        <v>954</v>
      </c>
      <c r="K14" s="25" t="s">
        <v>44</v>
      </c>
      <c r="M14">
        <f t="shared" si="0"/>
        <v>100</v>
      </c>
      <c r="O14" s="29"/>
    </row>
    <row r="15" spans="1:16" x14ac:dyDescent="0.25">
      <c r="A15" s="224">
        <v>6</v>
      </c>
      <c r="B15" s="25" t="s">
        <v>1168</v>
      </c>
      <c r="C15" s="25" t="s">
        <v>40</v>
      </c>
      <c r="D15" s="25"/>
      <c r="E15" s="25" t="s">
        <v>104</v>
      </c>
      <c r="F15" s="165" t="s">
        <v>1169</v>
      </c>
      <c r="G15" s="58" t="s">
        <v>351</v>
      </c>
      <c r="H15" s="65">
        <v>300</v>
      </c>
      <c r="I15" s="217">
        <v>3000</v>
      </c>
      <c r="J15" s="25" t="s">
        <v>954</v>
      </c>
      <c r="K15" s="25" t="s">
        <v>44</v>
      </c>
      <c r="M15">
        <f t="shared" si="0"/>
        <v>60</v>
      </c>
      <c r="P15" s="181"/>
    </row>
    <row r="16" spans="1:16" x14ac:dyDescent="0.25">
      <c r="A16" s="98">
        <v>6</v>
      </c>
      <c r="B16" s="25" t="s">
        <v>1170</v>
      </c>
      <c r="C16" s="25" t="s">
        <v>40</v>
      </c>
      <c r="D16" s="25" t="s">
        <v>313</v>
      </c>
      <c r="E16" s="25" t="s">
        <v>55</v>
      </c>
      <c r="F16" s="165" t="s">
        <v>1171</v>
      </c>
      <c r="G16" s="58" t="s">
        <v>358</v>
      </c>
      <c r="H16" s="65">
        <v>2000</v>
      </c>
      <c r="I16" s="74">
        <v>2000</v>
      </c>
      <c r="J16" s="25" t="s">
        <v>954</v>
      </c>
      <c r="K16" s="25" t="s">
        <v>44</v>
      </c>
      <c r="M16">
        <f t="shared" si="0"/>
        <v>400</v>
      </c>
    </row>
    <row r="17" spans="1:17" x14ac:dyDescent="0.25">
      <c r="A17" s="98">
        <v>6</v>
      </c>
      <c r="B17" s="25" t="s">
        <v>1172</v>
      </c>
      <c r="C17" s="25" t="s">
        <v>50</v>
      </c>
      <c r="D17" s="25" t="s">
        <v>328</v>
      </c>
      <c r="E17" s="25" t="s">
        <v>48</v>
      </c>
      <c r="F17" s="165" t="s">
        <v>1173</v>
      </c>
      <c r="G17" s="58" t="s">
        <v>358</v>
      </c>
      <c r="H17" s="65">
        <v>500</v>
      </c>
      <c r="I17" s="74">
        <v>500</v>
      </c>
      <c r="J17" s="25" t="s">
        <v>954</v>
      </c>
      <c r="K17" s="25" t="s">
        <v>44</v>
      </c>
      <c r="M17">
        <f t="shared" si="0"/>
        <v>100</v>
      </c>
      <c r="O17" s="67"/>
    </row>
    <row r="18" spans="1:17" x14ac:dyDescent="0.25">
      <c r="A18" s="98">
        <v>6</v>
      </c>
      <c r="B18" s="25" t="s">
        <v>347</v>
      </c>
      <c r="C18" s="25" t="s">
        <v>40</v>
      </c>
      <c r="D18" s="25" t="s">
        <v>412</v>
      </c>
      <c r="E18" s="25" t="s">
        <v>63</v>
      </c>
      <c r="F18" s="165" t="s">
        <v>348</v>
      </c>
      <c r="G18" s="58" t="s">
        <v>358</v>
      </c>
      <c r="H18" s="65">
        <v>200</v>
      </c>
      <c r="I18" s="74">
        <v>200</v>
      </c>
      <c r="J18" s="25" t="s">
        <v>954</v>
      </c>
      <c r="K18" s="25" t="s">
        <v>44</v>
      </c>
      <c r="M18">
        <f t="shared" si="0"/>
        <v>40</v>
      </c>
      <c r="Q18" s="29"/>
    </row>
    <row r="19" spans="1:17" x14ac:dyDescent="0.25">
      <c r="A19" s="98">
        <v>6</v>
      </c>
      <c r="B19" s="25" t="s">
        <v>1174</v>
      </c>
      <c r="C19" s="25" t="s">
        <v>40</v>
      </c>
      <c r="D19" s="25" t="s">
        <v>255</v>
      </c>
      <c r="E19" s="25" t="s">
        <v>48</v>
      </c>
      <c r="F19" s="165"/>
      <c r="G19" s="58" t="s">
        <v>986</v>
      </c>
      <c r="H19" s="65">
        <v>3000</v>
      </c>
      <c r="I19" s="74">
        <v>1500</v>
      </c>
      <c r="J19" s="25" t="s">
        <v>954</v>
      </c>
      <c r="K19" s="25" t="s">
        <v>44</v>
      </c>
      <c r="M19">
        <f t="shared" si="0"/>
        <v>600</v>
      </c>
      <c r="O19" s="29"/>
    </row>
    <row r="20" spans="1:17" x14ac:dyDescent="0.25">
      <c r="A20" s="132">
        <v>6</v>
      </c>
      <c r="B20" s="58" t="s">
        <v>1175</v>
      </c>
      <c r="C20" s="58" t="s">
        <v>40</v>
      </c>
      <c r="D20" s="58" t="s">
        <v>251</v>
      </c>
      <c r="E20" s="58" t="s">
        <v>64</v>
      </c>
      <c r="F20" s="196" t="s">
        <v>1176</v>
      </c>
      <c r="G20" s="58" t="s">
        <v>351</v>
      </c>
      <c r="H20" s="65">
        <v>50</v>
      </c>
      <c r="I20" s="74">
        <v>250</v>
      </c>
      <c r="J20" s="25" t="s">
        <v>954</v>
      </c>
      <c r="K20" s="25" t="s">
        <v>44</v>
      </c>
      <c r="M20">
        <f t="shared" si="0"/>
        <v>10</v>
      </c>
    </row>
    <row r="21" spans="1:17" x14ac:dyDescent="0.25">
      <c r="A21" s="98">
        <v>6</v>
      </c>
      <c r="B21" s="25" t="s">
        <v>1177</v>
      </c>
      <c r="C21" s="25" t="s">
        <v>40</v>
      </c>
      <c r="D21" s="25" t="s">
        <v>1178</v>
      </c>
      <c r="E21" s="25" t="s">
        <v>56</v>
      </c>
      <c r="F21" s="165" t="s">
        <v>1176</v>
      </c>
      <c r="G21" s="58" t="s">
        <v>358</v>
      </c>
      <c r="H21" s="65">
        <v>400</v>
      </c>
      <c r="I21" s="74">
        <v>400</v>
      </c>
      <c r="J21" s="25" t="s">
        <v>954</v>
      </c>
      <c r="K21" s="25" t="s">
        <v>44</v>
      </c>
      <c r="M21">
        <f t="shared" si="0"/>
        <v>80</v>
      </c>
    </row>
    <row r="22" spans="1:17" x14ac:dyDescent="0.25">
      <c r="A22" s="98">
        <v>6</v>
      </c>
      <c r="B22" s="25" t="s">
        <v>1179</v>
      </c>
      <c r="C22" s="25" t="s">
        <v>40</v>
      </c>
      <c r="D22" s="25" t="s">
        <v>193</v>
      </c>
      <c r="E22" s="25" t="s">
        <v>53</v>
      </c>
      <c r="F22" s="165" t="s">
        <v>1180</v>
      </c>
      <c r="G22" s="58" t="s">
        <v>351</v>
      </c>
      <c r="H22" s="65">
        <v>40</v>
      </c>
      <c r="I22" s="74">
        <v>200</v>
      </c>
      <c r="J22" s="25" t="s">
        <v>954</v>
      </c>
      <c r="K22" s="25" t="s">
        <v>44</v>
      </c>
      <c r="M22">
        <f t="shared" si="0"/>
        <v>8</v>
      </c>
    </row>
    <row r="23" spans="1:17" x14ac:dyDescent="0.25">
      <c r="A23" s="98">
        <v>6</v>
      </c>
      <c r="B23" s="25" t="s">
        <v>1181</v>
      </c>
      <c r="C23" s="25" t="s">
        <v>40</v>
      </c>
      <c r="D23" s="25" t="s">
        <v>89</v>
      </c>
      <c r="E23" s="25" t="s">
        <v>45</v>
      </c>
      <c r="F23" s="165" t="s">
        <v>1182</v>
      </c>
      <c r="G23" s="58" t="s">
        <v>358</v>
      </c>
      <c r="H23" s="65">
        <v>1000</v>
      </c>
      <c r="I23" s="74">
        <v>1000</v>
      </c>
      <c r="J23" s="25" t="s">
        <v>954</v>
      </c>
      <c r="K23" s="25" t="s">
        <v>44</v>
      </c>
      <c r="M23">
        <f t="shared" si="0"/>
        <v>200</v>
      </c>
    </row>
    <row r="24" spans="1:17" x14ac:dyDescent="0.25">
      <c r="A24" s="98">
        <v>6</v>
      </c>
      <c r="B24" s="25" t="s">
        <v>1183</v>
      </c>
      <c r="C24" s="25" t="s">
        <v>40</v>
      </c>
      <c r="D24" s="25" t="s">
        <v>176</v>
      </c>
      <c r="E24" s="25" t="s">
        <v>53</v>
      </c>
      <c r="F24" s="165"/>
      <c r="G24" s="58" t="s">
        <v>351</v>
      </c>
      <c r="H24" s="65">
        <v>10</v>
      </c>
      <c r="I24" s="74">
        <v>50</v>
      </c>
      <c r="J24" s="25" t="s">
        <v>954</v>
      </c>
      <c r="K24" s="25" t="s">
        <v>44</v>
      </c>
      <c r="M24">
        <f t="shared" si="0"/>
        <v>2</v>
      </c>
      <c r="P24" s="29"/>
    </row>
    <row r="25" spans="1:17" x14ac:dyDescent="0.25">
      <c r="A25" s="224">
        <v>6</v>
      </c>
      <c r="B25" s="218" t="s">
        <v>1184</v>
      </c>
      <c r="C25" s="218" t="s">
        <v>40</v>
      </c>
      <c r="D25" s="218" t="s">
        <v>89</v>
      </c>
      <c r="E25" s="218" t="s">
        <v>45</v>
      </c>
      <c r="F25" s="222" t="s">
        <v>1185</v>
      </c>
      <c r="G25" s="58" t="s">
        <v>986</v>
      </c>
      <c r="H25" s="216">
        <v>500</v>
      </c>
      <c r="I25" s="217">
        <v>250</v>
      </c>
      <c r="J25" s="25" t="s">
        <v>954</v>
      </c>
      <c r="K25" s="25" t="s">
        <v>44</v>
      </c>
      <c r="M25">
        <f t="shared" si="0"/>
        <v>100</v>
      </c>
      <c r="P25" s="29"/>
    </row>
    <row r="26" spans="1:17" x14ac:dyDescent="0.25">
      <c r="A26" s="98">
        <v>6</v>
      </c>
      <c r="B26" s="218" t="s">
        <v>1186</v>
      </c>
      <c r="C26" s="218" t="s">
        <v>40</v>
      </c>
      <c r="D26" s="218" t="s">
        <v>935</v>
      </c>
      <c r="E26" s="218" t="s">
        <v>65</v>
      </c>
      <c r="F26" s="222" t="s">
        <v>1187</v>
      </c>
      <c r="G26" s="215" t="s">
        <v>351</v>
      </c>
      <c r="H26" s="216">
        <v>40</v>
      </c>
      <c r="I26" s="217">
        <v>400</v>
      </c>
      <c r="J26" s="25" t="s">
        <v>954</v>
      </c>
      <c r="K26" s="25" t="s">
        <v>44</v>
      </c>
      <c r="M26">
        <f t="shared" si="0"/>
        <v>8</v>
      </c>
      <c r="P26" s="29"/>
    </row>
    <row r="27" spans="1:17" x14ac:dyDescent="0.25">
      <c r="A27" s="98">
        <v>6</v>
      </c>
      <c r="B27" s="25" t="s">
        <v>1188</v>
      </c>
      <c r="C27" s="25" t="s">
        <v>40</v>
      </c>
      <c r="D27" s="25" t="s">
        <v>219</v>
      </c>
      <c r="E27" s="25" t="s">
        <v>48</v>
      </c>
      <c r="F27" s="165"/>
      <c r="G27" s="58" t="s">
        <v>986</v>
      </c>
      <c r="H27" s="65">
        <v>2000</v>
      </c>
      <c r="I27" s="74">
        <v>1000</v>
      </c>
      <c r="J27" s="25" t="s">
        <v>954</v>
      </c>
      <c r="K27" s="25" t="s">
        <v>44</v>
      </c>
      <c r="M27">
        <f t="shared" si="0"/>
        <v>400</v>
      </c>
    </row>
    <row r="28" spans="1:17" x14ac:dyDescent="0.25">
      <c r="A28" s="98">
        <v>6</v>
      </c>
      <c r="B28" s="25" t="s">
        <v>1192</v>
      </c>
      <c r="C28" s="25" t="s">
        <v>40</v>
      </c>
      <c r="D28" s="25" t="s">
        <v>65</v>
      </c>
      <c r="E28" s="25" t="s">
        <v>45</v>
      </c>
      <c r="F28" s="165" t="s">
        <v>1193</v>
      </c>
      <c r="G28" s="58" t="s">
        <v>986</v>
      </c>
      <c r="H28" s="65">
        <v>500</v>
      </c>
      <c r="I28" s="74">
        <v>250</v>
      </c>
      <c r="J28" s="25" t="s">
        <v>954</v>
      </c>
      <c r="K28" s="25" t="s">
        <v>44</v>
      </c>
      <c r="M28">
        <f t="shared" si="0"/>
        <v>100</v>
      </c>
      <c r="P28" s="29"/>
    </row>
    <row r="29" spans="1:17" x14ac:dyDescent="0.25">
      <c r="A29" s="98">
        <v>19</v>
      </c>
      <c r="B29" s="25" t="s">
        <v>1194</v>
      </c>
      <c r="C29" s="25" t="s">
        <v>40</v>
      </c>
      <c r="D29" s="25" t="s">
        <v>1195</v>
      </c>
      <c r="E29" s="25" t="s">
        <v>80</v>
      </c>
      <c r="F29" s="165" t="s">
        <v>1196</v>
      </c>
      <c r="G29" s="58" t="s">
        <v>986</v>
      </c>
      <c r="H29" s="65">
        <v>200</v>
      </c>
      <c r="I29" s="74">
        <v>100</v>
      </c>
      <c r="J29" s="25" t="s">
        <v>954</v>
      </c>
      <c r="K29" s="25" t="s">
        <v>44</v>
      </c>
      <c r="M29">
        <f t="shared" si="0"/>
        <v>40</v>
      </c>
    </row>
    <row r="30" spans="1:17" x14ac:dyDescent="0.25">
      <c r="A30" s="98">
        <v>19</v>
      </c>
      <c r="B30" s="25" t="s">
        <v>1197</v>
      </c>
      <c r="C30" s="25" t="s">
        <v>40</v>
      </c>
      <c r="D30" s="25" t="s">
        <v>1198</v>
      </c>
      <c r="E30" s="25" t="s">
        <v>88</v>
      </c>
      <c r="F30" s="165" t="s">
        <v>1199</v>
      </c>
      <c r="G30" s="58" t="s">
        <v>351</v>
      </c>
      <c r="H30" s="65">
        <v>100</v>
      </c>
      <c r="I30" s="74">
        <v>500</v>
      </c>
      <c r="J30" s="25" t="s">
        <v>954</v>
      </c>
      <c r="K30" s="25" t="s">
        <v>44</v>
      </c>
      <c r="M30">
        <f t="shared" si="0"/>
        <v>20</v>
      </c>
    </row>
    <row r="31" spans="1:17" x14ac:dyDescent="0.25">
      <c r="A31" s="98">
        <v>19</v>
      </c>
      <c r="B31" s="25" t="s">
        <v>1200</v>
      </c>
      <c r="C31" s="25" t="s">
        <v>40</v>
      </c>
      <c r="D31" s="25" t="s">
        <v>181</v>
      </c>
      <c r="E31" s="25" t="s">
        <v>53</v>
      </c>
      <c r="F31" s="165" t="s">
        <v>1201</v>
      </c>
      <c r="G31" s="58" t="s">
        <v>358</v>
      </c>
      <c r="H31" s="65">
        <v>70</v>
      </c>
      <c r="I31" s="74">
        <v>70</v>
      </c>
      <c r="J31" s="25" t="s">
        <v>954</v>
      </c>
      <c r="K31" s="25" t="s">
        <v>44</v>
      </c>
      <c r="M31">
        <f t="shared" si="0"/>
        <v>14</v>
      </c>
    </row>
    <row r="32" spans="1:17" x14ac:dyDescent="0.25">
      <c r="A32" s="98">
        <v>19</v>
      </c>
      <c r="B32" s="25" t="s">
        <v>1202</v>
      </c>
      <c r="C32" s="25" t="s">
        <v>40</v>
      </c>
      <c r="D32" s="25" t="s">
        <v>1203</v>
      </c>
      <c r="E32" s="25" t="s">
        <v>63</v>
      </c>
      <c r="F32" s="165" t="s">
        <v>1204</v>
      </c>
      <c r="G32" s="58" t="s">
        <v>351</v>
      </c>
      <c r="H32" s="65">
        <v>100</v>
      </c>
      <c r="I32" s="74">
        <v>500</v>
      </c>
      <c r="J32" s="25" t="s">
        <v>954</v>
      </c>
      <c r="K32" s="25" t="s">
        <v>44</v>
      </c>
      <c r="M32">
        <f t="shared" si="0"/>
        <v>20</v>
      </c>
    </row>
    <row r="33" spans="1:13" x14ac:dyDescent="0.25">
      <c r="A33" s="98">
        <v>19</v>
      </c>
      <c r="B33" s="25" t="s">
        <v>1205</v>
      </c>
      <c r="C33" s="25" t="s">
        <v>50</v>
      </c>
      <c r="D33" s="25" t="s">
        <v>187</v>
      </c>
      <c r="E33" s="25" t="s">
        <v>46</v>
      </c>
      <c r="F33" s="165" t="s">
        <v>1206</v>
      </c>
      <c r="G33" s="58" t="s">
        <v>351</v>
      </c>
      <c r="H33" s="65">
        <v>30</v>
      </c>
      <c r="I33" s="74">
        <v>300</v>
      </c>
      <c r="J33" s="25" t="s">
        <v>954</v>
      </c>
      <c r="K33" s="25" t="s">
        <v>44</v>
      </c>
      <c r="M33">
        <f t="shared" si="0"/>
        <v>6</v>
      </c>
    </row>
    <row r="34" spans="1:13" x14ac:dyDescent="0.25">
      <c r="A34" s="98">
        <v>19</v>
      </c>
      <c r="B34" s="25" t="s">
        <v>1205</v>
      </c>
      <c r="C34" s="25" t="s">
        <v>50</v>
      </c>
      <c r="D34" s="25" t="s">
        <v>187</v>
      </c>
      <c r="E34" s="25" t="s">
        <v>46</v>
      </c>
      <c r="F34" s="165" t="s">
        <v>1206</v>
      </c>
      <c r="G34" s="58" t="s">
        <v>351</v>
      </c>
      <c r="H34" s="65">
        <v>30</v>
      </c>
      <c r="I34" s="74">
        <v>150</v>
      </c>
      <c r="J34" s="25" t="s">
        <v>954</v>
      </c>
      <c r="K34" s="25" t="s">
        <v>44</v>
      </c>
      <c r="M34">
        <f t="shared" si="0"/>
        <v>6</v>
      </c>
    </row>
    <row r="35" spans="1:13" x14ac:dyDescent="0.25">
      <c r="A35" s="98">
        <v>19</v>
      </c>
      <c r="B35" s="25" t="s">
        <v>1205</v>
      </c>
      <c r="C35" s="25" t="s">
        <v>50</v>
      </c>
      <c r="D35" s="25" t="s">
        <v>187</v>
      </c>
      <c r="E35" s="25" t="s">
        <v>46</v>
      </c>
      <c r="F35" s="165" t="s">
        <v>1206</v>
      </c>
      <c r="G35" s="58" t="s">
        <v>986</v>
      </c>
      <c r="H35" s="65">
        <v>20</v>
      </c>
      <c r="I35" s="74">
        <v>10</v>
      </c>
      <c r="J35" s="25" t="s">
        <v>954</v>
      </c>
      <c r="K35" s="25" t="s">
        <v>44</v>
      </c>
      <c r="M35">
        <f t="shared" si="0"/>
        <v>4</v>
      </c>
    </row>
    <row r="36" spans="1:13" x14ac:dyDescent="0.25">
      <c r="A36" s="98">
        <v>19</v>
      </c>
      <c r="B36" s="25" t="s">
        <v>1207</v>
      </c>
      <c r="C36" s="25" t="s">
        <v>40</v>
      </c>
      <c r="D36" s="25" t="s">
        <v>257</v>
      </c>
      <c r="E36" s="25" t="s">
        <v>82</v>
      </c>
      <c r="F36" s="165" t="s">
        <v>1208</v>
      </c>
      <c r="G36" s="58" t="s">
        <v>1209</v>
      </c>
      <c r="H36" s="65">
        <v>1000</v>
      </c>
      <c r="I36" s="74">
        <v>200</v>
      </c>
      <c r="J36" s="25" t="s">
        <v>954</v>
      </c>
      <c r="K36" s="25" t="s">
        <v>44</v>
      </c>
      <c r="M36">
        <f t="shared" si="0"/>
        <v>200</v>
      </c>
    </row>
    <row r="37" spans="1:13" x14ac:dyDescent="0.25">
      <c r="A37" s="98"/>
      <c r="B37" s="25"/>
      <c r="C37" s="25"/>
      <c r="D37" s="25"/>
      <c r="E37" s="25"/>
      <c r="F37" s="165"/>
      <c r="G37" s="58"/>
      <c r="H37" s="65"/>
      <c r="I37" s="74"/>
      <c r="J37" s="25"/>
      <c r="K37" s="25"/>
      <c r="M37">
        <f t="shared" si="0"/>
        <v>0</v>
      </c>
    </row>
    <row r="38" spans="1:13" x14ac:dyDescent="0.25">
      <c r="A38" s="98"/>
      <c r="B38" s="25"/>
      <c r="C38" s="25"/>
      <c r="D38" s="25"/>
      <c r="E38" s="25"/>
      <c r="F38" s="165"/>
      <c r="G38" s="25"/>
      <c r="H38" s="93"/>
      <c r="I38" s="73"/>
      <c r="J38" s="25"/>
      <c r="K38" s="25"/>
      <c r="M38">
        <f t="shared" si="0"/>
        <v>0</v>
      </c>
    </row>
    <row r="39" spans="1:13" x14ac:dyDescent="0.25">
      <c r="A39" s="98"/>
      <c r="B39" s="25"/>
      <c r="C39" s="25"/>
      <c r="D39" s="25"/>
      <c r="E39" s="25"/>
      <c r="F39" s="165"/>
      <c r="G39" s="25"/>
      <c r="H39" s="93"/>
      <c r="I39" s="73"/>
      <c r="J39" s="25"/>
      <c r="K39" s="25"/>
      <c r="M39">
        <f t="shared" si="0"/>
        <v>0</v>
      </c>
    </row>
    <row r="40" spans="1:13" x14ac:dyDescent="0.25">
      <c r="A40" s="98"/>
      <c r="B40" s="25"/>
      <c r="C40" s="25"/>
      <c r="D40" s="25"/>
      <c r="E40" s="25"/>
      <c r="F40" s="165"/>
      <c r="G40" s="25"/>
      <c r="H40" s="93"/>
      <c r="I40" s="73"/>
      <c r="J40" s="25"/>
      <c r="K40" s="25"/>
      <c r="M40">
        <f t="shared" si="0"/>
        <v>0</v>
      </c>
    </row>
    <row r="41" spans="1:13" x14ac:dyDescent="0.25">
      <c r="A41" s="98"/>
      <c r="B41" s="25"/>
      <c r="C41" s="25"/>
      <c r="D41" s="25"/>
      <c r="E41" s="25"/>
      <c r="F41" s="165"/>
      <c r="G41" s="25"/>
      <c r="H41" s="93"/>
      <c r="I41" s="73"/>
      <c r="J41" s="25"/>
      <c r="K41" s="25"/>
      <c r="M41">
        <f t="shared" si="0"/>
        <v>0</v>
      </c>
    </row>
    <row r="42" spans="1:13" x14ac:dyDescent="0.25">
      <c r="A42" s="98"/>
      <c r="B42" s="25"/>
      <c r="C42" s="25"/>
      <c r="D42" s="25"/>
      <c r="E42" s="25"/>
      <c r="F42" s="165"/>
      <c r="G42" s="25"/>
      <c r="H42" s="93"/>
      <c r="I42" s="73"/>
      <c r="J42" s="25"/>
      <c r="K42" s="25"/>
      <c r="M42">
        <f t="shared" si="0"/>
        <v>0</v>
      </c>
    </row>
    <row r="43" spans="1:13" x14ac:dyDescent="0.25">
      <c r="A43" s="98"/>
      <c r="B43" s="58"/>
      <c r="C43" s="25"/>
      <c r="D43" s="25"/>
      <c r="E43" s="25"/>
      <c r="F43" s="165"/>
      <c r="G43" s="25"/>
      <c r="H43" s="93"/>
      <c r="I43" s="73"/>
      <c r="J43" s="25"/>
      <c r="K43" s="25"/>
      <c r="M43">
        <f t="shared" si="0"/>
        <v>0</v>
      </c>
    </row>
    <row r="44" spans="1:13" x14ac:dyDescent="0.25">
      <c r="A44" s="98"/>
      <c r="B44" s="58"/>
      <c r="C44" s="25"/>
      <c r="D44" s="25"/>
      <c r="E44" s="25"/>
      <c r="F44" s="165"/>
      <c r="G44" s="25"/>
      <c r="H44" s="93"/>
      <c r="I44" s="73"/>
      <c r="J44" s="25"/>
      <c r="K44" s="25"/>
      <c r="M44">
        <f t="shared" si="0"/>
        <v>0</v>
      </c>
    </row>
    <row r="45" spans="1:13" x14ac:dyDescent="0.25">
      <c r="A45" s="97"/>
      <c r="B45" s="94"/>
      <c r="C45" s="25"/>
      <c r="D45" s="25"/>
      <c r="E45" s="25"/>
      <c r="F45" s="165"/>
      <c r="G45" s="25"/>
      <c r="H45" s="93"/>
      <c r="I45" s="73"/>
      <c r="J45" s="25"/>
      <c r="K45" s="25"/>
      <c r="M45">
        <f>SUM(M12:M44)</f>
        <v>3318</v>
      </c>
    </row>
    <row r="46" spans="1:13" x14ac:dyDescent="0.25">
      <c r="H46" s="29"/>
      <c r="I46" s="108"/>
    </row>
    <row r="48" spans="1:13" x14ac:dyDescent="0.25">
      <c r="I48" s="110" t="s">
        <v>19</v>
      </c>
      <c r="J48" s="30"/>
    </row>
    <row r="49" spans="2:16" ht="16.5" customHeight="1" x14ac:dyDescent="0.25">
      <c r="B49" t="s">
        <v>20</v>
      </c>
      <c r="E49" t="s">
        <v>21</v>
      </c>
      <c r="I49" s="100" t="s">
        <v>136</v>
      </c>
      <c r="J49" s="115">
        <v>0</v>
      </c>
      <c r="P49" s="29"/>
    </row>
    <row r="50" spans="2:16" x14ac:dyDescent="0.25">
      <c r="I50" s="100" t="s">
        <v>137</v>
      </c>
      <c r="J50" s="115">
        <v>0</v>
      </c>
      <c r="K50" s="67"/>
    </row>
    <row r="51" spans="2:16" x14ac:dyDescent="0.25">
      <c r="I51" s="100" t="s">
        <v>406</v>
      </c>
      <c r="J51" s="118">
        <v>1000</v>
      </c>
    </row>
    <row r="52" spans="2:16" x14ac:dyDescent="0.25">
      <c r="B52" s="111" t="s">
        <v>987</v>
      </c>
      <c r="E52" s="455" t="s">
        <v>22</v>
      </c>
      <c r="F52" s="455"/>
      <c r="G52" s="455"/>
      <c r="H52" s="455"/>
      <c r="I52" s="100" t="s">
        <v>138</v>
      </c>
      <c r="J52" s="118">
        <v>8720</v>
      </c>
    </row>
    <row r="53" spans="2:16" x14ac:dyDescent="0.25">
      <c r="B53" t="s">
        <v>989</v>
      </c>
      <c r="E53" s="444" t="s">
        <v>1037</v>
      </c>
      <c r="F53" s="444"/>
      <c r="G53" s="444"/>
      <c r="H53" s="444"/>
      <c r="I53" s="100" t="s">
        <v>139</v>
      </c>
      <c r="J53" s="115">
        <v>700</v>
      </c>
    </row>
    <row r="54" spans="2:16" x14ac:dyDescent="0.25">
      <c r="I54" s="100" t="s">
        <v>143</v>
      </c>
      <c r="J54" s="118">
        <v>6170</v>
      </c>
    </row>
    <row r="55" spans="2:16" x14ac:dyDescent="0.25">
      <c r="I55" s="112" t="s">
        <v>135</v>
      </c>
      <c r="J55" s="115">
        <v>0</v>
      </c>
    </row>
    <row r="56" spans="2:16" x14ac:dyDescent="0.25">
      <c r="I56" s="100" t="s">
        <v>23</v>
      </c>
      <c r="J56" s="117"/>
    </row>
    <row r="57" spans="2:16" x14ac:dyDescent="0.25">
      <c r="I57" s="113" t="s">
        <v>133</v>
      </c>
      <c r="J57" s="118" t="s">
        <v>1211</v>
      </c>
    </row>
    <row r="58" spans="2:16" x14ac:dyDescent="0.25">
      <c r="B58" s="31"/>
      <c r="E58" s="31"/>
      <c r="F58" s="31"/>
      <c r="G58" s="31"/>
      <c r="I58" s="113" t="s">
        <v>134</v>
      </c>
      <c r="J58" s="69"/>
    </row>
    <row r="59" spans="2:16" x14ac:dyDescent="0.25">
      <c r="I59" s="100"/>
      <c r="J59" s="30"/>
    </row>
    <row r="60" spans="2:16" x14ac:dyDescent="0.25">
      <c r="I60" s="100"/>
      <c r="J60" s="30"/>
    </row>
    <row r="61" spans="2:16" x14ac:dyDescent="0.25">
      <c r="I61" s="100"/>
      <c r="J61" s="69"/>
    </row>
    <row r="62" spans="2:16" x14ac:dyDescent="0.25">
      <c r="I62" s="100"/>
      <c r="J62" s="69"/>
    </row>
    <row r="82" spans="12:12" x14ac:dyDescent="0.25">
      <c r="L82" s="29"/>
    </row>
    <row r="105" spans="12:12" x14ac:dyDescent="0.25">
      <c r="L105" s="29"/>
    </row>
    <row r="232" spans="12:12" x14ac:dyDescent="0.25">
      <c r="L232" s="29"/>
    </row>
  </sheetData>
  <mergeCells count="8">
    <mergeCell ref="E52:H52"/>
    <mergeCell ref="E53:H5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Q232"/>
  <sheetViews>
    <sheetView view="pageBreakPreview" topLeftCell="A43" zoomScale="106" zoomScaleNormal="100" zoomScaleSheetLayoutView="106" workbookViewId="0">
      <selection activeCell="G20" sqref="G20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1100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1165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4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1162</v>
      </c>
      <c r="K6" s="104"/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/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/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>
        <v>9</v>
      </c>
      <c r="B12" s="25" t="s">
        <v>1101</v>
      </c>
      <c r="C12" s="25" t="s">
        <v>40</v>
      </c>
      <c r="D12" s="25" t="s">
        <v>256</v>
      </c>
      <c r="E12" s="25" t="s">
        <v>55</v>
      </c>
      <c r="F12" s="165"/>
      <c r="G12" s="58" t="s">
        <v>351</v>
      </c>
      <c r="H12" s="65">
        <v>100</v>
      </c>
      <c r="I12" s="74">
        <v>500</v>
      </c>
      <c r="J12" s="25" t="s">
        <v>954</v>
      </c>
      <c r="K12" s="25" t="s">
        <v>44</v>
      </c>
      <c r="M12">
        <f>H12/5</f>
        <v>20</v>
      </c>
      <c r="O12" s="29"/>
    </row>
    <row r="13" spans="1:16" x14ac:dyDescent="0.25">
      <c r="A13" s="98">
        <v>9</v>
      </c>
      <c r="B13" s="25" t="s">
        <v>1102</v>
      </c>
      <c r="C13" s="25" t="s">
        <v>40</v>
      </c>
      <c r="D13" s="25" t="s">
        <v>178</v>
      </c>
      <c r="E13" s="25" t="s">
        <v>46</v>
      </c>
      <c r="F13" s="165" t="s">
        <v>1103</v>
      </c>
      <c r="G13" s="58" t="s">
        <v>351</v>
      </c>
      <c r="H13" s="65">
        <v>50</v>
      </c>
      <c r="I13" s="74">
        <v>500</v>
      </c>
      <c r="J13" s="25" t="s">
        <v>954</v>
      </c>
      <c r="K13" s="25" t="s">
        <v>44</v>
      </c>
      <c r="M13">
        <f t="shared" ref="M13:M44" si="0">H13/5</f>
        <v>10</v>
      </c>
      <c r="O13" s="29"/>
    </row>
    <row r="14" spans="1:16" x14ac:dyDescent="0.25">
      <c r="A14" s="98">
        <v>9</v>
      </c>
      <c r="B14" s="25" t="s">
        <v>1104</v>
      </c>
      <c r="C14" s="25" t="s">
        <v>40</v>
      </c>
      <c r="D14" s="25" t="s">
        <v>175</v>
      </c>
      <c r="E14" s="25" t="s">
        <v>83</v>
      </c>
      <c r="F14" s="165" t="s">
        <v>1105</v>
      </c>
      <c r="G14" s="58" t="s">
        <v>351</v>
      </c>
      <c r="H14" s="65">
        <v>100</v>
      </c>
      <c r="I14" s="74">
        <v>500</v>
      </c>
      <c r="J14" s="25" t="s">
        <v>954</v>
      </c>
      <c r="K14" s="25" t="s">
        <v>44</v>
      </c>
      <c r="M14">
        <f t="shared" si="0"/>
        <v>20</v>
      </c>
      <c r="O14" s="29"/>
    </row>
    <row r="15" spans="1:16" x14ac:dyDescent="0.25">
      <c r="A15" s="224">
        <v>9</v>
      </c>
      <c r="B15" s="218" t="s">
        <v>1106</v>
      </c>
      <c r="C15" s="218" t="s">
        <v>50</v>
      </c>
      <c r="D15" s="218" t="s">
        <v>199</v>
      </c>
      <c r="E15" s="218" t="s">
        <v>61</v>
      </c>
      <c r="F15" s="222" t="s">
        <v>1107</v>
      </c>
      <c r="G15" s="215" t="s">
        <v>986</v>
      </c>
      <c r="H15" s="216">
        <v>500</v>
      </c>
      <c r="I15" s="217">
        <v>250</v>
      </c>
      <c r="J15" s="25" t="s">
        <v>954</v>
      </c>
      <c r="K15" s="25" t="s">
        <v>44</v>
      </c>
      <c r="M15">
        <f t="shared" si="0"/>
        <v>100</v>
      </c>
      <c r="P15" s="181"/>
    </row>
    <row r="16" spans="1:16" x14ac:dyDescent="0.25">
      <c r="A16" s="98">
        <v>9</v>
      </c>
      <c r="B16" s="25" t="s">
        <v>1108</v>
      </c>
      <c r="C16" s="25" t="s">
        <v>40</v>
      </c>
      <c r="D16" s="25" t="s">
        <v>1109</v>
      </c>
      <c r="E16" s="25" t="s">
        <v>61</v>
      </c>
      <c r="F16" s="165" t="s">
        <v>1110</v>
      </c>
      <c r="G16" s="58" t="s">
        <v>351</v>
      </c>
      <c r="H16" s="65">
        <v>30</v>
      </c>
      <c r="I16" s="74">
        <v>300</v>
      </c>
      <c r="J16" s="25" t="s">
        <v>954</v>
      </c>
      <c r="K16" s="25" t="s">
        <v>44</v>
      </c>
      <c r="M16">
        <f t="shared" si="0"/>
        <v>6</v>
      </c>
    </row>
    <row r="17" spans="1:17" x14ac:dyDescent="0.25">
      <c r="A17" s="98">
        <v>9</v>
      </c>
      <c r="B17" s="25" t="s">
        <v>1111</v>
      </c>
      <c r="C17" s="25" t="s">
        <v>40</v>
      </c>
      <c r="D17" s="25"/>
      <c r="E17" s="25" t="s">
        <v>93</v>
      </c>
      <c r="F17" s="165"/>
      <c r="G17" s="58" t="s">
        <v>986</v>
      </c>
      <c r="H17" s="65">
        <v>100</v>
      </c>
      <c r="I17" s="74" t="s">
        <v>77</v>
      </c>
      <c r="J17" s="25" t="s">
        <v>954</v>
      </c>
      <c r="K17" s="25" t="s">
        <v>44</v>
      </c>
      <c r="M17">
        <f t="shared" si="0"/>
        <v>20</v>
      </c>
      <c r="O17" s="67"/>
    </row>
    <row r="18" spans="1:17" x14ac:dyDescent="0.25">
      <c r="A18" s="98">
        <v>9</v>
      </c>
      <c r="B18" s="25" t="s">
        <v>1111</v>
      </c>
      <c r="C18" s="25" t="s">
        <v>40</v>
      </c>
      <c r="D18" s="25"/>
      <c r="E18" s="25" t="s">
        <v>93</v>
      </c>
      <c r="F18" s="165"/>
      <c r="G18" s="58" t="s">
        <v>351</v>
      </c>
      <c r="H18" s="65">
        <v>50</v>
      </c>
      <c r="I18" s="74" t="s">
        <v>77</v>
      </c>
      <c r="J18" s="25" t="s">
        <v>954</v>
      </c>
      <c r="K18" s="25" t="s">
        <v>44</v>
      </c>
      <c r="M18">
        <f t="shared" si="0"/>
        <v>10</v>
      </c>
      <c r="Q18" s="29"/>
    </row>
    <row r="19" spans="1:17" x14ac:dyDescent="0.25">
      <c r="A19" s="98">
        <v>10</v>
      </c>
      <c r="B19" s="25" t="s">
        <v>1112</v>
      </c>
      <c r="C19" s="25" t="s">
        <v>40</v>
      </c>
      <c r="D19" s="25" t="s">
        <v>89</v>
      </c>
      <c r="E19" s="25" t="s">
        <v>45</v>
      </c>
      <c r="F19" s="165"/>
      <c r="G19" s="58" t="s">
        <v>351</v>
      </c>
      <c r="H19" s="65">
        <v>40</v>
      </c>
      <c r="I19" s="74">
        <v>200</v>
      </c>
      <c r="J19" s="25" t="s">
        <v>954</v>
      </c>
      <c r="K19" s="25" t="s">
        <v>44</v>
      </c>
      <c r="M19">
        <f t="shared" si="0"/>
        <v>8</v>
      </c>
      <c r="O19" s="29"/>
    </row>
    <row r="20" spans="1:17" x14ac:dyDescent="0.25">
      <c r="A20" s="132">
        <v>10</v>
      </c>
      <c r="B20" s="58" t="s">
        <v>1113</v>
      </c>
      <c r="C20" s="58" t="s">
        <v>40</v>
      </c>
      <c r="D20" s="58" t="s">
        <v>290</v>
      </c>
      <c r="E20" s="58" t="s">
        <v>53</v>
      </c>
      <c r="F20" s="196" t="s">
        <v>1114</v>
      </c>
      <c r="G20" s="58" t="s">
        <v>358</v>
      </c>
      <c r="H20" s="65">
        <v>200</v>
      </c>
      <c r="I20" s="74">
        <v>200</v>
      </c>
      <c r="J20" s="25" t="s">
        <v>954</v>
      </c>
      <c r="K20" s="25" t="s">
        <v>44</v>
      </c>
      <c r="M20">
        <f t="shared" si="0"/>
        <v>40</v>
      </c>
    </row>
    <row r="21" spans="1:17" x14ac:dyDescent="0.25">
      <c r="A21" s="98">
        <v>10</v>
      </c>
      <c r="B21" s="25" t="s">
        <v>1115</v>
      </c>
      <c r="C21" s="25" t="s">
        <v>40</v>
      </c>
      <c r="D21" s="25" t="s">
        <v>175</v>
      </c>
      <c r="E21" s="25" t="s">
        <v>72</v>
      </c>
      <c r="F21" s="165" t="s">
        <v>1116</v>
      </c>
      <c r="G21" s="58" t="s">
        <v>358</v>
      </c>
      <c r="H21" s="65">
        <v>3000</v>
      </c>
      <c r="I21" s="74">
        <v>3000</v>
      </c>
      <c r="J21" s="25" t="s">
        <v>954</v>
      </c>
      <c r="K21" s="25" t="s">
        <v>44</v>
      </c>
      <c r="M21">
        <f t="shared" si="0"/>
        <v>600</v>
      </c>
    </row>
    <row r="22" spans="1:17" x14ac:dyDescent="0.25">
      <c r="A22" s="98">
        <v>10</v>
      </c>
      <c r="B22" s="25" t="s">
        <v>1117</v>
      </c>
      <c r="C22" s="25" t="s">
        <v>50</v>
      </c>
      <c r="D22" s="25" t="s">
        <v>313</v>
      </c>
      <c r="E22" s="25" t="s">
        <v>54</v>
      </c>
      <c r="F22" s="165" t="s">
        <v>1118</v>
      </c>
      <c r="G22" s="58" t="s">
        <v>986</v>
      </c>
      <c r="H22" s="65">
        <v>30</v>
      </c>
      <c r="I22" s="74">
        <v>15</v>
      </c>
      <c r="J22" s="25" t="s">
        <v>954</v>
      </c>
      <c r="K22" s="25" t="s">
        <v>44</v>
      </c>
      <c r="M22">
        <f t="shared" si="0"/>
        <v>6</v>
      </c>
    </row>
    <row r="23" spans="1:17" x14ac:dyDescent="0.25">
      <c r="A23" s="98">
        <v>10</v>
      </c>
      <c r="B23" s="25" t="s">
        <v>1119</v>
      </c>
      <c r="C23" s="25" t="s">
        <v>40</v>
      </c>
      <c r="D23" s="25" t="s">
        <v>239</v>
      </c>
      <c r="E23" s="25" t="s">
        <v>64</v>
      </c>
      <c r="F23" s="165" t="s">
        <v>1120</v>
      </c>
      <c r="G23" s="58" t="s">
        <v>358</v>
      </c>
      <c r="H23" s="65">
        <v>600</v>
      </c>
      <c r="I23" s="74">
        <v>600</v>
      </c>
      <c r="J23" s="25" t="s">
        <v>954</v>
      </c>
      <c r="K23" s="25" t="s">
        <v>44</v>
      </c>
      <c r="M23">
        <f t="shared" si="0"/>
        <v>120</v>
      </c>
    </row>
    <row r="24" spans="1:17" x14ac:dyDescent="0.25">
      <c r="A24" s="98">
        <v>10</v>
      </c>
      <c r="B24" s="25" t="s">
        <v>1121</v>
      </c>
      <c r="C24" s="25" t="s">
        <v>40</v>
      </c>
      <c r="D24" s="25"/>
      <c r="E24" s="25" t="s">
        <v>90</v>
      </c>
      <c r="F24" s="165" t="s">
        <v>316</v>
      </c>
      <c r="G24" s="58" t="s">
        <v>358</v>
      </c>
      <c r="H24" s="65">
        <v>1000</v>
      </c>
      <c r="I24" s="74">
        <v>1000</v>
      </c>
      <c r="J24" s="25" t="s">
        <v>954</v>
      </c>
      <c r="K24" s="25" t="s">
        <v>44</v>
      </c>
      <c r="M24">
        <f t="shared" si="0"/>
        <v>200</v>
      </c>
      <c r="P24" s="29"/>
    </row>
    <row r="25" spans="1:17" x14ac:dyDescent="0.25">
      <c r="A25" s="224">
        <v>10</v>
      </c>
      <c r="B25" s="218" t="s">
        <v>1122</v>
      </c>
      <c r="C25" s="218" t="s">
        <v>40</v>
      </c>
      <c r="D25" s="218" t="s">
        <v>1123</v>
      </c>
      <c r="E25" s="218" t="s">
        <v>73</v>
      </c>
      <c r="F25" s="222" t="s">
        <v>1124</v>
      </c>
      <c r="G25" s="58" t="s">
        <v>358</v>
      </c>
      <c r="H25" s="216">
        <v>10000</v>
      </c>
      <c r="I25" s="217">
        <v>10000</v>
      </c>
      <c r="J25" s="25" t="s">
        <v>954</v>
      </c>
      <c r="K25" s="25" t="s">
        <v>44</v>
      </c>
      <c r="M25">
        <f t="shared" si="0"/>
        <v>2000</v>
      </c>
      <c r="P25" s="29"/>
    </row>
    <row r="26" spans="1:17" x14ac:dyDescent="0.25">
      <c r="A26" s="98">
        <v>10</v>
      </c>
      <c r="B26" s="218" t="s">
        <v>1125</v>
      </c>
      <c r="C26" s="218" t="s">
        <v>40</v>
      </c>
      <c r="D26" s="218" t="s">
        <v>1126</v>
      </c>
      <c r="E26" s="218" t="s">
        <v>107</v>
      </c>
      <c r="F26" s="222" t="s">
        <v>1127</v>
      </c>
      <c r="G26" s="215" t="s">
        <v>358</v>
      </c>
      <c r="H26" s="216">
        <v>1000</v>
      </c>
      <c r="I26" s="217">
        <v>1000</v>
      </c>
      <c r="J26" s="25" t="s">
        <v>954</v>
      </c>
      <c r="K26" s="25" t="s">
        <v>44</v>
      </c>
      <c r="M26">
        <f t="shared" si="0"/>
        <v>200</v>
      </c>
      <c r="P26" s="29"/>
    </row>
    <row r="27" spans="1:17" x14ac:dyDescent="0.25">
      <c r="A27" s="98">
        <v>10</v>
      </c>
      <c r="B27" s="25" t="s">
        <v>1128</v>
      </c>
      <c r="C27" s="25" t="s">
        <v>40</v>
      </c>
      <c r="D27" s="25" t="s">
        <v>1129</v>
      </c>
      <c r="E27" s="25" t="s">
        <v>81</v>
      </c>
      <c r="F27" s="165" t="s">
        <v>1130</v>
      </c>
      <c r="G27" s="58" t="s">
        <v>358</v>
      </c>
      <c r="H27" s="65">
        <v>1000</v>
      </c>
      <c r="I27" s="74">
        <v>1000</v>
      </c>
      <c r="J27" s="25" t="s">
        <v>954</v>
      </c>
      <c r="K27" s="25" t="s">
        <v>44</v>
      </c>
      <c r="M27">
        <f t="shared" si="0"/>
        <v>200</v>
      </c>
    </row>
    <row r="28" spans="1:17" x14ac:dyDescent="0.25">
      <c r="A28" s="98">
        <v>10</v>
      </c>
      <c r="B28" s="25" t="s">
        <v>1132</v>
      </c>
      <c r="C28" s="25" t="s">
        <v>50</v>
      </c>
      <c r="D28" s="25" t="s">
        <v>1134</v>
      </c>
      <c r="E28" s="25" t="s">
        <v>63</v>
      </c>
      <c r="F28" s="165" t="s">
        <v>1135</v>
      </c>
      <c r="G28" s="58" t="s">
        <v>986</v>
      </c>
      <c r="H28" s="65">
        <v>100</v>
      </c>
      <c r="I28" s="74">
        <v>50</v>
      </c>
      <c r="J28" s="25" t="s">
        <v>954</v>
      </c>
      <c r="K28" s="25" t="s">
        <v>44</v>
      </c>
      <c r="M28">
        <f t="shared" si="0"/>
        <v>20</v>
      </c>
      <c r="P28" s="29"/>
    </row>
    <row r="29" spans="1:17" x14ac:dyDescent="0.25">
      <c r="A29" s="98">
        <v>10</v>
      </c>
      <c r="B29" s="25" t="s">
        <v>1133</v>
      </c>
      <c r="C29" s="25" t="s">
        <v>40</v>
      </c>
      <c r="D29" s="25" t="s">
        <v>71</v>
      </c>
      <c r="E29" s="25" t="s">
        <v>45</v>
      </c>
      <c r="F29" s="165" t="s">
        <v>1136</v>
      </c>
      <c r="G29" s="58" t="s">
        <v>358</v>
      </c>
      <c r="H29" s="65">
        <v>1000</v>
      </c>
      <c r="I29" s="74">
        <v>1000</v>
      </c>
      <c r="J29" s="25" t="s">
        <v>954</v>
      </c>
      <c r="K29" s="25" t="s">
        <v>44</v>
      </c>
      <c r="M29">
        <f t="shared" si="0"/>
        <v>200</v>
      </c>
    </row>
    <row r="30" spans="1:17" x14ac:dyDescent="0.25">
      <c r="A30" s="98">
        <v>10</v>
      </c>
      <c r="B30" s="25" t="s">
        <v>1133</v>
      </c>
      <c r="C30" s="25" t="s">
        <v>40</v>
      </c>
      <c r="D30" s="25" t="s">
        <v>71</v>
      </c>
      <c r="E30" s="25" t="s">
        <v>45</v>
      </c>
      <c r="F30" s="165" t="s">
        <v>1136</v>
      </c>
      <c r="G30" s="58" t="s">
        <v>986</v>
      </c>
      <c r="H30" s="65">
        <v>30</v>
      </c>
      <c r="I30" s="74">
        <v>15</v>
      </c>
      <c r="J30" s="25" t="s">
        <v>954</v>
      </c>
      <c r="K30" s="25" t="s">
        <v>44</v>
      </c>
      <c r="M30">
        <f t="shared" si="0"/>
        <v>6</v>
      </c>
    </row>
    <row r="31" spans="1:17" x14ac:dyDescent="0.25">
      <c r="A31" s="98">
        <v>14</v>
      </c>
      <c r="B31" s="25" t="s">
        <v>1137</v>
      </c>
      <c r="C31" s="25" t="s">
        <v>50</v>
      </c>
      <c r="D31" s="25" t="s">
        <v>183</v>
      </c>
      <c r="E31" s="25" t="s">
        <v>55</v>
      </c>
      <c r="F31" s="165" t="s">
        <v>1138</v>
      </c>
      <c r="G31" s="58" t="s">
        <v>358</v>
      </c>
      <c r="H31" s="65">
        <v>1500</v>
      </c>
      <c r="I31" s="74">
        <v>1500</v>
      </c>
      <c r="J31" s="25" t="s">
        <v>954</v>
      </c>
      <c r="K31" s="25" t="s">
        <v>44</v>
      </c>
      <c r="M31">
        <f t="shared" si="0"/>
        <v>300</v>
      </c>
    </row>
    <row r="32" spans="1:17" x14ac:dyDescent="0.25">
      <c r="A32" s="98">
        <v>14</v>
      </c>
      <c r="B32" s="25" t="s">
        <v>1139</v>
      </c>
      <c r="C32" s="25" t="s">
        <v>40</v>
      </c>
      <c r="D32" s="25" t="s">
        <v>1140</v>
      </c>
      <c r="E32" s="25" t="s">
        <v>96</v>
      </c>
      <c r="F32" s="165" t="s">
        <v>1141</v>
      </c>
      <c r="G32" s="58" t="s">
        <v>358</v>
      </c>
      <c r="H32" s="65">
        <v>1000</v>
      </c>
      <c r="I32" s="74">
        <v>100</v>
      </c>
      <c r="J32" s="25" t="s">
        <v>954</v>
      </c>
      <c r="K32" s="25" t="s">
        <v>44</v>
      </c>
      <c r="M32">
        <f t="shared" si="0"/>
        <v>200</v>
      </c>
    </row>
    <row r="33" spans="1:13" x14ac:dyDescent="0.25">
      <c r="A33" s="98">
        <v>14</v>
      </c>
      <c r="B33" s="25" t="s">
        <v>1142</v>
      </c>
      <c r="C33" s="25" t="s">
        <v>40</v>
      </c>
      <c r="D33" s="25" t="s">
        <v>237</v>
      </c>
      <c r="E33" s="25" t="s">
        <v>61</v>
      </c>
      <c r="F33" s="165" t="s">
        <v>1143</v>
      </c>
      <c r="G33" s="58" t="s">
        <v>358</v>
      </c>
      <c r="H33" s="65">
        <v>200</v>
      </c>
      <c r="I33" s="74">
        <v>200</v>
      </c>
      <c r="J33" s="25" t="s">
        <v>954</v>
      </c>
      <c r="K33" s="25" t="s">
        <v>44</v>
      </c>
      <c r="M33">
        <f t="shared" si="0"/>
        <v>40</v>
      </c>
    </row>
    <row r="34" spans="1:13" x14ac:dyDescent="0.25">
      <c r="A34" s="98">
        <v>14</v>
      </c>
      <c r="B34" s="25" t="s">
        <v>1144</v>
      </c>
      <c r="C34" s="25" t="s">
        <v>40</v>
      </c>
      <c r="D34" s="25" t="s">
        <v>246</v>
      </c>
      <c r="E34" s="25" t="s">
        <v>48</v>
      </c>
      <c r="F34" s="165" t="s">
        <v>1145</v>
      </c>
      <c r="G34" s="58" t="s">
        <v>986</v>
      </c>
      <c r="H34" s="65">
        <v>300</v>
      </c>
      <c r="I34" s="74">
        <v>150</v>
      </c>
      <c r="J34" s="25" t="s">
        <v>954</v>
      </c>
      <c r="K34" s="25" t="s">
        <v>44</v>
      </c>
      <c r="M34">
        <f t="shared" si="0"/>
        <v>60</v>
      </c>
    </row>
    <row r="35" spans="1:13" x14ac:dyDescent="0.25">
      <c r="A35" s="98">
        <v>14</v>
      </c>
      <c r="B35" s="25" t="s">
        <v>1144</v>
      </c>
      <c r="C35" s="25" t="s">
        <v>40</v>
      </c>
      <c r="D35" s="25" t="s">
        <v>246</v>
      </c>
      <c r="E35" s="25" t="s">
        <v>48</v>
      </c>
      <c r="F35" s="165" t="s">
        <v>1145</v>
      </c>
      <c r="G35" s="58" t="s">
        <v>358</v>
      </c>
      <c r="H35" s="65">
        <v>50</v>
      </c>
      <c r="I35" s="74">
        <v>50</v>
      </c>
      <c r="J35" s="25" t="s">
        <v>954</v>
      </c>
      <c r="K35" s="25" t="s">
        <v>44</v>
      </c>
      <c r="M35">
        <f t="shared" si="0"/>
        <v>10</v>
      </c>
    </row>
    <row r="36" spans="1:13" x14ac:dyDescent="0.25">
      <c r="A36" s="98">
        <v>14</v>
      </c>
      <c r="B36" s="25" t="s">
        <v>1146</v>
      </c>
      <c r="C36" s="25" t="s">
        <v>40</v>
      </c>
      <c r="D36" s="25" t="s">
        <v>89</v>
      </c>
      <c r="E36" s="25" t="s">
        <v>45</v>
      </c>
      <c r="F36" s="165" t="s">
        <v>1147</v>
      </c>
      <c r="G36" s="58" t="s">
        <v>358</v>
      </c>
      <c r="H36" s="65">
        <v>1000</v>
      </c>
      <c r="I36" s="74">
        <v>1000</v>
      </c>
      <c r="J36" s="25" t="s">
        <v>954</v>
      </c>
      <c r="K36" s="25" t="s">
        <v>44</v>
      </c>
      <c r="M36">
        <f t="shared" si="0"/>
        <v>200</v>
      </c>
    </row>
    <row r="37" spans="1:13" x14ac:dyDescent="0.25">
      <c r="A37" s="98">
        <v>14</v>
      </c>
      <c r="B37" s="25" t="s">
        <v>1148</v>
      </c>
      <c r="C37" s="25" t="s">
        <v>40</v>
      </c>
      <c r="D37" s="25" t="s">
        <v>236</v>
      </c>
      <c r="E37" s="25" t="s">
        <v>45</v>
      </c>
      <c r="F37" s="165" t="s">
        <v>1149</v>
      </c>
      <c r="G37" s="58" t="s">
        <v>358</v>
      </c>
      <c r="H37" s="65">
        <v>1550</v>
      </c>
      <c r="I37" s="74">
        <v>1550</v>
      </c>
      <c r="J37" s="25" t="s">
        <v>954</v>
      </c>
      <c r="K37" s="25" t="s">
        <v>44</v>
      </c>
      <c r="M37">
        <f t="shared" si="0"/>
        <v>310</v>
      </c>
    </row>
    <row r="38" spans="1:13" x14ac:dyDescent="0.25">
      <c r="A38" s="98">
        <v>14</v>
      </c>
      <c r="B38" s="25" t="s">
        <v>1150</v>
      </c>
      <c r="C38" s="25" t="s">
        <v>40</v>
      </c>
      <c r="D38" s="25" t="s">
        <v>290</v>
      </c>
      <c r="E38" s="25" t="s">
        <v>80</v>
      </c>
      <c r="F38" s="165" t="s">
        <v>1151</v>
      </c>
      <c r="G38" s="25" t="s">
        <v>351</v>
      </c>
      <c r="H38" s="93">
        <v>80</v>
      </c>
      <c r="I38" s="73">
        <v>800</v>
      </c>
      <c r="J38" s="25" t="s">
        <v>954</v>
      </c>
      <c r="K38" s="25" t="s">
        <v>44</v>
      </c>
      <c r="M38">
        <f t="shared" si="0"/>
        <v>16</v>
      </c>
    </row>
    <row r="39" spans="1:13" x14ac:dyDescent="0.25">
      <c r="A39" s="98">
        <v>15</v>
      </c>
      <c r="B39" s="25" t="s">
        <v>1152</v>
      </c>
      <c r="C39" s="25" t="s">
        <v>40</v>
      </c>
      <c r="D39" s="25" t="s">
        <v>289</v>
      </c>
      <c r="E39" s="25" t="s">
        <v>55</v>
      </c>
      <c r="F39" s="165" t="s">
        <v>1153</v>
      </c>
      <c r="G39" s="25" t="s">
        <v>358</v>
      </c>
      <c r="H39" s="93">
        <v>500</v>
      </c>
      <c r="I39" s="73">
        <v>500</v>
      </c>
      <c r="J39" s="25" t="s">
        <v>954</v>
      </c>
      <c r="K39" s="25" t="s">
        <v>44</v>
      </c>
      <c r="M39">
        <f t="shared" si="0"/>
        <v>100</v>
      </c>
    </row>
    <row r="40" spans="1:13" x14ac:dyDescent="0.25">
      <c r="A40" s="98">
        <v>16</v>
      </c>
      <c r="B40" s="25" t="s">
        <v>1154</v>
      </c>
      <c r="C40" s="25" t="s">
        <v>40</v>
      </c>
      <c r="D40" s="25" t="s">
        <v>175</v>
      </c>
      <c r="E40" s="25" t="s">
        <v>61</v>
      </c>
      <c r="F40" s="165" t="s">
        <v>1155</v>
      </c>
      <c r="G40" s="25" t="s">
        <v>351</v>
      </c>
      <c r="H40" s="93">
        <v>20</v>
      </c>
      <c r="I40" s="73">
        <v>100</v>
      </c>
      <c r="J40" s="25" t="s">
        <v>954</v>
      </c>
      <c r="K40" s="25" t="s">
        <v>44</v>
      </c>
      <c r="M40">
        <f t="shared" si="0"/>
        <v>4</v>
      </c>
    </row>
    <row r="41" spans="1:13" x14ac:dyDescent="0.25">
      <c r="A41" s="98">
        <v>17</v>
      </c>
      <c r="B41" s="25" t="s">
        <v>1156</v>
      </c>
      <c r="C41" s="25" t="s">
        <v>40</v>
      </c>
      <c r="D41" s="25" t="s">
        <v>1157</v>
      </c>
      <c r="E41" s="25" t="s">
        <v>70</v>
      </c>
      <c r="F41" s="165" t="s">
        <v>1158</v>
      </c>
      <c r="G41" s="25" t="s">
        <v>358</v>
      </c>
      <c r="H41" s="93">
        <v>2000</v>
      </c>
      <c r="I41" s="73">
        <v>2000</v>
      </c>
      <c r="J41" s="25" t="s">
        <v>954</v>
      </c>
      <c r="K41" s="25" t="s">
        <v>44</v>
      </c>
      <c r="M41">
        <f t="shared" si="0"/>
        <v>400</v>
      </c>
    </row>
    <row r="42" spans="1:13" x14ac:dyDescent="0.25">
      <c r="A42" s="98">
        <v>22</v>
      </c>
      <c r="B42" s="25" t="s">
        <v>1159</v>
      </c>
      <c r="C42" s="25" t="s">
        <v>40</v>
      </c>
      <c r="D42" s="25" t="s">
        <v>279</v>
      </c>
      <c r="E42" s="25" t="s">
        <v>62</v>
      </c>
      <c r="F42" s="165"/>
      <c r="G42" s="25" t="s">
        <v>358</v>
      </c>
      <c r="H42" s="93">
        <v>200</v>
      </c>
      <c r="I42" s="73">
        <v>200</v>
      </c>
      <c r="J42" s="25" t="s">
        <v>954</v>
      </c>
      <c r="K42" s="25" t="s">
        <v>44</v>
      </c>
      <c r="M42">
        <f t="shared" si="0"/>
        <v>40</v>
      </c>
    </row>
    <row r="43" spans="1:13" x14ac:dyDescent="0.25">
      <c r="A43" s="98">
        <v>22</v>
      </c>
      <c r="B43" s="58" t="s">
        <v>1160</v>
      </c>
      <c r="C43" s="25" t="s">
        <v>40</v>
      </c>
      <c r="D43" s="25" t="s">
        <v>84</v>
      </c>
      <c r="E43" s="25" t="s">
        <v>45</v>
      </c>
      <c r="F43" s="165" t="s">
        <v>1161</v>
      </c>
      <c r="G43" s="25" t="s">
        <v>358</v>
      </c>
      <c r="H43" s="93">
        <v>100</v>
      </c>
      <c r="I43" s="73">
        <v>100</v>
      </c>
      <c r="J43" s="25" t="s">
        <v>954</v>
      </c>
      <c r="K43" s="25" t="s">
        <v>44</v>
      </c>
      <c r="M43">
        <f t="shared" si="0"/>
        <v>20</v>
      </c>
    </row>
    <row r="44" spans="1:13" x14ac:dyDescent="0.25">
      <c r="A44" s="98">
        <v>22</v>
      </c>
      <c r="B44" s="58" t="s">
        <v>1160</v>
      </c>
      <c r="C44" s="25" t="s">
        <v>40</v>
      </c>
      <c r="D44" s="25" t="s">
        <v>84</v>
      </c>
      <c r="E44" s="25" t="s">
        <v>45</v>
      </c>
      <c r="F44" s="165" t="s">
        <v>1161</v>
      </c>
      <c r="G44" s="25" t="s">
        <v>351</v>
      </c>
      <c r="H44" s="93">
        <v>50</v>
      </c>
      <c r="I44" s="73">
        <v>250</v>
      </c>
      <c r="J44" s="25" t="s">
        <v>954</v>
      </c>
      <c r="K44" s="25" t="s">
        <v>44</v>
      </c>
      <c r="M44">
        <f t="shared" si="0"/>
        <v>10</v>
      </c>
    </row>
    <row r="45" spans="1:13" x14ac:dyDescent="0.25">
      <c r="A45" s="97"/>
      <c r="B45" s="94"/>
      <c r="C45" s="25"/>
      <c r="D45" s="25"/>
      <c r="E45" s="25"/>
      <c r="F45" s="165"/>
      <c r="G45" s="25"/>
      <c r="H45" s="93"/>
      <c r="I45" s="73"/>
      <c r="J45" s="25"/>
      <c r="K45" s="25"/>
      <c r="M45">
        <f>SUM(M12:M44)</f>
        <v>5496</v>
      </c>
    </row>
    <row r="46" spans="1:13" x14ac:dyDescent="0.25">
      <c r="H46" s="29"/>
      <c r="I46" s="108"/>
    </row>
    <row r="48" spans="1:13" x14ac:dyDescent="0.25">
      <c r="I48" s="110" t="s">
        <v>19</v>
      </c>
      <c r="J48" s="30"/>
    </row>
    <row r="49" spans="2:16" ht="16.5" customHeight="1" x14ac:dyDescent="0.25">
      <c r="B49" t="s">
        <v>20</v>
      </c>
      <c r="E49" t="s">
        <v>21</v>
      </c>
      <c r="I49" s="100" t="s">
        <v>136</v>
      </c>
      <c r="J49" s="115">
        <v>0</v>
      </c>
      <c r="P49" s="29"/>
    </row>
    <row r="50" spans="2:16" x14ac:dyDescent="0.25">
      <c r="I50" s="100" t="s">
        <v>137</v>
      </c>
      <c r="J50" s="115">
        <v>0</v>
      </c>
      <c r="K50" s="67"/>
    </row>
    <row r="51" spans="2:16" x14ac:dyDescent="0.25">
      <c r="I51" s="100" t="s">
        <v>406</v>
      </c>
      <c r="J51" s="118">
        <v>0</v>
      </c>
    </row>
    <row r="52" spans="2:16" x14ac:dyDescent="0.25">
      <c r="B52" s="111" t="s">
        <v>987</v>
      </c>
      <c r="E52" s="455" t="s">
        <v>22</v>
      </c>
      <c r="F52" s="455"/>
      <c r="G52" s="455"/>
      <c r="H52" s="455"/>
      <c r="I52" s="100" t="s">
        <v>138</v>
      </c>
      <c r="J52" s="118">
        <v>1060</v>
      </c>
    </row>
    <row r="53" spans="2:16" x14ac:dyDescent="0.25">
      <c r="B53" t="s">
        <v>989</v>
      </c>
      <c r="E53" s="444" t="s">
        <v>1037</v>
      </c>
      <c r="F53" s="444"/>
      <c r="G53" s="444"/>
      <c r="H53" s="444"/>
      <c r="I53" s="100" t="s">
        <v>139</v>
      </c>
      <c r="J53" s="115">
        <v>520</v>
      </c>
    </row>
    <row r="54" spans="2:16" x14ac:dyDescent="0.25">
      <c r="I54" s="100" t="s">
        <v>143</v>
      </c>
      <c r="J54" s="118">
        <v>25900</v>
      </c>
    </row>
    <row r="55" spans="2:16" x14ac:dyDescent="0.25">
      <c r="I55" s="112" t="s">
        <v>135</v>
      </c>
      <c r="J55" s="115">
        <v>0</v>
      </c>
    </row>
    <row r="56" spans="2:16" x14ac:dyDescent="0.25">
      <c r="I56" s="100" t="s">
        <v>23</v>
      </c>
      <c r="J56" s="117"/>
    </row>
    <row r="57" spans="2:16" x14ac:dyDescent="0.25">
      <c r="I57" s="113" t="s">
        <v>133</v>
      </c>
      <c r="J57" s="118" t="s">
        <v>1163</v>
      </c>
    </row>
    <row r="58" spans="2:16" x14ac:dyDescent="0.25">
      <c r="B58" s="31"/>
      <c r="E58" s="31"/>
      <c r="F58" s="31"/>
      <c r="G58" s="31"/>
      <c r="I58" s="113" t="s">
        <v>134</v>
      </c>
      <c r="J58" s="69"/>
    </row>
    <row r="59" spans="2:16" x14ac:dyDescent="0.25">
      <c r="I59" s="100"/>
      <c r="J59" s="30"/>
    </row>
    <row r="60" spans="2:16" x14ac:dyDescent="0.25">
      <c r="I60" s="100"/>
      <c r="J60" s="30"/>
    </row>
    <row r="61" spans="2:16" x14ac:dyDescent="0.25">
      <c r="I61" s="100"/>
      <c r="J61" s="69"/>
    </row>
    <row r="62" spans="2:16" x14ac:dyDescent="0.25">
      <c r="I62" s="100"/>
      <c r="J62" s="69"/>
    </row>
    <row r="82" spans="12:12" x14ac:dyDescent="0.25">
      <c r="L82" s="29"/>
    </row>
    <row r="105" spans="12:12" x14ac:dyDescent="0.25">
      <c r="L105" s="29"/>
    </row>
    <row r="232" spans="12:12" x14ac:dyDescent="0.25">
      <c r="L232" s="29"/>
    </row>
  </sheetData>
  <mergeCells count="8">
    <mergeCell ref="E52:H52"/>
    <mergeCell ref="E53:H5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P222"/>
  <sheetViews>
    <sheetView view="pageBreakPreview" zoomScale="106" zoomScaleNormal="100" zoomScaleSheetLayoutView="106" workbookViewId="0">
      <selection activeCell="D12" sqref="D12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1071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1097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11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2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1085</v>
      </c>
      <c r="K6" s="104"/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/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/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>
        <v>10</v>
      </c>
      <c r="B12" s="25" t="s">
        <v>1072</v>
      </c>
      <c r="C12" s="25" t="s">
        <v>50</v>
      </c>
      <c r="D12" s="25" t="s">
        <v>178</v>
      </c>
      <c r="E12" s="25" t="s">
        <v>46</v>
      </c>
      <c r="F12" s="165"/>
      <c r="G12" s="58" t="s">
        <v>351</v>
      </c>
      <c r="H12" s="65">
        <v>100</v>
      </c>
      <c r="I12" s="74">
        <v>1000</v>
      </c>
      <c r="J12" s="25" t="s">
        <v>954</v>
      </c>
      <c r="K12" s="25" t="s">
        <v>44</v>
      </c>
      <c r="M12">
        <f>H12/5</f>
        <v>20</v>
      </c>
      <c r="O12" s="29"/>
    </row>
    <row r="13" spans="1:16" x14ac:dyDescent="0.25">
      <c r="A13" s="98">
        <v>10</v>
      </c>
      <c r="B13" s="25" t="s">
        <v>1073</v>
      </c>
      <c r="C13" s="25" t="s">
        <v>40</v>
      </c>
      <c r="D13" s="25" t="s">
        <v>236</v>
      </c>
      <c r="E13" s="25" t="s">
        <v>45</v>
      </c>
      <c r="F13" s="165" t="s">
        <v>1074</v>
      </c>
      <c r="G13" s="58" t="s">
        <v>986</v>
      </c>
      <c r="H13" s="65">
        <v>100</v>
      </c>
      <c r="I13" s="74">
        <v>50</v>
      </c>
      <c r="J13" s="25" t="s">
        <v>954</v>
      </c>
      <c r="K13" s="25" t="s">
        <v>44</v>
      </c>
      <c r="M13">
        <f t="shared" ref="M13:M34" si="0">H13/5</f>
        <v>20</v>
      </c>
      <c r="O13" s="29"/>
    </row>
    <row r="14" spans="1:16" x14ac:dyDescent="0.25">
      <c r="A14" s="98">
        <v>10</v>
      </c>
      <c r="B14" s="25" t="s">
        <v>1075</v>
      </c>
      <c r="C14" s="25" t="s">
        <v>40</v>
      </c>
      <c r="D14" s="25" t="s">
        <v>175</v>
      </c>
      <c r="E14" s="25" t="s">
        <v>48</v>
      </c>
      <c r="F14" s="165" t="s">
        <v>1076</v>
      </c>
      <c r="G14" s="58" t="s">
        <v>986</v>
      </c>
      <c r="H14" s="65">
        <v>500</v>
      </c>
      <c r="I14" s="74">
        <v>250</v>
      </c>
      <c r="J14" s="25" t="s">
        <v>954</v>
      </c>
      <c r="K14" s="25" t="s">
        <v>44</v>
      </c>
      <c r="M14">
        <f t="shared" si="0"/>
        <v>100</v>
      </c>
      <c r="O14" s="29"/>
    </row>
    <row r="15" spans="1:16" x14ac:dyDescent="0.25">
      <c r="A15" s="224">
        <v>10</v>
      </c>
      <c r="B15" s="218" t="s">
        <v>1077</v>
      </c>
      <c r="C15" s="218" t="s">
        <v>40</v>
      </c>
      <c r="D15" s="218" t="s">
        <v>175</v>
      </c>
      <c r="E15" s="218" t="s">
        <v>53</v>
      </c>
      <c r="F15" s="222" t="s">
        <v>1078</v>
      </c>
      <c r="G15" s="215" t="s">
        <v>351</v>
      </c>
      <c r="H15" s="216">
        <v>25</v>
      </c>
      <c r="I15" s="217">
        <v>250</v>
      </c>
      <c r="J15" s="25" t="s">
        <v>954</v>
      </c>
      <c r="K15" s="25" t="s">
        <v>44</v>
      </c>
      <c r="M15">
        <f t="shared" si="0"/>
        <v>5</v>
      </c>
      <c r="P15" s="181"/>
    </row>
    <row r="16" spans="1:16" x14ac:dyDescent="0.25">
      <c r="A16" s="98">
        <v>10</v>
      </c>
      <c r="B16" s="25" t="s">
        <v>1079</v>
      </c>
      <c r="C16" s="25" t="s">
        <v>40</v>
      </c>
      <c r="D16" s="25" t="s">
        <v>1080</v>
      </c>
      <c r="E16" s="25" t="s">
        <v>67</v>
      </c>
      <c r="F16" s="165"/>
      <c r="G16" s="58" t="s">
        <v>358</v>
      </c>
      <c r="H16" s="65">
        <v>200</v>
      </c>
      <c r="I16" s="74" t="s">
        <v>77</v>
      </c>
      <c r="J16" s="25" t="s">
        <v>954</v>
      </c>
      <c r="K16" s="25" t="s">
        <v>44</v>
      </c>
      <c r="M16">
        <f t="shared" si="0"/>
        <v>40</v>
      </c>
    </row>
    <row r="17" spans="1:16" x14ac:dyDescent="0.25">
      <c r="A17" s="98">
        <v>10</v>
      </c>
      <c r="B17" s="25" t="s">
        <v>1081</v>
      </c>
      <c r="C17" s="25" t="s">
        <v>50</v>
      </c>
      <c r="D17" s="25" t="s">
        <v>240</v>
      </c>
      <c r="E17" s="25" t="s">
        <v>63</v>
      </c>
      <c r="F17" s="165" t="s">
        <v>1082</v>
      </c>
      <c r="G17" s="58" t="s">
        <v>986</v>
      </c>
      <c r="H17" s="65">
        <v>200</v>
      </c>
      <c r="I17" s="74" t="s">
        <v>77</v>
      </c>
      <c r="J17" s="25" t="s">
        <v>954</v>
      </c>
      <c r="K17" s="25" t="s">
        <v>44</v>
      </c>
      <c r="M17">
        <f t="shared" si="0"/>
        <v>40</v>
      </c>
      <c r="O17" s="67"/>
    </row>
    <row r="18" spans="1:16" x14ac:dyDescent="0.25">
      <c r="A18" s="98">
        <v>10</v>
      </c>
      <c r="B18" s="25" t="s">
        <v>1083</v>
      </c>
      <c r="C18" s="25" t="s">
        <v>40</v>
      </c>
      <c r="D18" s="25" t="s">
        <v>1048</v>
      </c>
      <c r="E18" s="25" t="s">
        <v>63</v>
      </c>
      <c r="F18" s="165" t="s">
        <v>1084</v>
      </c>
      <c r="G18" s="58" t="s">
        <v>986</v>
      </c>
      <c r="H18" s="65">
        <v>150</v>
      </c>
      <c r="I18" s="74" t="s">
        <v>77</v>
      </c>
      <c r="J18" s="25" t="s">
        <v>954</v>
      </c>
      <c r="K18" s="25" t="s">
        <v>44</v>
      </c>
      <c r="M18">
        <f t="shared" si="0"/>
        <v>30</v>
      </c>
    </row>
    <row r="19" spans="1:16" x14ac:dyDescent="0.25">
      <c r="A19" s="98">
        <v>18</v>
      </c>
      <c r="B19" s="25" t="s">
        <v>1086</v>
      </c>
      <c r="C19" s="25" t="s">
        <v>40</v>
      </c>
      <c r="D19" s="25" t="s">
        <v>1087</v>
      </c>
      <c r="E19" s="25" t="s">
        <v>54</v>
      </c>
      <c r="F19" s="165" t="s">
        <v>1088</v>
      </c>
      <c r="G19" s="58" t="s">
        <v>351</v>
      </c>
      <c r="H19" s="65">
        <v>40</v>
      </c>
      <c r="I19" s="74">
        <v>400</v>
      </c>
      <c r="J19" s="25" t="s">
        <v>954</v>
      </c>
      <c r="K19" s="25" t="s">
        <v>44</v>
      </c>
      <c r="M19">
        <f t="shared" si="0"/>
        <v>8</v>
      </c>
      <c r="O19" s="29"/>
    </row>
    <row r="20" spans="1:16" x14ac:dyDescent="0.25">
      <c r="A20" s="132">
        <v>18</v>
      </c>
      <c r="B20" s="58" t="s">
        <v>1089</v>
      </c>
      <c r="C20" s="58" t="s">
        <v>40</v>
      </c>
      <c r="D20" s="58" t="s">
        <v>190</v>
      </c>
      <c r="E20" s="58" t="s">
        <v>61</v>
      </c>
      <c r="F20" s="196" t="s">
        <v>1090</v>
      </c>
      <c r="G20" s="58" t="s">
        <v>351</v>
      </c>
      <c r="H20" s="65">
        <v>25</v>
      </c>
      <c r="I20" s="74">
        <v>250</v>
      </c>
      <c r="J20" s="25" t="s">
        <v>954</v>
      </c>
      <c r="K20" s="25" t="s">
        <v>44</v>
      </c>
      <c r="M20">
        <f t="shared" si="0"/>
        <v>5</v>
      </c>
    </row>
    <row r="21" spans="1:16" x14ac:dyDescent="0.25">
      <c r="A21" s="98">
        <v>18</v>
      </c>
      <c r="B21" s="25" t="s">
        <v>1091</v>
      </c>
      <c r="C21" s="25" t="s">
        <v>40</v>
      </c>
      <c r="D21" s="25" t="s">
        <v>175</v>
      </c>
      <c r="E21" s="25" t="s">
        <v>53</v>
      </c>
      <c r="F21" s="165" t="s">
        <v>1092</v>
      </c>
      <c r="G21" s="58" t="s">
        <v>351</v>
      </c>
      <c r="H21" s="65">
        <v>200</v>
      </c>
      <c r="I21" s="74">
        <v>2000</v>
      </c>
      <c r="J21" s="25" t="s">
        <v>954</v>
      </c>
      <c r="K21" s="25" t="s">
        <v>44</v>
      </c>
      <c r="M21">
        <f t="shared" si="0"/>
        <v>40</v>
      </c>
    </row>
    <row r="22" spans="1:16" x14ac:dyDescent="0.25">
      <c r="A22" s="98">
        <v>18</v>
      </c>
      <c r="B22" s="25" t="s">
        <v>1093</v>
      </c>
      <c r="C22" s="25" t="s">
        <v>40</v>
      </c>
      <c r="D22" s="25" t="s">
        <v>1094</v>
      </c>
      <c r="E22" s="25" t="s">
        <v>62</v>
      </c>
      <c r="F22" s="165" t="s">
        <v>1095</v>
      </c>
      <c r="G22" s="58" t="s">
        <v>351</v>
      </c>
      <c r="H22" s="65">
        <v>20</v>
      </c>
      <c r="I22" s="74">
        <v>200</v>
      </c>
      <c r="J22" s="25" t="s">
        <v>954</v>
      </c>
      <c r="K22" s="25" t="s">
        <v>44</v>
      </c>
      <c r="M22">
        <f t="shared" si="0"/>
        <v>4</v>
      </c>
    </row>
    <row r="23" spans="1:16" x14ac:dyDescent="0.25">
      <c r="A23" s="98">
        <v>18</v>
      </c>
      <c r="B23" s="25" t="s">
        <v>267</v>
      </c>
      <c r="C23" s="25" t="s">
        <v>40</v>
      </c>
      <c r="D23" s="25" t="s">
        <v>268</v>
      </c>
      <c r="E23" s="25" t="s">
        <v>63</v>
      </c>
      <c r="F23" s="165" t="s">
        <v>1096</v>
      </c>
      <c r="G23" s="58" t="s">
        <v>351</v>
      </c>
      <c r="H23" s="65">
        <v>50</v>
      </c>
      <c r="I23" s="74">
        <v>500</v>
      </c>
      <c r="J23" s="25" t="s">
        <v>954</v>
      </c>
      <c r="K23" s="25" t="s">
        <v>44</v>
      </c>
      <c r="M23">
        <f t="shared" si="0"/>
        <v>10</v>
      </c>
    </row>
    <row r="24" spans="1:16" x14ac:dyDescent="0.25">
      <c r="A24" s="98">
        <v>18</v>
      </c>
      <c r="B24" s="25" t="s">
        <v>1072</v>
      </c>
      <c r="C24" s="25" t="s">
        <v>50</v>
      </c>
      <c r="D24" s="25" t="s">
        <v>178</v>
      </c>
      <c r="E24" s="25" t="s">
        <v>46</v>
      </c>
      <c r="F24" s="165"/>
      <c r="G24" s="58" t="s">
        <v>351</v>
      </c>
      <c r="H24" s="65">
        <v>100</v>
      </c>
      <c r="I24" s="74">
        <v>1000</v>
      </c>
      <c r="J24" s="25" t="s">
        <v>954</v>
      </c>
      <c r="K24" s="25" t="s">
        <v>44</v>
      </c>
      <c r="M24">
        <f t="shared" si="0"/>
        <v>20</v>
      </c>
      <c r="P24" s="29"/>
    </row>
    <row r="25" spans="1:16" x14ac:dyDescent="0.25">
      <c r="A25" s="224">
        <v>18</v>
      </c>
      <c r="B25" s="218" t="s">
        <v>292</v>
      </c>
      <c r="C25" s="218" t="s">
        <v>40</v>
      </c>
      <c r="D25" s="218" t="s">
        <v>87</v>
      </c>
      <c r="E25" s="218" t="s">
        <v>46</v>
      </c>
      <c r="F25" s="222" t="s">
        <v>938</v>
      </c>
      <c r="G25" s="58" t="s">
        <v>351</v>
      </c>
      <c r="H25" s="216">
        <v>50</v>
      </c>
      <c r="I25" s="217">
        <v>500</v>
      </c>
      <c r="J25" s="25" t="s">
        <v>954</v>
      </c>
      <c r="K25" s="25" t="s">
        <v>44</v>
      </c>
      <c r="M25">
        <f t="shared" si="0"/>
        <v>10</v>
      </c>
      <c r="P25" s="29"/>
    </row>
    <row r="26" spans="1:16" x14ac:dyDescent="0.25">
      <c r="A26" s="98"/>
      <c r="B26" s="218"/>
      <c r="C26" s="218"/>
      <c r="D26" s="218"/>
      <c r="E26" s="218"/>
      <c r="F26" s="222"/>
      <c r="G26" s="215"/>
      <c r="H26" s="216"/>
      <c r="I26" s="217"/>
      <c r="J26" s="25"/>
      <c r="K26" s="25"/>
      <c r="M26">
        <f t="shared" si="0"/>
        <v>0</v>
      </c>
      <c r="P26" s="29"/>
    </row>
    <row r="27" spans="1:16" x14ac:dyDescent="0.25">
      <c r="A27" s="98"/>
      <c r="B27" s="25"/>
      <c r="C27" s="25"/>
      <c r="D27" s="25"/>
      <c r="E27" s="25"/>
      <c r="F27" s="165"/>
      <c r="G27" s="58"/>
      <c r="H27" s="65"/>
      <c r="I27" s="74"/>
      <c r="J27" s="25"/>
      <c r="K27" s="25"/>
      <c r="M27">
        <f t="shared" si="0"/>
        <v>0</v>
      </c>
    </row>
    <row r="28" spans="1:16" x14ac:dyDescent="0.25">
      <c r="A28" s="98"/>
      <c r="B28" s="25"/>
      <c r="C28" s="25"/>
      <c r="D28" s="25"/>
      <c r="E28" s="25"/>
      <c r="F28" s="165"/>
      <c r="G28" s="58"/>
      <c r="H28" s="65"/>
      <c r="I28" s="74"/>
      <c r="J28" s="25"/>
      <c r="K28" s="25"/>
      <c r="M28">
        <f t="shared" si="0"/>
        <v>0</v>
      </c>
      <c r="P28" s="29"/>
    </row>
    <row r="29" spans="1:16" x14ac:dyDescent="0.25">
      <c r="A29" s="98"/>
      <c r="B29" s="25"/>
      <c r="C29" s="25"/>
      <c r="D29" s="25"/>
      <c r="E29" s="25"/>
      <c r="F29" s="165"/>
      <c r="G29" s="58"/>
      <c r="H29" s="65"/>
      <c r="I29" s="74"/>
      <c r="J29" s="25"/>
      <c r="K29" s="25"/>
      <c r="M29">
        <f t="shared" si="0"/>
        <v>0</v>
      </c>
    </row>
    <row r="30" spans="1:16" x14ac:dyDescent="0.25">
      <c r="A30" s="98"/>
      <c r="B30" s="25"/>
      <c r="C30" s="25"/>
      <c r="D30" s="25"/>
      <c r="E30" s="25"/>
      <c r="F30" s="165"/>
      <c r="G30" s="58"/>
      <c r="H30" s="65"/>
      <c r="I30" s="74"/>
      <c r="J30" s="25"/>
      <c r="K30" s="25"/>
      <c r="M30">
        <f t="shared" si="0"/>
        <v>0</v>
      </c>
    </row>
    <row r="31" spans="1:16" x14ac:dyDescent="0.25">
      <c r="A31" s="98"/>
      <c r="B31" s="25"/>
      <c r="C31" s="25"/>
      <c r="D31" s="25"/>
      <c r="E31" s="25"/>
      <c r="F31" s="165"/>
      <c r="G31" s="58"/>
      <c r="H31" s="65"/>
      <c r="I31" s="74"/>
      <c r="J31" s="25"/>
      <c r="K31" s="25"/>
      <c r="M31">
        <f t="shared" si="0"/>
        <v>0</v>
      </c>
    </row>
    <row r="32" spans="1:16" x14ac:dyDescent="0.25">
      <c r="A32" s="98"/>
      <c r="B32" s="25"/>
      <c r="C32" s="25"/>
      <c r="D32" s="25"/>
      <c r="E32" s="25"/>
      <c r="F32" s="165"/>
      <c r="G32" s="25"/>
      <c r="H32" s="93"/>
      <c r="I32" s="73"/>
      <c r="J32" s="25"/>
      <c r="K32" s="25"/>
      <c r="M32">
        <f t="shared" si="0"/>
        <v>0</v>
      </c>
    </row>
    <row r="33" spans="1:16" x14ac:dyDescent="0.25">
      <c r="A33" s="98"/>
      <c r="B33" s="25"/>
      <c r="C33" s="25"/>
      <c r="D33" s="25"/>
      <c r="E33" s="25"/>
      <c r="F33" s="165"/>
      <c r="G33" s="25"/>
      <c r="H33" s="93"/>
      <c r="I33" s="73"/>
      <c r="J33" s="25"/>
      <c r="K33" s="25"/>
      <c r="M33">
        <f t="shared" si="0"/>
        <v>0</v>
      </c>
    </row>
    <row r="34" spans="1:16" x14ac:dyDescent="0.25">
      <c r="A34" s="98"/>
      <c r="B34" s="94"/>
      <c r="C34" s="25"/>
      <c r="D34" s="25"/>
      <c r="E34" s="25"/>
      <c r="F34" s="165"/>
      <c r="G34" s="25"/>
      <c r="H34" s="93"/>
      <c r="I34" s="73"/>
      <c r="J34" s="25"/>
      <c r="K34" s="25"/>
      <c r="M34">
        <f t="shared" si="0"/>
        <v>0</v>
      </c>
    </row>
    <row r="35" spans="1:16" x14ac:dyDescent="0.25">
      <c r="A35" s="97"/>
      <c r="B35" s="94"/>
      <c r="C35" s="25"/>
      <c r="D35" s="25"/>
      <c r="E35" s="25"/>
      <c r="F35" s="165"/>
      <c r="G35" s="25"/>
      <c r="H35" s="93"/>
      <c r="I35" s="73"/>
      <c r="J35" s="25"/>
      <c r="K35" s="25"/>
      <c r="M35">
        <f>SUM(M12:M34)</f>
        <v>352</v>
      </c>
    </row>
    <row r="36" spans="1:16" x14ac:dyDescent="0.25">
      <c r="H36" s="29"/>
      <c r="I36" s="108"/>
    </row>
    <row r="38" spans="1:16" x14ac:dyDescent="0.25">
      <c r="I38" s="110" t="s">
        <v>19</v>
      </c>
      <c r="J38" s="30"/>
    </row>
    <row r="39" spans="1:16" ht="16.5" customHeight="1" x14ac:dyDescent="0.25">
      <c r="B39" t="s">
        <v>20</v>
      </c>
      <c r="E39" t="s">
        <v>21</v>
      </c>
      <c r="I39" s="100" t="s">
        <v>136</v>
      </c>
      <c r="J39" s="115">
        <v>0</v>
      </c>
      <c r="P39" s="29"/>
    </row>
    <row r="40" spans="1:16" x14ac:dyDescent="0.25">
      <c r="I40" s="100" t="s">
        <v>137</v>
      </c>
      <c r="J40" s="115">
        <v>0</v>
      </c>
      <c r="K40" s="67"/>
    </row>
    <row r="41" spans="1:16" x14ac:dyDescent="0.25">
      <c r="I41" s="100" t="s">
        <v>406</v>
      </c>
      <c r="J41" s="118">
        <v>0</v>
      </c>
    </row>
    <row r="42" spans="1:16" x14ac:dyDescent="0.25">
      <c r="B42" s="111" t="s">
        <v>987</v>
      </c>
      <c r="E42" s="455" t="s">
        <v>22</v>
      </c>
      <c r="F42" s="455"/>
      <c r="G42" s="455"/>
      <c r="H42" s="455"/>
      <c r="I42" s="100" t="s">
        <v>138</v>
      </c>
      <c r="J42" s="118">
        <v>950</v>
      </c>
    </row>
    <row r="43" spans="1:16" x14ac:dyDescent="0.25">
      <c r="B43" t="s">
        <v>989</v>
      </c>
      <c r="E43" s="444" t="s">
        <v>1037</v>
      </c>
      <c r="F43" s="444"/>
      <c r="G43" s="444"/>
      <c r="H43" s="444"/>
      <c r="I43" s="100" t="s">
        <v>139</v>
      </c>
      <c r="J43" s="115">
        <v>610</v>
      </c>
    </row>
    <row r="44" spans="1:16" x14ac:dyDescent="0.25">
      <c r="I44" s="100" t="s">
        <v>143</v>
      </c>
      <c r="J44" s="118">
        <v>200</v>
      </c>
    </row>
    <row r="45" spans="1:16" x14ac:dyDescent="0.25">
      <c r="I45" s="112" t="s">
        <v>135</v>
      </c>
      <c r="J45" s="115">
        <v>0</v>
      </c>
    </row>
    <row r="46" spans="1:16" x14ac:dyDescent="0.25">
      <c r="I46" s="100" t="s">
        <v>23</v>
      </c>
      <c r="J46" s="117"/>
    </row>
    <row r="47" spans="1:16" x14ac:dyDescent="0.25">
      <c r="I47" s="113" t="s">
        <v>133</v>
      </c>
      <c r="J47" s="118" t="s">
        <v>1098</v>
      </c>
    </row>
    <row r="48" spans="1:16" x14ac:dyDescent="0.25">
      <c r="B48" s="31"/>
      <c r="E48" s="31"/>
      <c r="F48" s="31"/>
      <c r="G48" s="31"/>
      <c r="I48" s="113" t="s">
        <v>134</v>
      </c>
      <c r="J48" s="69"/>
    </row>
    <row r="49" spans="9:10" x14ac:dyDescent="0.25">
      <c r="I49" s="100"/>
      <c r="J49" s="30"/>
    </row>
    <row r="50" spans="9:10" x14ac:dyDescent="0.25">
      <c r="I50" s="100"/>
      <c r="J50" s="30"/>
    </row>
    <row r="51" spans="9:10" x14ac:dyDescent="0.25">
      <c r="I51" s="100"/>
      <c r="J51" s="69"/>
    </row>
    <row r="52" spans="9:10" x14ac:dyDescent="0.25">
      <c r="I52" s="100"/>
      <c r="J52" s="69"/>
    </row>
    <row r="72" spans="12:12" x14ac:dyDescent="0.25">
      <c r="L72" s="29"/>
    </row>
    <row r="95" spans="12:12" x14ac:dyDescent="0.25">
      <c r="L95" s="29"/>
    </row>
    <row r="222" spans="12:12" x14ac:dyDescent="0.25">
      <c r="L222" s="29"/>
    </row>
  </sheetData>
  <mergeCells count="8">
    <mergeCell ref="E42:H42"/>
    <mergeCell ref="E43:H4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O28"/>
  <sheetViews>
    <sheetView view="pageBreakPreview" zoomScale="96" zoomScaleNormal="100" zoomScaleSheetLayoutView="96" workbookViewId="0">
      <selection activeCell="G28" sqref="G28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46" t="s">
        <v>992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1035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2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0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12</v>
      </c>
      <c r="B12" s="236" t="s">
        <v>357</v>
      </c>
      <c r="C12" s="25"/>
      <c r="D12" s="236"/>
      <c r="E12" s="236"/>
      <c r="F12" s="238" t="s">
        <v>1032</v>
      </c>
      <c r="G12" s="236" t="s">
        <v>422</v>
      </c>
      <c r="H12" s="233" t="s">
        <v>358</v>
      </c>
      <c r="I12" s="230">
        <v>11000</v>
      </c>
      <c r="J12" s="237" t="s">
        <v>77</v>
      </c>
      <c r="K12" s="236"/>
      <c r="L12" s="236" t="s">
        <v>44</v>
      </c>
      <c r="M12" s="173"/>
    </row>
    <row r="13" spans="1:15" ht="17.25" customHeight="1" x14ac:dyDescent="0.25">
      <c r="A13" s="72">
        <v>13</v>
      </c>
      <c r="B13" s="236" t="s">
        <v>639</v>
      </c>
      <c r="C13" s="25"/>
      <c r="D13" s="94"/>
      <c r="E13" s="94"/>
      <c r="F13" s="165" t="s">
        <v>1033</v>
      </c>
      <c r="G13" s="94" t="s">
        <v>1034</v>
      </c>
      <c r="H13" s="58" t="s">
        <v>986</v>
      </c>
      <c r="I13" s="93">
        <v>30000</v>
      </c>
      <c r="J13" s="359" t="s">
        <v>77</v>
      </c>
      <c r="K13" s="94" t="s">
        <v>662</v>
      </c>
      <c r="L13" s="25" t="s">
        <v>44</v>
      </c>
      <c r="M13" s="173"/>
      <c r="O13" s="67"/>
    </row>
    <row r="14" spans="1:15" ht="18" customHeight="1" x14ac:dyDescent="0.25">
      <c r="A14" s="98"/>
      <c r="B14" s="302"/>
      <c r="C14" s="27"/>
      <c r="D14" s="94"/>
      <c r="E14" s="94"/>
      <c r="F14" s="165"/>
      <c r="G14" s="94"/>
      <c r="H14" s="303"/>
      <c r="I14" s="93"/>
      <c r="J14" s="305"/>
      <c r="K14" s="94"/>
      <c r="L14" s="94"/>
      <c r="O14" s="67"/>
    </row>
    <row r="15" spans="1:15" ht="16.5" customHeight="1" x14ac:dyDescent="0.25">
      <c r="A15" s="72"/>
      <c r="B15" s="302"/>
      <c r="C15" s="27"/>
      <c r="D15" s="94"/>
      <c r="E15" s="94"/>
      <c r="F15" s="165"/>
      <c r="G15" s="94"/>
      <c r="H15" s="304"/>
      <c r="I15" s="93"/>
      <c r="J15" s="57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165"/>
      <c r="G16" s="94"/>
      <c r="H16" s="130"/>
      <c r="I16" s="93"/>
      <c r="J16" s="25"/>
      <c r="K16" s="94"/>
      <c r="L16" s="94"/>
      <c r="O16" s="67"/>
    </row>
    <row r="17" spans="2:12" x14ac:dyDescent="0.25">
      <c r="I17" s="30"/>
      <c r="J17" s="30"/>
    </row>
    <row r="18" spans="2:12" x14ac:dyDescent="0.25">
      <c r="I18" s="59" t="s">
        <v>19</v>
      </c>
      <c r="J18" s="30"/>
    </row>
    <row r="19" spans="2:12" x14ac:dyDescent="0.25">
      <c r="I19" s="30" t="s">
        <v>136</v>
      </c>
      <c r="J19" s="30"/>
    </row>
    <row r="20" spans="2:12" x14ac:dyDescent="0.25">
      <c r="B20" t="s">
        <v>20</v>
      </c>
      <c r="E20" t="s">
        <v>21</v>
      </c>
      <c r="I20" s="30" t="s">
        <v>137</v>
      </c>
      <c r="J20" s="118"/>
    </row>
    <row r="21" spans="2:12" x14ac:dyDescent="0.25">
      <c r="I21" s="30" t="s">
        <v>1036</v>
      </c>
      <c r="J21" s="118"/>
    </row>
    <row r="22" spans="2:12" x14ac:dyDescent="0.25">
      <c r="I22" s="30" t="s">
        <v>138</v>
      </c>
      <c r="J22" s="118">
        <v>30000</v>
      </c>
    </row>
    <row r="23" spans="2:12" x14ac:dyDescent="0.25">
      <c r="I23" s="30" t="s">
        <v>142</v>
      </c>
      <c r="J23" s="115">
        <v>0</v>
      </c>
    </row>
    <row r="24" spans="2:12" x14ac:dyDescent="0.25">
      <c r="B24" s="31" t="s">
        <v>987</v>
      </c>
      <c r="E24" s="443" t="s">
        <v>22</v>
      </c>
      <c r="F24" s="443"/>
      <c r="G24" s="443"/>
      <c r="H24" s="443"/>
      <c r="I24" s="30" t="s">
        <v>143</v>
      </c>
      <c r="J24" s="118">
        <v>11000</v>
      </c>
      <c r="L24" s="67"/>
    </row>
    <row r="25" spans="2:12" x14ac:dyDescent="0.25">
      <c r="B25" t="s">
        <v>988</v>
      </c>
      <c r="E25" s="444" t="s">
        <v>1037</v>
      </c>
      <c r="F25" s="444"/>
      <c r="G25" s="444"/>
      <c r="H25" s="444"/>
      <c r="I25" s="30" t="s">
        <v>144</v>
      </c>
      <c r="J25" s="115">
        <v>0</v>
      </c>
      <c r="L25" s="67"/>
    </row>
    <row r="26" spans="2:12" x14ac:dyDescent="0.25">
      <c r="I26" s="30" t="s">
        <v>23</v>
      </c>
      <c r="J26" s="117"/>
    </row>
    <row r="27" spans="2:12" x14ac:dyDescent="0.25">
      <c r="I27" s="4" t="s">
        <v>145</v>
      </c>
      <c r="J27" s="118"/>
    </row>
    <row r="28" spans="2:12" x14ac:dyDescent="0.25">
      <c r="I28" s="4" t="s">
        <v>108</v>
      </c>
      <c r="J28" s="118"/>
    </row>
  </sheetData>
  <mergeCells count="9">
    <mergeCell ref="A8:B8"/>
    <mergeCell ref="E24:H24"/>
    <mergeCell ref="E25:H2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P242"/>
  <sheetViews>
    <sheetView view="pageBreakPreview" topLeftCell="A49" zoomScale="106" zoomScaleNormal="100" zoomScaleSheetLayoutView="106" workbookViewId="0">
      <selection activeCell="H38" sqref="H38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992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1069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33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7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1068</v>
      </c>
      <c r="K6" s="104"/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/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/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>
        <v>1</v>
      </c>
      <c r="B12" s="25" t="s">
        <v>993</v>
      </c>
      <c r="C12" s="25" t="s">
        <v>40</v>
      </c>
      <c r="D12" s="25" t="s">
        <v>64</v>
      </c>
      <c r="E12" s="25" t="s">
        <v>48</v>
      </c>
      <c r="F12" s="165" t="s">
        <v>994</v>
      </c>
      <c r="G12" s="58" t="s">
        <v>358</v>
      </c>
      <c r="H12" s="65">
        <v>1000</v>
      </c>
      <c r="I12" s="74">
        <v>1000</v>
      </c>
      <c r="J12" s="25" t="s">
        <v>954</v>
      </c>
      <c r="K12" s="25" t="s">
        <v>44</v>
      </c>
      <c r="M12">
        <f>H12/5</f>
        <v>200</v>
      </c>
      <c r="O12" s="29"/>
    </row>
    <row r="13" spans="1:16" x14ac:dyDescent="0.25">
      <c r="A13" s="98">
        <v>1</v>
      </c>
      <c r="B13" s="25" t="s">
        <v>995</v>
      </c>
      <c r="C13" s="25" t="s">
        <v>40</v>
      </c>
      <c r="D13" s="25"/>
      <c r="E13" s="25" t="s">
        <v>45</v>
      </c>
      <c r="F13" s="165" t="s">
        <v>996</v>
      </c>
      <c r="G13" s="58" t="s">
        <v>358</v>
      </c>
      <c r="H13" s="65">
        <v>100</v>
      </c>
      <c r="I13" s="74">
        <v>100</v>
      </c>
      <c r="J13" s="25" t="s">
        <v>954</v>
      </c>
      <c r="K13" s="25" t="s">
        <v>44</v>
      </c>
      <c r="M13">
        <f t="shared" ref="M13:M53" si="0">H13/5</f>
        <v>20</v>
      </c>
      <c r="O13" s="29"/>
    </row>
    <row r="14" spans="1:16" x14ac:dyDescent="0.25">
      <c r="A14" s="98">
        <v>1</v>
      </c>
      <c r="B14" s="25" t="s">
        <v>182</v>
      </c>
      <c r="C14" s="25" t="s">
        <v>40</v>
      </c>
      <c r="D14" s="25" t="s">
        <v>183</v>
      </c>
      <c r="E14" s="25" t="s">
        <v>55</v>
      </c>
      <c r="F14" s="165" t="s">
        <v>341</v>
      </c>
      <c r="G14" s="58" t="s">
        <v>358</v>
      </c>
      <c r="H14" s="65">
        <v>500</v>
      </c>
      <c r="I14" s="74">
        <v>500</v>
      </c>
      <c r="J14" s="25" t="s">
        <v>954</v>
      </c>
      <c r="K14" s="25" t="s">
        <v>44</v>
      </c>
      <c r="M14">
        <f t="shared" si="0"/>
        <v>100</v>
      </c>
      <c r="O14" s="29"/>
    </row>
    <row r="15" spans="1:16" x14ac:dyDescent="0.25">
      <c r="A15" s="224">
        <v>1</v>
      </c>
      <c r="B15" s="218" t="s">
        <v>997</v>
      </c>
      <c r="C15" s="218" t="s">
        <v>40</v>
      </c>
      <c r="D15" s="218" t="s">
        <v>382</v>
      </c>
      <c r="E15" s="218" t="s">
        <v>53</v>
      </c>
      <c r="F15" s="222" t="s">
        <v>998</v>
      </c>
      <c r="G15" s="215" t="s">
        <v>358</v>
      </c>
      <c r="H15" s="216">
        <v>150</v>
      </c>
      <c r="I15" s="217">
        <v>150</v>
      </c>
      <c r="J15" s="25" t="s">
        <v>954</v>
      </c>
      <c r="K15" s="25" t="s">
        <v>44</v>
      </c>
      <c r="M15">
        <f t="shared" si="0"/>
        <v>30</v>
      </c>
      <c r="P15" s="181"/>
    </row>
    <row r="16" spans="1:16" x14ac:dyDescent="0.25">
      <c r="A16" s="98">
        <v>2</v>
      </c>
      <c r="B16" s="25" t="s">
        <v>999</v>
      </c>
      <c r="C16" s="25" t="s">
        <v>40</v>
      </c>
      <c r="D16" s="25" t="s">
        <v>1000</v>
      </c>
      <c r="E16" s="25" t="s">
        <v>55</v>
      </c>
      <c r="F16" s="165" t="s">
        <v>1001</v>
      </c>
      <c r="G16" s="58" t="s">
        <v>358</v>
      </c>
      <c r="H16" s="65">
        <v>2000</v>
      </c>
      <c r="I16" s="74">
        <v>2000</v>
      </c>
      <c r="J16" s="25" t="s">
        <v>954</v>
      </c>
      <c r="K16" s="25" t="s">
        <v>44</v>
      </c>
      <c r="M16">
        <f t="shared" si="0"/>
        <v>400</v>
      </c>
    </row>
    <row r="17" spans="1:16" x14ac:dyDescent="0.25">
      <c r="A17" s="98">
        <v>2</v>
      </c>
      <c r="B17" s="25" t="s">
        <v>1002</v>
      </c>
      <c r="C17" s="25" t="s">
        <v>50</v>
      </c>
      <c r="D17" s="25" t="s">
        <v>447</v>
      </c>
      <c r="E17" s="25" t="s">
        <v>72</v>
      </c>
      <c r="F17" s="165" t="s">
        <v>1003</v>
      </c>
      <c r="G17" s="58" t="s">
        <v>358</v>
      </c>
      <c r="H17" s="65">
        <v>200</v>
      </c>
      <c r="I17" s="74">
        <v>200</v>
      </c>
      <c r="J17" s="25" t="s">
        <v>954</v>
      </c>
      <c r="K17" s="25" t="s">
        <v>44</v>
      </c>
      <c r="M17">
        <f t="shared" si="0"/>
        <v>40</v>
      </c>
      <c r="O17" s="67"/>
    </row>
    <row r="18" spans="1:16" x14ac:dyDescent="0.25">
      <c r="A18" s="98">
        <v>2</v>
      </c>
      <c r="B18" s="25" t="s">
        <v>1004</v>
      </c>
      <c r="C18" s="25" t="s">
        <v>40</v>
      </c>
      <c r="D18" s="25" t="s">
        <v>179</v>
      </c>
      <c r="E18" s="25" t="s">
        <v>56</v>
      </c>
      <c r="F18" s="165" t="s">
        <v>1005</v>
      </c>
      <c r="G18" s="58" t="s">
        <v>358</v>
      </c>
      <c r="H18" s="65">
        <v>1000</v>
      </c>
      <c r="I18" s="74">
        <v>1000</v>
      </c>
      <c r="J18" s="25" t="s">
        <v>954</v>
      </c>
      <c r="K18" s="25" t="s">
        <v>44</v>
      </c>
      <c r="M18">
        <f t="shared" si="0"/>
        <v>200</v>
      </c>
    </row>
    <row r="19" spans="1:16" x14ac:dyDescent="0.25">
      <c r="A19" s="98">
        <v>2</v>
      </c>
      <c r="B19" s="25" t="s">
        <v>1004</v>
      </c>
      <c r="C19" s="25" t="s">
        <v>40</v>
      </c>
      <c r="D19" s="25" t="s">
        <v>179</v>
      </c>
      <c r="E19" s="25" t="s">
        <v>56</v>
      </c>
      <c r="F19" s="165" t="s">
        <v>1005</v>
      </c>
      <c r="G19" s="58" t="s">
        <v>986</v>
      </c>
      <c r="H19" s="65">
        <v>500</v>
      </c>
      <c r="I19" s="74">
        <v>250</v>
      </c>
      <c r="J19" s="25" t="s">
        <v>954</v>
      </c>
      <c r="K19" s="25" t="s">
        <v>44</v>
      </c>
      <c r="M19">
        <f t="shared" si="0"/>
        <v>100</v>
      </c>
      <c r="O19" s="29"/>
    </row>
    <row r="20" spans="1:16" x14ac:dyDescent="0.25">
      <c r="A20" s="132">
        <v>2</v>
      </c>
      <c r="B20" s="58" t="s">
        <v>1006</v>
      </c>
      <c r="C20" s="58" t="s">
        <v>40</v>
      </c>
      <c r="D20" s="58" t="s">
        <v>572</v>
      </c>
      <c r="E20" s="58" t="s">
        <v>47</v>
      </c>
      <c r="F20" s="196" t="s">
        <v>1007</v>
      </c>
      <c r="G20" s="58" t="s">
        <v>986</v>
      </c>
      <c r="H20" s="65">
        <v>500</v>
      </c>
      <c r="I20" s="74">
        <v>250</v>
      </c>
      <c r="J20" s="25" t="s">
        <v>954</v>
      </c>
      <c r="K20" s="25" t="s">
        <v>44</v>
      </c>
      <c r="M20">
        <f t="shared" si="0"/>
        <v>100</v>
      </c>
    </row>
    <row r="21" spans="1:16" x14ac:dyDescent="0.25">
      <c r="A21" s="98">
        <v>2</v>
      </c>
      <c r="B21" s="25" t="s">
        <v>1008</v>
      </c>
      <c r="C21" s="25" t="s">
        <v>40</v>
      </c>
      <c r="D21" s="25" t="s">
        <v>254</v>
      </c>
      <c r="E21" s="25" t="s">
        <v>69</v>
      </c>
      <c r="F21" s="165" t="s">
        <v>408</v>
      </c>
      <c r="G21" s="58" t="s">
        <v>358</v>
      </c>
      <c r="H21" s="65">
        <v>5000</v>
      </c>
      <c r="I21" s="74">
        <v>5000</v>
      </c>
      <c r="J21" s="25" t="s">
        <v>954</v>
      </c>
      <c r="K21" s="25" t="s">
        <v>44</v>
      </c>
      <c r="M21">
        <f t="shared" si="0"/>
        <v>1000</v>
      </c>
    </row>
    <row r="22" spans="1:16" x14ac:dyDescent="0.25">
      <c r="A22" s="98">
        <v>5</v>
      </c>
      <c r="B22" s="25" t="s">
        <v>188</v>
      </c>
      <c r="C22" s="25" t="s">
        <v>50</v>
      </c>
      <c r="D22" s="25" t="s">
        <v>178</v>
      </c>
      <c r="E22" s="25" t="s">
        <v>46</v>
      </c>
      <c r="F22" s="165" t="s">
        <v>1009</v>
      </c>
      <c r="G22" s="58" t="s">
        <v>358</v>
      </c>
      <c r="H22" s="65">
        <v>500</v>
      </c>
      <c r="I22" s="74">
        <v>500</v>
      </c>
      <c r="J22" s="25" t="s">
        <v>954</v>
      </c>
      <c r="K22" s="25" t="s">
        <v>44</v>
      </c>
      <c r="M22">
        <f t="shared" si="0"/>
        <v>100</v>
      </c>
    </row>
    <row r="23" spans="1:16" x14ac:dyDescent="0.25">
      <c r="A23" s="98">
        <v>5</v>
      </c>
      <c r="B23" s="25" t="s">
        <v>1010</v>
      </c>
      <c r="C23" s="25" t="s">
        <v>40</v>
      </c>
      <c r="D23" s="25" t="s">
        <v>175</v>
      </c>
      <c r="E23" s="25" t="s">
        <v>82</v>
      </c>
      <c r="F23" s="165" t="s">
        <v>1011</v>
      </c>
      <c r="G23" s="58" t="s">
        <v>358</v>
      </c>
      <c r="H23" s="65">
        <v>500</v>
      </c>
      <c r="I23" s="74">
        <v>500</v>
      </c>
      <c r="J23" s="25" t="s">
        <v>954</v>
      </c>
      <c r="K23" s="25" t="s">
        <v>44</v>
      </c>
      <c r="M23">
        <f t="shared" si="0"/>
        <v>100</v>
      </c>
    </row>
    <row r="24" spans="1:16" x14ac:dyDescent="0.25">
      <c r="A24" s="98">
        <v>5</v>
      </c>
      <c r="B24" s="25" t="s">
        <v>1010</v>
      </c>
      <c r="C24" s="25" t="s">
        <v>40</v>
      </c>
      <c r="D24" s="25" t="s">
        <v>175</v>
      </c>
      <c r="E24" s="25" t="s">
        <v>82</v>
      </c>
      <c r="F24" s="165" t="s">
        <v>1011</v>
      </c>
      <c r="G24" s="58" t="s">
        <v>986</v>
      </c>
      <c r="H24" s="65">
        <v>200</v>
      </c>
      <c r="I24" s="74">
        <v>100</v>
      </c>
      <c r="J24" s="25" t="s">
        <v>954</v>
      </c>
      <c r="K24" s="25" t="s">
        <v>44</v>
      </c>
      <c r="M24">
        <f t="shared" si="0"/>
        <v>40</v>
      </c>
      <c r="P24" s="29"/>
    </row>
    <row r="25" spans="1:16" x14ac:dyDescent="0.25">
      <c r="A25" s="343">
        <v>5</v>
      </c>
      <c r="B25" s="344" t="s">
        <v>618</v>
      </c>
      <c r="C25" s="344" t="s">
        <v>40</v>
      </c>
      <c r="D25" s="344" t="s">
        <v>1012</v>
      </c>
      <c r="E25" s="344" t="s">
        <v>60</v>
      </c>
      <c r="F25" s="345" t="s">
        <v>1013</v>
      </c>
      <c r="G25" s="137" t="s">
        <v>42</v>
      </c>
      <c r="H25" s="138">
        <v>15000</v>
      </c>
      <c r="I25" s="177">
        <v>3000</v>
      </c>
      <c r="J25" s="25" t="s">
        <v>954</v>
      </c>
      <c r="K25" s="25" t="s">
        <v>44</v>
      </c>
      <c r="M25">
        <f t="shared" si="0"/>
        <v>3000</v>
      </c>
      <c r="P25" s="29"/>
    </row>
    <row r="26" spans="1:16" x14ac:dyDescent="0.25">
      <c r="A26" s="98">
        <v>5</v>
      </c>
      <c r="B26" s="25" t="s">
        <v>332</v>
      </c>
      <c r="C26" s="25" t="s">
        <v>40</v>
      </c>
      <c r="D26" s="25" t="s">
        <v>231</v>
      </c>
      <c r="E26" s="25" t="s">
        <v>46</v>
      </c>
      <c r="F26" s="165" t="s">
        <v>908</v>
      </c>
      <c r="G26" s="58" t="s">
        <v>358</v>
      </c>
      <c r="H26" s="65">
        <v>100</v>
      </c>
      <c r="I26" s="74" t="s">
        <v>77</v>
      </c>
      <c r="J26" s="25" t="s">
        <v>954</v>
      </c>
      <c r="K26" s="25" t="s">
        <v>44</v>
      </c>
      <c r="M26">
        <f t="shared" si="0"/>
        <v>20</v>
      </c>
      <c r="P26" s="29"/>
    </row>
    <row r="27" spans="1:16" x14ac:dyDescent="0.25">
      <c r="A27" s="98">
        <v>6</v>
      </c>
      <c r="B27" s="25" t="s">
        <v>1014</v>
      </c>
      <c r="C27" s="25" t="s">
        <v>40</v>
      </c>
      <c r="D27" s="25" t="s">
        <v>1015</v>
      </c>
      <c r="E27" s="25" t="s">
        <v>88</v>
      </c>
      <c r="F27" s="165" t="s">
        <v>1016</v>
      </c>
      <c r="G27" s="58" t="s">
        <v>358</v>
      </c>
      <c r="H27" s="65">
        <v>400</v>
      </c>
      <c r="I27" s="74">
        <v>400</v>
      </c>
      <c r="J27" s="25" t="s">
        <v>954</v>
      </c>
      <c r="K27" s="25" t="s">
        <v>44</v>
      </c>
      <c r="M27">
        <f t="shared" si="0"/>
        <v>80</v>
      </c>
    </row>
    <row r="28" spans="1:16" x14ac:dyDescent="0.25">
      <c r="A28" s="98">
        <v>6</v>
      </c>
      <c r="B28" s="25" t="s">
        <v>1017</v>
      </c>
      <c r="C28" s="25" t="s">
        <v>40</v>
      </c>
      <c r="D28" s="25" t="s">
        <v>175</v>
      </c>
      <c r="E28" s="25" t="s">
        <v>48</v>
      </c>
      <c r="F28" s="165" t="s">
        <v>1018</v>
      </c>
      <c r="G28" s="58" t="s">
        <v>358</v>
      </c>
      <c r="H28" s="65">
        <v>700</v>
      </c>
      <c r="I28" s="74">
        <v>700</v>
      </c>
      <c r="J28" s="25" t="s">
        <v>954</v>
      </c>
      <c r="K28" s="25" t="s">
        <v>44</v>
      </c>
      <c r="M28">
        <f t="shared" si="0"/>
        <v>140</v>
      </c>
      <c r="P28" s="29"/>
    </row>
    <row r="29" spans="1:16" x14ac:dyDescent="0.25">
      <c r="A29" s="98">
        <v>6</v>
      </c>
      <c r="B29" s="25" t="s">
        <v>1019</v>
      </c>
      <c r="C29" s="25" t="s">
        <v>40</v>
      </c>
      <c r="D29" s="25" t="s">
        <v>311</v>
      </c>
      <c r="E29" s="25" t="s">
        <v>56</v>
      </c>
      <c r="F29" s="165" t="s">
        <v>1020</v>
      </c>
      <c r="G29" s="58" t="s">
        <v>358</v>
      </c>
      <c r="H29" s="65">
        <v>1500</v>
      </c>
      <c r="I29" s="74">
        <v>1500</v>
      </c>
      <c r="J29" s="25" t="s">
        <v>954</v>
      </c>
      <c r="K29" s="25" t="s">
        <v>44</v>
      </c>
      <c r="M29">
        <f t="shared" si="0"/>
        <v>300</v>
      </c>
    </row>
    <row r="30" spans="1:16" x14ac:dyDescent="0.25">
      <c r="A30" s="98">
        <v>6</v>
      </c>
      <c r="B30" s="25" t="s">
        <v>1023</v>
      </c>
      <c r="C30" s="25" t="s">
        <v>40</v>
      </c>
      <c r="D30" s="25" t="s">
        <v>1021</v>
      </c>
      <c r="E30" s="25" t="s">
        <v>67</v>
      </c>
      <c r="F30" s="165" t="s">
        <v>1022</v>
      </c>
      <c r="G30" s="58" t="s">
        <v>358</v>
      </c>
      <c r="H30" s="65">
        <v>500</v>
      </c>
      <c r="I30" s="74">
        <v>500</v>
      </c>
      <c r="J30" s="25" t="s">
        <v>954</v>
      </c>
      <c r="K30" s="25" t="s">
        <v>44</v>
      </c>
      <c r="M30">
        <f t="shared" si="0"/>
        <v>100</v>
      </c>
    </row>
    <row r="31" spans="1:16" x14ac:dyDescent="0.25">
      <c r="A31" s="98">
        <v>6</v>
      </c>
      <c r="B31" s="25" t="s">
        <v>1023</v>
      </c>
      <c r="C31" s="25" t="s">
        <v>40</v>
      </c>
      <c r="D31" s="25" t="s">
        <v>1021</v>
      </c>
      <c r="E31" s="25" t="s">
        <v>67</v>
      </c>
      <c r="F31" s="165" t="s">
        <v>1022</v>
      </c>
      <c r="G31" s="58" t="s">
        <v>986</v>
      </c>
      <c r="H31" s="65">
        <v>200</v>
      </c>
      <c r="I31" s="74">
        <v>100</v>
      </c>
      <c r="J31" s="25" t="s">
        <v>954</v>
      </c>
      <c r="K31" s="25" t="s">
        <v>44</v>
      </c>
      <c r="M31">
        <f t="shared" si="0"/>
        <v>40</v>
      </c>
    </row>
    <row r="32" spans="1:16" x14ac:dyDescent="0.25">
      <c r="A32" s="98">
        <v>6</v>
      </c>
      <c r="B32" s="25" t="s">
        <v>402</v>
      </c>
      <c r="C32" s="25" t="s">
        <v>50</v>
      </c>
      <c r="D32" s="25" t="s">
        <v>178</v>
      </c>
      <c r="E32" s="25" t="s">
        <v>46</v>
      </c>
      <c r="F32" s="165" t="s">
        <v>371</v>
      </c>
      <c r="G32" s="25" t="s">
        <v>358</v>
      </c>
      <c r="H32" s="93">
        <v>500</v>
      </c>
      <c r="I32" s="73">
        <v>500</v>
      </c>
      <c r="J32" s="25" t="s">
        <v>954</v>
      </c>
      <c r="K32" s="25" t="s">
        <v>44</v>
      </c>
      <c r="M32">
        <f t="shared" si="0"/>
        <v>100</v>
      </c>
    </row>
    <row r="33" spans="1:13" x14ac:dyDescent="0.25">
      <c r="A33" s="98">
        <v>6</v>
      </c>
      <c r="B33" s="25" t="s">
        <v>1024</v>
      </c>
      <c r="C33" s="25" t="s">
        <v>40</v>
      </c>
      <c r="D33" s="25" t="s">
        <v>178</v>
      </c>
      <c r="E33" s="25" t="s">
        <v>46</v>
      </c>
      <c r="F33" s="165"/>
      <c r="G33" s="25" t="s">
        <v>358</v>
      </c>
      <c r="H33" s="93">
        <v>1000</v>
      </c>
      <c r="I33" s="73" t="s">
        <v>77</v>
      </c>
      <c r="J33" s="25" t="s">
        <v>954</v>
      </c>
      <c r="K33" s="25" t="s">
        <v>44</v>
      </c>
      <c r="M33">
        <f t="shared" si="0"/>
        <v>200</v>
      </c>
    </row>
    <row r="34" spans="1:13" x14ac:dyDescent="0.25">
      <c r="A34" s="98">
        <v>7</v>
      </c>
      <c r="B34" s="25" t="s">
        <v>1026</v>
      </c>
      <c r="C34" s="25" t="s">
        <v>40</v>
      </c>
      <c r="D34" s="25" t="s">
        <v>176</v>
      </c>
      <c r="E34" s="25" t="s">
        <v>53</v>
      </c>
      <c r="F34" s="165" t="s">
        <v>1028</v>
      </c>
      <c r="G34" s="58" t="s">
        <v>986</v>
      </c>
      <c r="H34" s="93">
        <v>300</v>
      </c>
      <c r="I34" s="73">
        <v>150</v>
      </c>
      <c r="J34" s="25" t="s">
        <v>954</v>
      </c>
      <c r="K34" s="25" t="s">
        <v>44</v>
      </c>
      <c r="M34">
        <f t="shared" si="0"/>
        <v>60</v>
      </c>
    </row>
    <row r="35" spans="1:13" x14ac:dyDescent="0.25">
      <c r="A35" s="98">
        <v>7</v>
      </c>
      <c r="B35" s="25" t="s">
        <v>1027</v>
      </c>
      <c r="C35" s="25" t="s">
        <v>40</v>
      </c>
      <c r="D35" s="25" t="s">
        <v>249</v>
      </c>
      <c r="E35" s="25" t="s">
        <v>45</v>
      </c>
      <c r="F35" s="165" t="s">
        <v>1029</v>
      </c>
      <c r="G35" s="58" t="s">
        <v>986</v>
      </c>
      <c r="H35" s="93">
        <v>100</v>
      </c>
      <c r="I35" s="73">
        <v>50</v>
      </c>
      <c r="J35" s="25" t="s">
        <v>954</v>
      </c>
      <c r="K35" s="25" t="s">
        <v>44</v>
      </c>
      <c r="M35">
        <f t="shared" si="0"/>
        <v>20</v>
      </c>
    </row>
    <row r="36" spans="1:13" x14ac:dyDescent="0.25">
      <c r="A36" s="98">
        <v>7</v>
      </c>
      <c r="B36" s="25" t="s">
        <v>203</v>
      </c>
      <c r="C36" s="25" t="s">
        <v>40</v>
      </c>
      <c r="D36" s="25" t="s">
        <v>91</v>
      </c>
      <c r="E36" s="25" t="s">
        <v>46</v>
      </c>
      <c r="F36" s="165" t="s">
        <v>381</v>
      </c>
      <c r="G36" s="25" t="s">
        <v>358</v>
      </c>
      <c r="H36" s="93">
        <v>200</v>
      </c>
      <c r="I36" s="73">
        <v>200</v>
      </c>
      <c r="J36" s="25" t="s">
        <v>954</v>
      </c>
      <c r="K36" s="25" t="s">
        <v>44</v>
      </c>
      <c r="M36">
        <f t="shared" si="0"/>
        <v>40</v>
      </c>
    </row>
    <row r="37" spans="1:13" x14ac:dyDescent="0.25">
      <c r="A37" s="98">
        <v>14</v>
      </c>
      <c r="B37" s="25" t="s">
        <v>1038</v>
      </c>
      <c r="C37" s="25" t="s">
        <v>40</v>
      </c>
      <c r="D37" s="25" t="s">
        <v>354</v>
      </c>
      <c r="E37" s="25" t="s">
        <v>53</v>
      </c>
      <c r="F37" s="165" t="s">
        <v>1039</v>
      </c>
      <c r="G37" s="25" t="s">
        <v>358</v>
      </c>
      <c r="H37" s="93">
        <v>1000</v>
      </c>
      <c r="I37" s="73" t="s">
        <v>77</v>
      </c>
      <c r="J37" s="25" t="s">
        <v>954</v>
      </c>
      <c r="K37" s="25" t="s">
        <v>44</v>
      </c>
      <c r="M37">
        <f t="shared" si="0"/>
        <v>200</v>
      </c>
    </row>
    <row r="38" spans="1:13" x14ac:dyDescent="0.25">
      <c r="A38" s="98">
        <v>14</v>
      </c>
      <c r="B38" s="25" t="s">
        <v>1040</v>
      </c>
      <c r="C38" s="25" t="s">
        <v>40</v>
      </c>
      <c r="D38" s="25" t="s">
        <v>208</v>
      </c>
      <c r="E38" s="25" t="s">
        <v>54</v>
      </c>
      <c r="F38" s="165" t="s">
        <v>418</v>
      </c>
      <c r="G38" s="25" t="s">
        <v>986</v>
      </c>
      <c r="H38" s="93">
        <v>300</v>
      </c>
      <c r="I38" s="73" t="s">
        <v>77</v>
      </c>
      <c r="J38" s="25" t="s">
        <v>954</v>
      </c>
      <c r="K38" s="25" t="s">
        <v>44</v>
      </c>
      <c r="M38">
        <f t="shared" si="0"/>
        <v>60</v>
      </c>
    </row>
    <row r="39" spans="1:13" x14ac:dyDescent="0.25">
      <c r="A39" s="98">
        <v>14</v>
      </c>
      <c r="B39" s="25" t="s">
        <v>1040</v>
      </c>
      <c r="C39" s="25" t="s">
        <v>40</v>
      </c>
      <c r="D39" s="25" t="s">
        <v>208</v>
      </c>
      <c r="E39" s="25" t="s">
        <v>54</v>
      </c>
      <c r="F39" s="165" t="s">
        <v>418</v>
      </c>
      <c r="G39" s="25" t="s">
        <v>358</v>
      </c>
      <c r="H39" s="93">
        <v>20</v>
      </c>
      <c r="I39" s="73" t="s">
        <v>77</v>
      </c>
      <c r="J39" s="25" t="s">
        <v>954</v>
      </c>
      <c r="K39" s="25" t="s">
        <v>44</v>
      </c>
      <c r="M39">
        <f t="shared" si="0"/>
        <v>4</v>
      </c>
    </row>
    <row r="40" spans="1:13" x14ac:dyDescent="0.25">
      <c r="A40" s="98">
        <v>14</v>
      </c>
      <c r="B40" s="25" t="s">
        <v>1041</v>
      </c>
      <c r="C40" s="25" t="s">
        <v>40</v>
      </c>
      <c r="D40" s="25" t="s">
        <v>175</v>
      </c>
      <c r="E40" s="25" t="s">
        <v>45</v>
      </c>
      <c r="F40" s="165" t="s">
        <v>1042</v>
      </c>
      <c r="G40" s="25" t="s">
        <v>358</v>
      </c>
      <c r="H40" s="93">
        <v>500</v>
      </c>
      <c r="I40" s="73" t="s">
        <v>77</v>
      </c>
      <c r="J40" s="25" t="s">
        <v>954</v>
      </c>
      <c r="K40" s="25" t="s">
        <v>44</v>
      </c>
      <c r="M40">
        <f t="shared" si="0"/>
        <v>100</v>
      </c>
    </row>
    <row r="41" spans="1:13" x14ac:dyDescent="0.25">
      <c r="A41" s="98">
        <v>14</v>
      </c>
      <c r="B41" s="25" t="s">
        <v>361</v>
      </c>
      <c r="C41" s="25" t="s">
        <v>40</v>
      </c>
      <c r="D41" s="25" t="s">
        <v>67</v>
      </c>
      <c r="E41" s="25" t="s">
        <v>82</v>
      </c>
      <c r="F41" s="165" t="s">
        <v>955</v>
      </c>
      <c r="G41" s="25" t="s">
        <v>358</v>
      </c>
      <c r="H41" s="93">
        <v>500</v>
      </c>
      <c r="I41" s="73" t="s">
        <v>77</v>
      </c>
      <c r="J41" s="25" t="s">
        <v>954</v>
      </c>
      <c r="K41" s="25" t="s">
        <v>44</v>
      </c>
      <c r="M41">
        <f t="shared" si="0"/>
        <v>100</v>
      </c>
    </row>
    <row r="42" spans="1:13" x14ac:dyDescent="0.25">
      <c r="A42" s="98">
        <v>14</v>
      </c>
      <c r="B42" s="25" t="s">
        <v>1008</v>
      </c>
      <c r="C42" s="25" t="s">
        <v>40</v>
      </c>
      <c r="D42" s="25" t="s">
        <v>254</v>
      </c>
      <c r="E42" s="25" t="s">
        <v>69</v>
      </c>
      <c r="F42" s="165" t="s">
        <v>1043</v>
      </c>
      <c r="G42" s="25" t="s">
        <v>358</v>
      </c>
      <c r="H42" s="93">
        <v>2000</v>
      </c>
      <c r="I42" s="73">
        <v>2000</v>
      </c>
      <c r="J42" s="25" t="s">
        <v>954</v>
      </c>
      <c r="K42" s="25" t="s">
        <v>44</v>
      </c>
      <c r="M42">
        <f t="shared" si="0"/>
        <v>400</v>
      </c>
    </row>
    <row r="43" spans="1:13" x14ac:dyDescent="0.25">
      <c r="A43" s="98">
        <v>15</v>
      </c>
      <c r="B43" s="25" t="s">
        <v>1044</v>
      </c>
      <c r="C43" s="25" t="s">
        <v>40</v>
      </c>
      <c r="D43" s="25" t="s">
        <v>221</v>
      </c>
      <c r="E43" s="25" t="s">
        <v>88</v>
      </c>
      <c r="F43" s="165"/>
      <c r="G43" s="25" t="s">
        <v>358</v>
      </c>
      <c r="H43" s="93">
        <v>3000</v>
      </c>
      <c r="I43" s="73">
        <v>3000</v>
      </c>
      <c r="J43" s="25" t="s">
        <v>954</v>
      </c>
      <c r="K43" s="25" t="s">
        <v>44</v>
      </c>
      <c r="M43">
        <f t="shared" si="0"/>
        <v>600</v>
      </c>
    </row>
    <row r="44" spans="1:13" x14ac:dyDescent="0.25">
      <c r="A44" s="98">
        <v>15</v>
      </c>
      <c r="B44" s="25" t="s">
        <v>1045</v>
      </c>
      <c r="C44" s="25" t="s">
        <v>50</v>
      </c>
      <c r="D44" s="25" t="s">
        <v>232</v>
      </c>
      <c r="E44" s="25" t="s">
        <v>45</v>
      </c>
      <c r="F44" s="165" t="s">
        <v>1046</v>
      </c>
      <c r="G44" s="25" t="s">
        <v>358</v>
      </c>
      <c r="H44" s="93">
        <v>450</v>
      </c>
      <c r="I44" s="73">
        <v>450</v>
      </c>
      <c r="J44" s="25" t="s">
        <v>954</v>
      </c>
      <c r="K44" s="25" t="s">
        <v>44</v>
      </c>
      <c r="M44">
        <f t="shared" si="0"/>
        <v>90</v>
      </c>
    </row>
    <row r="45" spans="1:13" x14ac:dyDescent="0.25">
      <c r="A45" s="98">
        <v>15</v>
      </c>
      <c r="B45" s="25" t="s">
        <v>1047</v>
      </c>
      <c r="C45" s="25" t="s">
        <v>40</v>
      </c>
      <c r="D45" s="25" t="s">
        <v>1048</v>
      </c>
      <c r="E45" s="25" t="s">
        <v>63</v>
      </c>
      <c r="F45" s="165" t="s">
        <v>1049</v>
      </c>
      <c r="G45" s="25" t="s">
        <v>358</v>
      </c>
      <c r="H45" s="93">
        <v>150</v>
      </c>
      <c r="I45" s="73">
        <v>150</v>
      </c>
      <c r="J45" s="25" t="s">
        <v>954</v>
      </c>
      <c r="K45" s="25" t="s">
        <v>44</v>
      </c>
      <c r="M45">
        <f t="shared" si="0"/>
        <v>30</v>
      </c>
    </row>
    <row r="46" spans="1:13" x14ac:dyDescent="0.25">
      <c r="A46" s="98">
        <v>15</v>
      </c>
      <c r="B46" s="25" t="s">
        <v>1050</v>
      </c>
      <c r="C46" s="25" t="s">
        <v>40</v>
      </c>
      <c r="D46" s="25" t="s">
        <v>175</v>
      </c>
      <c r="E46" s="25" t="s">
        <v>61</v>
      </c>
      <c r="F46" s="165"/>
      <c r="G46" s="25" t="s">
        <v>358</v>
      </c>
      <c r="H46" s="93">
        <v>500</v>
      </c>
      <c r="I46" s="73">
        <v>500</v>
      </c>
      <c r="J46" s="25" t="s">
        <v>954</v>
      </c>
      <c r="K46" s="25" t="s">
        <v>44</v>
      </c>
      <c r="M46">
        <f t="shared" si="0"/>
        <v>100</v>
      </c>
    </row>
    <row r="47" spans="1:13" x14ac:dyDescent="0.25">
      <c r="A47" s="98">
        <v>16</v>
      </c>
      <c r="B47" s="25" t="s">
        <v>1051</v>
      </c>
      <c r="C47" s="25" t="s">
        <v>40</v>
      </c>
      <c r="D47" s="25" t="s">
        <v>216</v>
      </c>
      <c r="E47" s="25" t="s">
        <v>45</v>
      </c>
      <c r="F47" s="165" t="s">
        <v>1052</v>
      </c>
      <c r="G47" s="25" t="s">
        <v>358</v>
      </c>
      <c r="H47" s="93">
        <v>500</v>
      </c>
      <c r="I47" s="73">
        <v>500</v>
      </c>
      <c r="J47" s="25" t="s">
        <v>954</v>
      </c>
      <c r="K47" s="25" t="s">
        <v>44</v>
      </c>
      <c r="M47">
        <f t="shared" si="0"/>
        <v>100</v>
      </c>
    </row>
    <row r="48" spans="1:13" x14ac:dyDescent="0.25">
      <c r="A48" s="98">
        <v>16</v>
      </c>
      <c r="B48" s="25" t="s">
        <v>300</v>
      </c>
      <c r="C48" s="25" t="s">
        <v>40</v>
      </c>
      <c r="D48" s="25" t="s">
        <v>183</v>
      </c>
      <c r="E48" s="25" t="s">
        <v>55</v>
      </c>
      <c r="F48" s="165" t="s">
        <v>391</v>
      </c>
      <c r="G48" s="25" t="s">
        <v>358</v>
      </c>
      <c r="H48" s="93">
        <v>2000</v>
      </c>
      <c r="I48" s="73">
        <v>2000</v>
      </c>
      <c r="J48" s="25" t="s">
        <v>954</v>
      </c>
      <c r="K48" s="25" t="s">
        <v>44</v>
      </c>
      <c r="M48">
        <f t="shared" si="0"/>
        <v>400</v>
      </c>
    </row>
    <row r="49" spans="1:16" x14ac:dyDescent="0.25">
      <c r="A49" s="98">
        <v>16</v>
      </c>
      <c r="B49" s="25" t="s">
        <v>1053</v>
      </c>
      <c r="C49" s="25" t="s">
        <v>40</v>
      </c>
      <c r="D49" s="25" t="s">
        <v>1054</v>
      </c>
      <c r="E49" s="25" t="s">
        <v>61</v>
      </c>
      <c r="F49" s="165" t="s">
        <v>1055</v>
      </c>
      <c r="G49" s="25" t="s">
        <v>358</v>
      </c>
      <c r="H49" s="93">
        <v>500</v>
      </c>
      <c r="I49" s="73">
        <v>500</v>
      </c>
      <c r="J49" s="25" t="s">
        <v>954</v>
      </c>
      <c r="K49" s="25" t="s">
        <v>44</v>
      </c>
      <c r="M49">
        <f t="shared" si="0"/>
        <v>100</v>
      </c>
    </row>
    <row r="50" spans="1:16" x14ac:dyDescent="0.25">
      <c r="A50" s="98">
        <v>19</v>
      </c>
      <c r="B50" s="25" t="s">
        <v>1056</v>
      </c>
      <c r="C50" s="25" t="s">
        <v>40</v>
      </c>
      <c r="D50" s="25" t="s">
        <v>1054</v>
      </c>
      <c r="E50" s="25" t="s">
        <v>61</v>
      </c>
      <c r="F50" s="165" t="s">
        <v>1057</v>
      </c>
      <c r="G50" s="25" t="s">
        <v>358</v>
      </c>
      <c r="H50" s="93">
        <v>1000</v>
      </c>
      <c r="I50" s="73">
        <v>1000</v>
      </c>
      <c r="J50" s="25" t="s">
        <v>954</v>
      </c>
      <c r="K50" s="25" t="s">
        <v>44</v>
      </c>
      <c r="M50">
        <f t="shared" si="0"/>
        <v>200</v>
      </c>
    </row>
    <row r="51" spans="1:16" x14ac:dyDescent="0.25">
      <c r="A51" s="98">
        <v>19</v>
      </c>
      <c r="B51" s="25" t="s">
        <v>1058</v>
      </c>
      <c r="C51" s="25" t="s">
        <v>50</v>
      </c>
      <c r="D51" s="25" t="s">
        <v>1059</v>
      </c>
      <c r="E51" s="25" t="s">
        <v>99</v>
      </c>
      <c r="F51" s="165" t="s">
        <v>1060</v>
      </c>
      <c r="G51" s="25" t="s">
        <v>358</v>
      </c>
      <c r="H51" s="93">
        <v>200</v>
      </c>
      <c r="I51" s="73" t="s">
        <v>77</v>
      </c>
      <c r="J51" s="25" t="s">
        <v>954</v>
      </c>
      <c r="K51" s="25" t="s">
        <v>44</v>
      </c>
      <c r="M51">
        <f t="shared" si="0"/>
        <v>40</v>
      </c>
    </row>
    <row r="52" spans="1:16" x14ac:dyDescent="0.25">
      <c r="A52" s="98">
        <v>19</v>
      </c>
      <c r="B52" s="25" t="s">
        <v>1058</v>
      </c>
      <c r="C52" s="25" t="s">
        <v>50</v>
      </c>
      <c r="D52" s="25" t="s">
        <v>1059</v>
      </c>
      <c r="E52" s="25" t="s">
        <v>99</v>
      </c>
      <c r="F52" s="165" t="s">
        <v>1060</v>
      </c>
      <c r="G52" s="25" t="s">
        <v>986</v>
      </c>
      <c r="H52" s="93">
        <v>100</v>
      </c>
      <c r="I52" s="73" t="s">
        <v>77</v>
      </c>
      <c r="J52" s="25" t="s">
        <v>954</v>
      </c>
      <c r="K52" s="25" t="s">
        <v>44</v>
      </c>
      <c r="M52">
        <f t="shared" si="0"/>
        <v>20</v>
      </c>
    </row>
    <row r="53" spans="1:16" x14ac:dyDescent="0.25">
      <c r="A53" s="98">
        <v>19</v>
      </c>
      <c r="B53" s="25" t="s">
        <v>1061</v>
      </c>
      <c r="C53" s="25" t="s">
        <v>50</v>
      </c>
      <c r="D53" s="25" t="s">
        <v>1062</v>
      </c>
      <c r="E53" s="25" t="s">
        <v>80</v>
      </c>
      <c r="F53" s="165" t="s">
        <v>1063</v>
      </c>
      <c r="G53" s="25" t="s">
        <v>358</v>
      </c>
      <c r="H53" s="93">
        <v>300</v>
      </c>
      <c r="I53" s="73" t="s">
        <v>77</v>
      </c>
      <c r="J53" s="25" t="s">
        <v>954</v>
      </c>
      <c r="K53" s="25" t="s">
        <v>44</v>
      </c>
      <c r="M53">
        <f t="shared" si="0"/>
        <v>60</v>
      </c>
    </row>
    <row r="54" spans="1:16" x14ac:dyDescent="0.25">
      <c r="A54" s="98">
        <v>19</v>
      </c>
      <c r="B54" s="94" t="s">
        <v>1064</v>
      </c>
      <c r="C54" s="25" t="s">
        <v>50</v>
      </c>
      <c r="D54" s="25" t="s">
        <v>1065</v>
      </c>
      <c r="E54" s="25" t="s">
        <v>80</v>
      </c>
      <c r="F54" s="165" t="s">
        <v>1066</v>
      </c>
      <c r="G54" s="25" t="s">
        <v>358</v>
      </c>
      <c r="H54" s="93">
        <v>305</v>
      </c>
      <c r="I54" s="73" t="s">
        <v>77</v>
      </c>
      <c r="J54" s="25" t="s">
        <v>954</v>
      </c>
      <c r="K54" s="25" t="s">
        <v>44</v>
      </c>
      <c r="M54">
        <f t="shared" ref="M54" si="1">H54/5</f>
        <v>61</v>
      </c>
    </row>
    <row r="55" spans="1:16" x14ac:dyDescent="0.25">
      <c r="A55" s="97"/>
      <c r="B55" s="94"/>
      <c r="C55" s="25"/>
      <c r="D55" s="25"/>
      <c r="E55" s="25"/>
      <c r="F55" s="165"/>
      <c r="G55" s="25"/>
      <c r="H55" s="93"/>
      <c r="I55" s="73"/>
      <c r="J55" s="25"/>
      <c r="K55" s="25"/>
      <c r="M55">
        <f>SUM(M12:M54)</f>
        <v>9195</v>
      </c>
    </row>
    <row r="56" spans="1:16" x14ac:dyDescent="0.25">
      <c r="H56" s="29"/>
      <c r="I56" s="108"/>
    </row>
    <row r="58" spans="1:16" x14ac:dyDescent="0.25">
      <c r="I58" s="110" t="s">
        <v>19</v>
      </c>
      <c r="J58" s="30"/>
    </row>
    <row r="59" spans="1:16" ht="16.5" customHeight="1" x14ac:dyDescent="0.25">
      <c r="B59" t="s">
        <v>20</v>
      </c>
      <c r="E59" t="s">
        <v>21</v>
      </c>
      <c r="I59" s="100" t="s">
        <v>136</v>
      </c>
      <c r="J59" s="115">
        <v>0</v>
      </c>
      <c r="P59" s="29"/>
    </row>
    <row r="60" spans="1:16" x14ac:dyDescent="0.25">
      <c r="I60" s="100" t="s">
        <v>137</v>
      </c>
      <c r="J60" s="115">
        <v>0</v>
      </c>
      <c r="K60" s="67"/>
    </row>
    <row r="61" spans="1:16" x14ac:dyDescent="0.25">
      <c r="I61" s="100" t="s">
        <v>406</v>
      </c>
      <c r="J61" s="118">
        <v>15000</v>
      </c>
    </row>
    <row r="62" spans="1:16" x14ac:dyDescent="0.25">
      <c r="B62" s="111" t="s">
        <v>987</v>
      </c>
      <c r="E62" s="455" t="s">
        <v>22</v>
      </c>
      <c r="F62" s="455"/>
      <c r="G62" s="455"/>
      <c r="H62" s="455"/>
      <c r="I62" s="100" t="s">
        <v>138</v>
      </c>
      <c r="J62" s="118">
        <v>2200</v>
      </c>
    </row>
    <row r="63" spans="1:16" x14ac:dyDescent="0.25">
      <c r="B63" t="s">
        <v>989</v>
      </c>
      <c r="E63" s="444" t="s">
        <v>1037</v>
      </c>
      <c r="F63" s="444"/>
      <c r="G63" s="444"/>
      <c r="H63" s="444"/>
      <c r="I63" s="100" t="s">
        <v>139</v>
      </c>
      <c r="J63" s="115">
        <v>0</v>
      </c>
    </row>
    <row r="64" spans="1:16" x14ac:dyDescent="0.25">
      <c r="I64" s="100" t="s">
        <v>143</v>
      </c>
      <c r="J64" s="118">
        <v>28775</v>
      </c>
    </row>
    <row r="65" spans="2:10" x14ac:dyDescent="0.25">
      <c r="I65" s="112" t="s">
        <v>135</v>
      </c>
      <c r="J65" s="115">
        <v>0</v>
      </c>
    </row>
    <row r="66" spans="2:10" x14ac:dyDescent="0.25">
      <c r="I66" s="100" t="s">
        <v>23</v>
      </c>
      <c r="J66" s="117"/>
    </row>
    <row r="67" spans="2:10" x14ac:dyDescent="0.25">
      <c r="I67" s="113" t="s">
        <v>133</v>
      </c>
      <c r="J67" s="118" t="s">
        <v>1067</v>
      </c>
    </row>
    <row r="68" spans="2:10" x14ac:dyDescent="0.25">
      <c r="B68" s="31"/>
      <c r="E68" s="31"/>
      <c r="F68" s="31"/>
      <c r="G68" s="31"/>
      <c r="I68" s="113" t="s">
        <v>134</v>
      </c>
      <c r="J68" s="69"/>
    </row>
    <row r="69" spans="2:10" x14ac:dyDescent="0.25">
      <c r="I69" s="100"/>
      <c r="J69" s="30"/>
    </row>
    <row r="70" spans="2:10" x14ac:dyDescent="0.25">
      <c r="I70" s="100"/>
      <c r="J70" s="30"/>
    </row>
    <row r="71" spans="2:10" x14ac:dyDescent="0.25">
      <c r="I71" s="100"/>
      <c r="J71" s="69"/>
    </row>
    <row r="72" spans="2:10" x14ac:dyDescent="0.25">
      <c r="I72" s="100"/>
      <c r="J72" s="69"/>
    </row>
    <row r="92" spans="12:12" x14ac:dyDescent="0.25">
      <c r="L92" s="29"/>
    </row>
    <row r="115" spans="12:12" x14ac:dyDescent="0.25">
      <c r="L115" s="29"/>
    </row>
    <row r="242" spans="12:12" x14ac:dyDescent="0.25">
      <c r="L242" s="29"/>
    </row>
  </sheetData>
  <mergeCells count="8">
    <mergeCell ref="E62:H62"/>
    <mergeCell ref="E63:H6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O28"/>
  <sheetViews>
    <sheetView view="pageBreakPreview" zoomScale="96" zoomScaleNormal="100" zoomScaleSheetLayoutView="96" workbookViewId="0">
      <selection activeCell="F14" sqref="F1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46" t="s">
        <v>985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991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1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0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10</v>
      </c>
      <c r="B12" s="236" t="s">
        <v>639</v>
      </c>
      <c r="C12" s="25"/>
      <c r="D12" s="236"/>
      <c r="E12" s="236"/>
      <c r="F12" s="238" t="s">
        <v>640</v>
      </c>
      <c r="G12" s="236" t="s">
        <v>421</v>
      </c>
      <c r="H12" s="233" t="s">
        <v>986</v>
      </c>
      <c r="I12" s="230">
        <v>30000</v>
      </c>
      <c r="J12" s="237" t="s">
        <v>77</v>
      </c>
      <c r="K12" s="236" t="s">
        <v>662</v>
      </c>
      <c r="L12" s="236" t="s">
        <v>44</v>
      </c>
      <c r="M12" s="173"/>
    </row>
    <row r="13" spans="1:15" ht="28.5" customHeight="1" x14ac:dyDescent="0.25">
      <c r="A13" s="98"/>
      <c r="B13" s="302"/>
      <c r="C13" s="25"/>
      <c r="D13" s="94"/>
      <c r="E13" s="94"/>
      <c r="F13" s="165"/>
      <c r="G13" s="94"/>
      <c r="H13" s="301"/>
      <c r="I13" s="93"/>
      <c r="J13" s="305"/>
      <c r="K13" s="94"/>
      <c r="L13" s="25"/>
      <c r="M13" s="173"/>
      <c r="O13" s="67"/>
    </row>
    <row r="14" spans="1:15" ht="29.25" customHeight="1" x14ac:dyDescent="0.25">
      <c r="A14" s="98"/>
      <c r="B14" s="302"/>
      <c r="C14" s="27"/>
      <c r="D14" s="94"/>
      <c r="E14" s="94"/>
      <c r="F14" s="165"/>
      <c r="G14" s="94"/>
      <c r="H14" s="303"/>
      <c r="I14" s="93"/>
      <c r="J14" s="305"/>
      <c r="K14" s="94"/>
      <c r="L14" s="94"/>
      <c r="O14" s="67"/>
    </row>
    <row r="15" spans="1:15" ht="16.5" customHeight="1" x14ac:dyDescent="0.25">
      <c r="A15" s="72"/>
      <c r="B15" s="302"/>
      <c r="C15" s="27"/>
      <c r="D15" s="94"/>
      <c r="E15" s="94"/>
      <c r="F15" s="165"/>
      <c r="G15" s="94"/>
      <c r="H15" s="304"/>
      <c r="I15" s="93"/>
      <c r="J15" s="57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165"/>
      <c r="G16" s="94"/>
      <c r="H16" s="130"/>
      <c r="I16" s="93"/>
      <c r="J16" s="25"/>
      <c r="K16" s="94"/>
      <c r="L16" s="94"/>
      <c r="O16" s="67"/>
    </row>
    <row r="17" spans="2:12" x14ac:dyDescent="0.25">
      <c r="I17" s="30"/>
      <c r="J17" s="30"/>
    </row>
    <row r="18" spans="2:12" x14ac:dyDescent="0.25">
      <c r="I18" s="59" t="s">
        <v>19</v>
      </c>
      <c r="J18" s="30"/>
    </row>
    <row r="19" spans="2:12" x14ac:dyDescent="0.25">
      <c r="I19" s="30" t="s">
        <v>136</v>
      </c>
      <c r="J19" s="30"/>
    </row>
    <row r="20" spans="2:12" x14ac:dyDescent="0.25">
      <c r="B20" t="s">
        <v>20</v>
      </c>
      <c r="E20" t="s">
        <v>21</v>
      </c>
      <c r="I20" s="30" t="s">
        <v>137</v>
      </c>
      <c r="J20" s="118" t="s">
        <v>990</v>
      </c>
    </row>
    <row r="21" spans="2:12" x14ac:dyDescent="0.25">
      <c r="I21" s="30"/>
      <c r="J21" s="118"/>
    </row>
    <row r="22" spans="2:12" x14ac:dyDescent="0.25">
      <c r="I22" s="30" t="s">
        <v>138</v>
      </c>
      <c r="J22" s="118">
        <v>30000</v>
      </c>
    </row>
    <row r="23" spans="2:12" x14ac:dyDescent="0.25">
      <c r="I23" s="30" t="s">
        <v>142</v>
      </c>
      <c r="J23" s="115">
        <v>0</v>
      </c>
    </row>
    <row r="24" spans="2:12" x14ac:dyDescent="0.25">
      <c r="B24" s="31" t="s">
        <v>987</v>
      </c>
      <c r="E24" s="443" t="s">
        <v>22</v>
      </c>
      <c r="F24" s="443"/>
      <c r="G24" s="443"/>
      <c r="H24" s="443"/>
      <c r="I24" s="30" t="s">
        <v>143</v>
      </c>
      <c r="J24" s="115">
        <v>0</v>
      </c>
      <c r="L24" s="67"/>
    </row>
    <row r="25" spans="2:12" x14ac:dyDescent="0.25">
      <c r="B25" t="s">
        <v>988</v>
      </c>
      <c r="E25" s="444" t="s">
        <v>163</v>
      </c>
      <c r="F25" s="444"/>
      <c r="G25" s="444"/>
      <c r="H25" s="444"/>
      <c r="I25" s="30" t="s">
        <v>144</v>
      </c>
      <c r="J25" s="115">
        <v>0</v>
      </c>
      <c r="L25" s="67"/>
    </row>
    <row r="26" spans="2:12" x14ac:dyDescent="0.25">
      <c r="I26" s="30" t="s">
        <v>23</v>
      </c>
      <c r="J26" s="117"/>
    </row>
    <row r="27" spans="2:12" x14ac:dyDescent="0.25">
      <c r="I27" s="4" t="s">
        <v>145</v>
      </c>
      <c r="J27" s="118"/>
    </row>
    <row r="28" spans="2:12" x14ac:dyDescent="0.25">
      <c r="I28" s="4" t="s">
        <v>108</v>
      </c>
      <c r="J28" s="118"/>
    </row>
  </sheetData>
  <mergeCells count="9">
    <mergeCell ref="A8:B8"/>
    <mergeCell ref="E24:H24"/>
    <mergeCell ref="E25:H2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R298"/>
  <sheetViews>
    <sheetView view="pageBreakPreview" zoomScale="106" zoomScaleNormal="100" zoomScaleSheetLayoutView="106" workbookViewId="0">
      <selection activeCell="G23" sqref="G23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984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169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255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32</v>
      </c>
      <c r="P5">
        <v>200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170</v>
      </c>
      <c r="K6" s="104"/>
      <c r="P6">
        <v>3000</v>
      </c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>
        <f>SUM(H16:H26)</f>
        <v>0</v>
      </c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  <c r="P8">
        <v>5000</v>
      </c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>
        <f>SUM(P5:P8)</f>
        <v>8200</v>
      </c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/>
      <c r="B12" s="25"/>
      <c r="C12" s="25"/>
      <c r="D12" s="25"/>
      <c r="E12" s="25"/>
      <c r="F12" s="165"/>
      <c r="G12" s="58"/>
      <c r="H12" s="65"/>
      <c r="I12" s="74" t="s">
        <v>77</v>
      </c>
      <c r="J12" s="25" t="s">
        <v>954</v>
      </c>
      <c r="K12" s="25" t="s">
        <v>44</v>
      </c>
      <c r="M12">
        <f>H12/5</f>
        <v>0</v>
      </c>
    </row>
    <row r="13" spans="1:16" x14ac:dyDescent="0.25">
      <c r="A13" s="98"/>
      <c r="B13" s="25"/>
      <c r="C13" s="25"/>
      <c r="D13" s="25"/>
      <c r="E13" s="25"/>
      <c r="F13" s="165"/>
      <c r="G13" s="58"/>
      <c r="H13" s="65"/>
      <c r="I13" s="74" t="s">
        <v>77</v>
      </c>
      <c r="J13" s="25"/>
      <c r="K13" s="25"/>
      <c r="M13">
        <f t="shared" ref="M13:M76" si="0">H13/5</f>
        <v>0</v>
      </c>
    </row>
    <row r="14" spans="1:16" x14ac:dyDescent="0.25">
      <c r="A14" s="98"/>
      <c r="B14" s="25"/>
      <c r="C14" s="25"/>
      <c r="D14" s="25"/>
      <c r="E14" s="25"/>
      <c r="F14" s="165"/>
      <c r="G14" s="58"/>
      <c r="H14" s="65"/>
      <c r="I14" s="74" t="s">
        <v>77</v>
      </c>
      <c r="J14" s="25"/>
      <c r="K14" s="25"/>
      <c r="M14">
        <f t="shared" si="0"/>
        <v>0</v>
      </c>
    </row>
    <row r="15" spans="1:16" x14ac:dyDescent="0.25">
      <c r="A15" s="128"/>
      <c r="B15" s="169"/>
      <c r="C15" s="169"/>
      <c r="D15" s="169"/>
      <c r="E15" s="169"/>
      <c r="F15" s="170"/>
      <c r="G15" s="135"/>
      <c r="H15" s="136"/>
      <c r="I15" s="168" t="s">
        <v>77</v>
      </c>
      <c r="J15" s="25"/>
      <c r="K15" s="25"/>
      <c r="M15">
        <f t="shared" si="0"/>
        <v>0</v>
      </c>
      <c r="P15" s="181">
        <f>SUM(H16:H26)</f>
        <v>0</v>
      </c>
    </row>
    <row r="16" spans="1:16" x14ac:dyDescent="0.25">
      <c r="A16" s="98"/>
      <c r="B16" s="25"/>
      <c r="C16" s="25"/>
      <c r="D16" s="25"/>
      <c r="E16" s="25"/>
      <c r="F16" s="165"/>
      <c r="G16" s="58"/>
      <c r="H16" s="65"/>
      <c r="I16" s="74">
        <v>200</v>
      </c>
      <c r="J16" s="25"/>
      <c r="K16" s="25"/>
      <c r="M16">
        <f t="shared" si="0"/>
        <v>0</v>
      </c>
    </row>
    <row r="17" spans="1:16" x14ac:dyDescent="0.25">
      <c r="A17" s="98"/>
      <c r="B17" s="25"/>
      <c r="C17" s="25"/>
      <c r="D17" s="25"/>
      <c r="E17" s="25"/>
      <c r="F17" s="165"/>
      <c r="G17" s="58"/>
      <c r="H17" s="65"/>
      <c r="I17" s="74">
        <v>200</v>
      </c>
      <c r="J17" s="25"/>
      <c r="K17" s="25"/>
      <c r="M17">
        <f t="shared" si="0"/>
        <v>0</v>
      </c>
    </row>
    <row r="18" spans="1:16" x14ac:dyDescent="0.25">
      <c r="A18" s="98"/>
      <c r="B18" s="25"/>
      <c r="C18" s="25"/>
      <c r="D18" s="25"/>
      <c r="E18" s="25"/>
      <c r="F18" s="165"/>
      <c r="G18" s="58"/>
      <c r="H18" s="65"/>
      <c r="I18" s="74">
        <v>100</v>
      </c>
      <c r="J18" s="25"/>
      <c r="K18" s="25"/>
      <c r="M18">
        <f t="shared" si="0"/>
        <v>0</v>
      </c>
    </row>
    <row r="19" spans="1:16" x14ac:dyDescent="0.25">
      <c r="A19" s="98"/>
      <c r="B19" s="25"/>
      <c r="C19" s="25"/>
      <c r="D19" s="25"/>
      <c r="E19" s="25"/>
      <c r="F19" s="165"/>
      <c r="G19" s="58"/>
      <c r="H19" s="65"/>
      <c r="I19" s="74">
        <v>2000</v>
      </c>
      <c r="J19" s="25"/>
      <c r="K19" s="25"/>
      <c r="M19">
        <f t="shared" si="0"/>
        <v>0</v>
      </c>
    </row>
    <row r="20" spans="1:16" x14ac:dyDescent="0.25">
      <c r="A20" s="132"/>
      <c r="B20" s="58"/>
      <c r="C20" s="58"/>
      <c r="D20" s="58"/>
      <c r="E20" s="58"/>
      <c r="F20" s="196"/>
      <c r="G20" s="58"/>
      <c r="H20" s="65"/>
      <c r="I20" s="74">
        <v>400</v>
      </c>
      <c r="J20" s="58"/>
      <c r="K20" s="58"/>
      <c r="M20">
        <f t="shared" si="0"/>
        <v>0</v>
      </c>
    </row>
    <row r="21" spans="1:16" x14ac:dyDescent="0.25">
      <c r="A21" s="98"/>
      <c r="B21" s="25"/>
      <c r="C21" s="25"/>
      <c r="D21" s="25"/>
      <c r="E21" s="25"/>
      <c r="F21" s="165"/>
      <c r="G21" s="58"/>
      <c r="H21" s="65"/>
      <c r="I21" s="74">
        <v>100</v>
      </c>
      <c r="J21" s="25"/>
      <c r="K21" s="25"/>
      <c r="M21">
        <f t="shared" si="0"/>
        <v>0</v>
      </c>
    </row>
    <row r="22" spans="1:16" x14ac:dyDescent="0.25">
      <c r="A22" s="98"/>
      <c r="B22" s="25"/>
      <c r="C22" s="25"/>
      <c r="D22" s="25"/>
      <c r="E22" s="25"/>
      <c r="F22" s="165"/>
      <c r="G22" s="58"/>
      <c r="H22" s="65"/>
      <c r="I22" s="74">
        <v>800</v>
      </c>
      <c r="J22" s="25"/>
      <c r="K22" s="25"/>
      <c r="M22">
        <f t="shared" si="0"/>
        <v>0</v>
      </c>
    </row>
    <row r="23" spans="1:16" x14ac:dyDescent="0.25">
      <c r="A23" s="98"/>
      <c r="B23" s="25"/>
      <c r="C23" s="25"/>
      <c r="D23" s="25"/>
      <c r="E23" s="25"/>
      <c r="F23" s="165"/>
      <c r="G23" s="58"/>
      <c r="H23" s="65"/>
      <c r="I23" s="74">
        <v>40</v>
      </c>
      <c r="J23" s="25"/>
      <c r="K23" s="25"/>
      <c r="M23">
        <f t="shared" si="0"/>
        <v>0</v>
      </c>
    </row>
    <row r="24" spans="1:16" x14ac:dyDescent="0.25">
      <c r="A24" s="98"/>
      <c r="B24" s="25"/>
      <c r="C24" s="25"/>
      <c r="D24" s="25"/>
      <c r="E24" s="25"/>
      <c r="F24" s="165"/>
      <c r="G24" s="58"/>
      <c r="H24" s="65"/>
      <c r="I24" s="74">
        <v>1100</v>
      </c>
      <c r="J24" s="25"/>
      <c r="K24" s="25"/>
      <c r="M24">
        <f t="shared" si="0"/>
        <v>0</v>
      </c>
    </row>
    <row r="25" spans="1:16" x14ac:dyDescent="0.25">
      <c r="A25" s="98"/>
      <c r="B25" s="25"/>
      <c r="C25" s="25"/>
      <c r="D25" s="25"/>
      <c r="E25" s="25"/>
      <c r="F25" s="165"/>
      <c r="G25" s="58"/>
      <c r="H25" s="65"/>
      <c r="I25" s="74">
        <v>200</v>
      </c>
      <c r="J25" s="25"/>
      <c r="K25" s="25"/>
      <c r="M25">
        <f t="shared" si="0"/>
        <v>0</v>
      </c>
      <c r="P25" s="29"/>
    </row>
    <row r="26" spans="1:16" x14ac:dyDescent="0.25">
      <c r="A26" s="98"/>
      <c r="B26" s="25"/>
      <c r="C26" s="25"/>
      <c r="D26" s="25"/>
      <c r="E26" s="25"/>
      <c r="F26" s="165"/>
      <c r="G26" s="58"/>
      <c r="H26" s="65"/>
      <c r="I26" s="74">
        <v>100</v>
      </c>
      <c r="J26" s="25"/>
      <c r="K26" s="25"/>
      <c r="M26">
        <f t="shared" si="0"/>
        <v>0</v>
      </c>
    </row>
    <row r="27" spans="1:16" x14ac:dyDescent="0.25">
      <c r="A27" s="98"/>
      <c r="B27" s="25"/>
      <c r="C27" s="25"/>
      <c r="D27" s="25"/>
      <c r="E27" s="25"/>
      <c r="F27" s="165"/>
      <c r="G27" s="58"/>
      <c r="H27" s="65"/>
      <c r="I27" s="74">
        <v>500</v>
      </c>
      <c r="J27" s="25"/>
      <c r="K27" s="25"/>
      <c r="M27">
        <f t="shared" si="0"/>
        <v>0</v>
      </c>
    </row>
    <row r="28" spans="1:16" x14ac:dyDescent="0.25">
      <c r="A28" s="98"/>
      <c r="B28" s="25"/>
      <c r="C28" s="25"/>
      <c r="D28" s="25"/>
      <c r="E28" s="25"/>
      <c r="F28" s="165"/>
      <c r="G28" s="58"/>
      <c r="H28" s="65"/>
      <c r="I28" s="74">
        <v>3000</v>
      </c>
      <c r="J28" s="25"/>
      <c r="K28" s="25"/>
      <c r="M28">
        <f t="shared" si="0"/>
        <v>0</v>
      </c>
    </row>
    <row r="29" spans="1:16" x14ac:dyDescent="0.25">
      <c r="A29" s="98"/>
      <c r="B29" s="25"/>
      <c r="C29" s="25"/>
      <c r="D29" s="25"/>
      <c r="E29" s="25"/>
      <c r="F29" s="165"/>
      <c r="G29" s="58"/>
      <c r="H29" s="65"/>
      <c r="I29" s="74">
        <v>1000</v>
      </c>
      <c r="J29" s="25"/>
      <c r="K29" s="25"/>
      <c r="M29">
        <f t="shared" si="0"/>
        <v>0</v>
      </c>
    </row>
    <row r="30" spans="1:16" x14ac:dyDescent="0.25">
      <c r="A30" s="98"/>
      <c r="B30" s="25"/>
      <c r="C30" s="25"/>
      <c r="D30" s="25"/>
      <c r="E30" s="25"/>
      <c r="F30" s="165"/>
      <c r="G30" s="58"/>
      <c r="H30" s="65"/>
      <c r="I30" s="74"/>
      <c r="J30" s="25"/>
      <c r="K30" s="25"/>
      <c r="M30">
        <f t="shared" si="0"/>
        <v>0</v>
      </c>
    </row>
    <row r="31" spans="1:16" x14ac:dyDescent="0.25">
      <c r="A31" s="98"/>
      <c r="B31" s="25"/>
      <c r="C31" s="25"/>
      <c r="D31" s="25"/>
      <c r="E31" s="25"/>
      <c r="F31" s="165"/>
      <c r="G31" s="58"/>
      <c r="H31" s="65"/>
      <c r="I31" s="74"/>
      <c r="J31" s="25"/>
      <c r="K31" s="25"/>
      <c r="M31">
        <f t="shared" si="0"/>
        <v>0</v>
      </c>
    </row>
    <row r="32" spans="1:16" x14ac:dyDescent="0.25">
      <c r="A32" s="98"/>
      <c r="B32" s="25"/>
      <c r="C32" s="25"/>
      <c r="D32" s="25"/>
      <c r="E32" s="25"/>
      <c r="F32" s="165"/>
      <c r="G32" s="25"/>
      <c r="H32" s="93"/>
      <c r="I32" s="73"/>
      <c r="J32" s="25"/>
      <c r="K32" s="25"/>
      <c r="M32">
        <f t="shared" si="0"/>
        <v>0</v>
      </c>
    </row>
    <row r="33" spans="1:18" x14ac:dyDescent="0.25">
      <c r="A33" s="98"/>
      <c r="B33" s="25"/>
      <c r="C33" s="25"/>
      <c r="D33" s="25"/>
      <c r="E33" s="25"/>
      <c r="F33" s="165"/>
      <c r="G33" s="25"/>
      <c r="H33" s="93"/>
      <c r="I33" s="73"/>
      <c r="J33" s="25"/>
      <c r="K33" s="25"/>
      <c r="M33">
        <f t="shared" si="0"/>
        <v>0</v>
      </c>
    </row>
    <row r="34" spans="1:18" x14ac:dyDescent="0.25">
      <c r="A34" s="98"/>
      <c r="B34" s="25"/>
      <c r="C34" s="25"/>
      <c r="D34" s="25"/>
      <c r="E34" s="25"/>
      <c r="F34" s="165"/>
      <c r="G34" s="25"/>
      <c r="H34" s="93"/>
      <c r="I34" s="73"/>
      <c r="J34" s="25"/>
      <c r="K34" s="25"/>
      <c r="M34">
        <f t="shared" si="0"/>
        <v>0</v>
      </c>
    </row>
    <row r="35" spans="1:18" x14ac:dyDescent="0.25">
      <c r="A35" s="98"/>
      <c r="B35" s="25"/>
      <c r="C35" s="25"/>
      <c r="D35" s="25"/>
      <c r="E35" s="25"/>
      <c r="F35" s="165"/>
      <c r="G35" s="25"/>
      <c r="H35" s="93"/>
      <c r="I35" s="73"/>
      <c r="J35" s="25"/>
      <c r="K35" s="25"/>
      <c r="M35">
        <f t="shared" si="0"/>
        <v>0</v>
      </c>
    </row>
    <row r="36" spans="1:18" x14ac:dyDescent="0.25">
      <c r="A36" s="98"/>
      <c r="B36" s="25"/>
      <c r="C36" s="25"/>
      <c r="D36" s="25"/>
      <c r="E36" s="25"/>
      <c r="F36" s="165"/>
      <c r="G36" s="25"/>
      <c r="H36" s="93"/>
      <c r="I36" s="73"/>
      <c r="J36" s="25"/>
      <c r="K36" s="25"/>
      <c r="M36">
        <f t="shared" si="0"/>
        <v>0</v>
      </c>
    </row>
    <row r="37" spans="1:18" x14ac:dyDescent="0.25">
      <c r="A37" s="98"/>
      <c r="B37" s="25"/>
      <c r="C37" s="25"/>
      <c r="D37" s="25"/>
      <c r="E37" s="25"/>
      <c r="F37" s="165"/>
      <c r="G37" s="25"/>
      <c r="H37" s="93"/>
      <c r="I37" s="73"/>
      <c r="J37" s="25"/>
      <c r="K37" s="25"/>
      <c r="M37">
        <f t="shared" si="0"/>
        <v>0</v>
      </c>
    </row>
    <row r="38" spans="1:18" x14ac:dyDescent="0.25">
      <c r="A38" s="98"/>
      <c r="B38" s="25"/>
      <c r="C38" s="25"/>
      <c r="D38" s="25"/>
      <c r="E38" s="25"/>
      <c r="F38" s="165"/>
      <c r="G38" s="25"/>
      <c r="H38" s="93"/>
      <c r="I38" s="73"/>
      <c r="J38" s="25"/>
      <c r="K38" s="25"/>
      <c r="M38">
        <f t="shared" si="0"/>
        <v>0</v>
      </c>
    </row>
    <row r="39" spans="1:18" x14ac:dyDescent="0.25">
      <c r="A39" s="98"/>
      <c r="B39" s="25"/>
      <c r="C39" s="25"/>
      <c r="D39" s="25"/>
      <c r="E39" s="25"/>
      <c r="F39" s="165"/>
      <c r="G39" s="25"/>
      <c r="H39" s="93"/>
      <c r="I39" s="73"/>
      <c r="J39" s="25"/>
      <c r="K39" s="25"/>
      <c r="M39">
        <f t="shared" si="0"/>
        <v>0</v>
      </c>
    </row>
    <row r="40" spans="1:18" x14ac:dyDescent="0.25">
      <c r="A40" s="98"/>
      <c r="B40" s="25"/>
      <c r="C40" s="25"/>
      <c r="D40" s="25"/>
      <c r="E40" s="25"/>
      <c r="F40" s="165"/>
      <c r="G40" s="25"/>
      <c r="H40" s="93"/>
      <c r="I40" s="73"/>
      <c r="J40" s="25"/>
      <c r="K40" s="25"/>
      <c r="M40">
        <f t="shared" si="0"/>
        <v>0</v>
      </c>
    </row>
    <row r="41" spans="1:18" x14ac:dyDescent="0.25">
      <c r="A41" s="98"/>
      <c r="B41" s="25"/>
      <c r="C41" s="25"/>
      <c r="D41" s="25"/>
      <c r="E41" s="25"/>
      <c r="F41" s="165"/>
      <c r="G41" s="25"/>
      <c r="H41" s="93"/>
      <c r="I41" s="73"/>
      <c r="J41" s="25"/>
      <c r="K41" s="25"/>
      <c r="M41">
        <f t="shared" si="0"/>
        <v>0</v>
      </c>
    </row>
    <row r="42" spans="1:18" x14ac:dyDescent="0.25">
      <c r="A42" s="98"/>
      <c r="B42" s="25"/>
      <c r="C42" s="25"/>
      <c r="D42" s="25"/>
      <c r="E42" s="25"/>
      <c r="F42" s="165"/>
      <c r="G42" s="25"/>
      <c r="H42" s="93"/>
      <c r="I42" s="73"/>
      <c r="J42" s="25"/>
      <c r="K42" s="25"/>
      <c r="M42">
        <f t="shared" si="0"/>
        <v>0</v>
      </c>
    </row>
    <row r="43" spans="1:18" x14ac:dyDescent="0.25">
      <c r="A43" s="98"/>
      <c r="B43" s="25"/>
      <c r="C43" s="25"/>
      <c r="D43" s="25"/>
      <c r="E43" s="25"/>
      <c r="F43" s="165"/>
      <c r="G43" s="25"/>
      <c r="H43" s="93"/>
      <c r="I43" s="73"/>
      <c r="J43" s="25"/>
      <c r="K43" s="25"/>
      <c r="M43">
        <f t="shared" si="0"/>
        <v>0</v>
      </c>
    </row>
    <row r="44" spans="1:18" x14ac:dyDescent="0.25">
      <c r="A44" s="98"/>
      <c r="B44" s="25"/>
      <c r="C44" s="25"/>
      <c r="D44" s="25"/>
      <c r="E44" s="25"/>
      <c r="F44" s="165"/>
      <c r="G44" s="25"/>
      <c r="H44" s="93"/>
      <c r="I44" s="73"/>
      <c r="J44" s="25"/>
      <c r="K44" s="25"/>
      <c r="M44">
        <f t="shared" si="0"/>
        <v>0</v>
      </c>
    </row>
    <row r="45" spans="1:18" x14ac:dyDescent="0.25">
      <c r="A45" s="98"/>
      <c r="B45" s="25"/>
      <c r="C45" s="25"/>
      <c r="D45" s="25"/>
      <c r="E45" s="25"/>
      <c r="F45" s="165"/>
      <c r="G45" s="25"/>
      <c r="H45" s="93"/>
      <c r="I45" s="73"/>
      <c r="J45" s="25"/>
      <c r="K45" s="25"/>
      <c r="M45">
        <f t="shared" si="0"/>
        <v>0</v>
      </c>
      <c r="R45" s="67"/>
    </row>
    <row r="46" spans="1:18" x14ac:dyDescent="0.25">
      <c r="A46" s="98"/>
      <c r="B46" s="25"/>
      <c r="C46" s="25"/>
      <c r="D46" s="25"/>
      <c r="E46" s="25"/>
      <c r="F46" s="165"/>
      <c r="G46" s="25"/>
      <c r="H46" s="93"/>
      <c r="I46" s="73"/>
      <c r="J46" s="25"/>
      <c r="K46" s="25"/>
      <c r="M46">
        <f t="shared" si="0"/>
        <v>0</v>
      </c>
    </row>
    <row r="47" spans="1:18" x14ac:dyDescent="0.25">
      <c r="A47" s="98"/>
      <c r="B47" s="25"/>
      <c r="C47" s="25"/>
      <c r="D47" s="25"/>
      <c r="E47" s="25"/>
      <c r="F47" s="165"/>
      <c r="G47" s="25"/>
      <c r="H47" s="93"/>
      <c r="I47" s="73"/>
      <c r="J47" s="25"/>
      <c r="K47" s="25"/>
      <c r="M47">
        <f t="shared" si="0"/>
        <v>0</v>
      </c>
    </row>
    <row r="48" spans="1:18" x14ac:dyDescent="0.25">
      <c r="A48" s="98"/>
      <c r="B48" s="25"/>
      <c r="C48" s="25"/>
      <c r="D48" s="25"/>
      <c r="E48" s="25"/>
      <c r="F48" s="165"/>
      <c r="G48" s="25"/>
      <c r="H48" s="93"/>
      <c r="I48" s="73"/>
      <c r="J48" s="25"/>
      <c r="K48" s="25"/>
      <c r="M48">
        <f t="shared" si="0"/>
        <v>0</v>
      </c>
      <c r="R48" s="67"/>
    </row>
    <row r="49" spans="1:13" x14ac:dyDescent="0.25">
      <c r="A49" s="98"/>
      <c r="B49" s="25"/>
      <c r="C49" s="25"/>
      <c r="D49" s="25"/>
      <c r="E49" s="25"/>
      <c r="F49" s="165"/>
      <c r="G49" s="25"/>
      <c r="H49" s="93"/>
      <c r="I49" s="73"/>
      <c r="J49" s="25"/>
      <c r="K49" s="25"/>
      <c r="M49">
        <f t="shared" si="0"/>
        <v>0</v>
      </c>
    </row>
    <row r="50" spans="1:13" x14ac:dyDescent="0.25">
      <c r="A50" s="98"/>
      <c r="B50" s="25"/>
      <c r="C50" s="25"/>
      <c r="D50" s="25"/>
      <c r="E50" s="25"/>
      <c r="F50" s="165"/>
      <c r="G50" s="25"/>
      <c r="H50" s="93"/>
      <c r="I50" s="73"/>
      <c r="J50" s="25"/>
      <c r="K50" s="25"/>
      <c r="M50">
        <f t="shared" si="0"/>
        <v>0</v>
      </c>
    </row>
    <row r="51" spans="1:13" x14ac:dyDescent="0.25">
      <c r="A51" s="98"/>
      <c r="B51" s="25"/>
      <c r="C51" s="25"/>
      <c r="D51" s="25"/>
      <c r="E51" s="25"/>
      <c r="F51" s="165"/>
      <c r="G51" s="25"/>
      <c r="H51" s="93"/>
      <c r="I51" s="73"/>
      <c r="J51" s="25"/>
      <c r="K51" s="25"/>
      <c r="M51">
        <f t="shared" si="0"/>
        <v>0</v>
      </c>
    </row>
    <row r="52" spans="1:13" x14ac:dyDescent="0.25">
      <c r="A52" s="98"/>
      <c r="B52" s="58"/>
      <c r="C52" s="58"/>
      <c r="D52" s="58"/>
      <c r="E52" s="58"/>
      <c r="F52" s="196"/>
      <c r="G52" s="58"/>
      <c r="H52" s="58"/>
      <c r="I52" s="58"/>
      <c r="J52" s="25"/>
      <c r="K52" s="25"/>
      <c r="M52">
        <f t="shared" si="0"/>
        <v>0</v>
      </c>
    </row>
    <row r="53" spans="1:13" x14ac:dyDescent="0.25">
      <c r="A53" s="98"/>
      <c r="B53" s="58"/>
      <c r="C53" s="25"/>
      <c r="D53" s="25"/>
      <c r="E53" s="25"/>
      <c r="F53" s="165"/>
      <c r="G53" s="25"/>
      <c r="H53" s="93"/>
      <c r="I53" s="73"/>
      <c r="J53" s="25"/>
      <c r="K53" s="25"/>
      <c r="M53">
        <f t="shared" si="0"/>
        <v>0</v>
      </c>
    </row>
    <row r="54" spans="1:13" x14ac:dyDescent="0.25">
      <c r="A54" s="98"/>
      <c r="B54" s="58"/>
      <c r="C54" s="25"/>
      <c r="D54" s="25"/>
      <c r="E54" s="25"/>
      <c r="F54" s="165"/>
      <c r="G54" s="25"/>
      <c r="H54" s="93"/>
      <c r="I54" s="73"/>
      <c r="J54" s="25"/>
      <c r="K54" s="25"/>
      <c r="M54">
        <f t="shared" si="0"/>
        <v>0</v>
      </c>
    </row>
    <row r="55" spans="1:13" x14ac:dyDescent="0.25">
      <c r="A55" s="98"/>
      <c r="B55" s="58"/>
      <c r="C55" s="25"/>
      <c r="D55" s="25"/>
      <c r="E55" s="25"/>
      <c r="F55" s="165"/>
      <c r="G55" s="25"/>
      <c r="H55" s="93"/>
      <c r="I55" s="73"/>
      <c r="J55" s="25"/>
      <c r="K55" s="25"/>
      <c r="M55">
        <f t="shared" si="0"/>
        <v>0</v>
      </c>
    </row>
    <row r="56" spans="1:13" x14ac:dyDescent="0.25">
      <c r="A56" s="98"/>
      <c r="B56" s="58"/>
      <c r="C56" s="25"/>
      <c r="D56" s="25"/>
      <c r="E56" s="25"/>
      <c r="F56" s="165"/>
      <c r="G56" s="25"/>
      <c r="H56" s="93"/>
      <c r="I56" s="73"/>
      <c r="J56" s="25"/>
      <c r="K56" s="25"/>
      <c r="M56">
        <f t="shared" si="0"/>
        <v>0</v>
      </c>
    </row>
    <row r="57" spans="1:13" x14ac:dyDescent="0.25">
      <c r="A57" s="98"/>
      <c r="B57" s="58"/>
      <c r="C57" s="25"/>
      <c r="D57" s="25"/>
      <c r="E57" s="25"/>
      <c r="F57" s="165"/>
      <c r="G57" s="25"/>
      <c r="H57" s="93"/>
      <c r="I57" s="73"/>
      <c r="J57" s="25"/>
      <c r="K57" s="25"/>
      <c r="M57">
        <f t="shared" si="0"/>
        <v>0</v>
      </c>
    </row>
    <row r="58" spans="1:13" x14ac:dyDescent="0.25">
      <c r="A58" s="98"/>
      <c r="B58" s="58"/>
      <c r="C58" s="25"/>
      <c r="D58" s="25"/>
      <c r="E58" s="25"/>
      <c r="F58" s="165"/>
      <c r="G58" s="25"/>
      <c r="H58" s="93"/>
      <c r="I58" s="73"/>
      <c r="J58" s="25"/>
      <c r="K58" s="25"/>
      <c r="M58">
        <f t="shared" si="0"/>
        <v>0</v>
      </c>
    </row>
    <row r="59" spans="1:13" x14ac:dyDescent="0.25">
      <c r="A59" s="98"/>
      <c r="B59" s="58"/>
      <c r="C59" s="25"/>
      <c r="D59" s="25"/>
      <c r="E59" s="25"/>
      <c r="F59" s="165"/>
      <c r="G59" s="25"/>
      <c r="H59" s="93"/>
      <c r="I59" s="73"/>
      <c r="J59" s="25"/>
      <c r="K59" s="25"/>
      <c r="M59">
        <f t="shared" si="0"/>
        <v>0</v>
      </c>
    </row>
    <row r="60" spans="1:13" x14ac:dyDescent="0.25">
      <c r="A60" s="98"/>
      <c r="B60" s="58"/>
      <c r="C60" s="25"/>
      <c r="D60" s="25"/>
      <c r="E60" s="25"/>
      <c r="F60" s="165"/>
      <c r="G60" s="25"/>
      <c r="H60" s="93"/>
      <c r="I60" s="73"/>
      <c r="J60" s="25"/>
      <c r="K60" s="25"/>
      <c r="M60">
        <f t="shared" si="0"/>
        <v>0</v>
      </c>
    </row>
    <row r="61" spans="1:13" x14ac:dyDescent="0.25">
      <c r="A61" s="98"/>
      <c r="B61" s="58"/>
      <c r="C61" s="25"/>
      <c r="D61" s="25"/>
      <c r="E61" s="25"/>
      <c r="F61" s="165"/>
      <c r="G61" s="25"/>
      <c r="H61" s="93"/>
      <c r="I61" s="73"/>
      <c r="J61" s="25"/>
      <c r="K61" s="25"/>
      <c r="M61">
        <f t="shared" si="0"/>
        <v>0</v>
      </c>
    </row>
    <row r="62" spans="1:13" x14ac:dyDescent="0.25">
      <c r="A62" s="98"/>
      <c r="B62" s="58"/>
      <c r="C62" s="25"/>
      <c r="D62" s="25"/>
      <c r="E62" s="25"/>
      <c r="F62" s="165"/>
      <c r="G62" s="25"/>
      <c r="H62" s="93"/>
      <c r="I62" s="73"/>
      <c r="J62" s="25"/>
      <c r="K62" s="25"/>
      <c r="M62">
        <f t="shared" si="0"/>
        <v>0</v>
      </c>
    </row>
    <row r="63" spans="1:13" x14ac:dyDescent="0.25">
      <c r="A63" s="98"/>
      <c r="B63" s="58"/>
      <c r="C63" s="25"/>
      <c r="D63" s="25"/>
      <c r="E63" s="25"/>
      <c r="F63" s="165"/>
      <c r="G63" s="25"/>
      <c r="H63" s="93"/>
      <c r="I63" s="73"/>
      <c r="J63" s="25"/>
      <c r="K63" s="25"/>
      <c r="M63">
        <f t="shared" si="0"/>
        <v>0</v>
      </c>
    </row>
    <row r="64" spans="1:13" x14ac:dyDescent="0.25">
      <c r="A64" s="98"/>
      <c r="B64" s="58"/>
      <c r="C64" s="25"/>
      <c r="D64" s="25"/>
      <c r="E64" s="25"/>
      <c r="F64" s="165"/>
      <c r="G64" s="25"/>
      <c r="H64" s="93"/>
      <c r="I64" s="73"/>
      <c r="J64" s="25"/>
      <c r="K64" s="25"/>
      <c r="M64">
        <f t="shared" si="0"/>
        <v>0</v>
      </c>
    </row>
    <row r="65" spans="1:13" x14ac:dyDescent="0.25">
      <c r="A65" s="98"/>
      <c r="B65" s="58"/>
      <c r="C65" s="25"/>
      <c r="D65" s="25"/>
      <c r="E65" s="25"/>
      <c r="F65" s="165"/>
      <c r="G65" s="25"/>
      <c r="H65" s="93"/>
      <c r="I65" s="73"/>
      <c r="J65" s="25"/>
      <c r="K65" s="25"/>
      <c r="M65">
        <f t="shared" si="0"/>
        <v>0</v>
      </c>
    </row>
    <row r="66" spans="1:13" x14ac:dyDescent="0.25">
      <c r="A66" s="98"/>
      <c r="B66" s="58"/>
      <c r="C66" s="25"/>
      <c r="D66" s="25"/>
      <c r="E66" s="25"/>
      <c r="F66" s="165"/>
      <c r="G66" s="25"/>
      <c r="H66" s="93"/>
      <c r="I66" s="73"/>
      <c r="J66" s="25"/>
      <c r="K66" s="25"/>
      <c r="M66">
        <f t="shared" si="0"/>
        <v>0</v>
      </c>
    </row>
    <row r="67" spans="1:13" x14ac:dyDescent="0.25">
      <c r="A67" s="98"/>
      <c r="B67" s="58"/>
      <c r="C67" s="25"/>
      <c r="D67" s="25"/>
      <c r="E67" s="25"/>
      <c r="F67" s="165"/>
      <c r="G67" s="25"/>
      <c r="H67" s="93"/>
      <c r="I67" s="73"/>
      <c r="J67" s="25"/>
      <c r="K67" s="25"/>
      <c r="M67">
        <f t="shared" si="0"/>
        <v>0</v>
      </c>
    </row>
    <row r="68" spans="1:13" x14ac:dyDescent="0.25">
      <c r="A68" s="98"/>
      <c r="B68" s="58"/>
      <c r="C68" s="25"/>
      <c r="D68" s="25"/>
      <c r="E68" s="25"/>
      <c r="F68" s="165"/>
      <c r="G68" s="25"/>
      <c r="H68" s="93"/>
      <c r="I68" s="73"/>
      <c r="J68" s="25"/>
      <c r="K68" s="25"/>
      <c r="M68">
        <f t="shared" si="0"/>
        <v>0</v>
      </c>
    </row>
    <row r="69" spans="1:13" x14ac:dyDescent="0.25">
      <c r="A69" s="98"/>
      <c r="B69" s="58"/>
      <c r="C69" s="25"/>
      <c r="D69" s="25"/>
      <c r="E69" s="25"/>
      <c r="F69" s="165"/>
      <c r="G69" s="25"/>
      <c r="H69" s="93"/>
      <c r="I69" s="73"/>
      <c r="J69" s="25"/>
      <c r="K69" s="25"/>
      <c r="M69">
        <f t="shared" si="0"/>
        <v>0</v>
      </c>
    </row>
    <row r="70" spans="1:13" x14ac:dyDescent="0.25">
      <c r="A70" s="98"/>
      <c r="B70" s="58"/>
      <c r="C70" s="25"/>
      <c r="D70" s="25"/>
      <c r="E70" s="25"/>
      <c r="F70" s="165"/>
      <c r="G70" s="25"/>
      <c r="H70" s="93"/>
      <c r="I70" s="73"/>
      <c r="J70" s="25"/>
      <c r="K70" s="25"/>
      <c r="M70">
        <f t="shared" si="0"/>
        <v>0</v>
      </c>
    </row>
    <row r="71" spans="1:13" x14ac:dyDescent="0.25">
      <c r="A71" s="98"/>
      <c r="B71" s="58"/>
      <c r="C71" s="25"/>
      <c r="D71" s="25"/>
      <c r="E71" s="25"/>
      <c r="F71" s="165"/>
      <c r="G71" s="25"/>
      <c r="H71" s="93"/>
      <c r="I71" s="73"/>
      <c r="J71" s="25"/>
      <c r="K71" s="25"/>
      <c r="M71">
        <f t="shared" si="0"/>
        <v>0</v>
      </c>
    </row>
    <row r="72" spans="1:13" x14ac:dyDescent="0.25">
      <c r="A72" s="98"/>
      <c r="B72" s="58"/>
      <c r="C72" s="25"/>
      <c r="D72" s="25"/>
      <c r="E72" s="25"/>
      <c r="F72" s="165"/>
      <c r="G72" s="25"/>
      <c r="H72" s="93"/>
      <c r="I72" s="73"/>
      <c r="J72" s="25"/>
      <c r="K72" s="25"/>
      <c r="M72">
        <f t="shared" si="0"/>
        <v>0</v>
      </c>
    </row>
    <row r="73" spans="1:13" x14ac:dyDescent="0.25">
      <c r="A73" s="98"/>
      <c r="B73" s="58"/>
      <c r="C73" s="25"/>
      <c r="D73" s="25"/>
      <c r="E73" s="25"/>
      <c r="F73" s="165"/>
      <c r="G73" s="25"/>
      <c r="H73" s="93"/>
      <c r="I73" s="73"/>
      <c r="J73" s="25"/>
      <c r="K73" s="25"/>
      <c r="M73">
        <f t="shared" si="0"/>
        <v>0</v>
      </c>
    </row>
    <row r="74" spans="1:13" x14ac:dyDescent="0.25">
      <c r="A74" s="98"/>
      <c r="B74" s="58"/>
      <c r="C74" s="25"/>
      <c r="D74" s="25"/>
      <c r="E74" s="25"/>
      <c r="F74" s="165"/>
      <c r="G74" s="25"/>
      <c r="H74" s="93"/>
      <c r="I74" s="73"/>
      <c r="J74" s="25"/>
      <c r="K74" s="25"/>
      <c r="M74">
        <f t="shared" si="0"/>
        <v>0</v>
      </c>
    </row>
    <row r="75" spans="1:13" x14ac:dyDescent="0.25">
      <c r="A75" s="98"/>
      <c r="B75" s="58"/>
      <c r="C75" s="25"/>
      <c r="D75" s="25"/>
      <c r="E75" s="25"/>
      <c r="F75" s="165"/>
      <c r="G75" s="25"/>
      <c r="H75" s="93"/>
      <c r="I75" s="73"/>
      <c r="J75" s="25"/>
      <c r="K75" s="25"/>
      <c r="M75">
        <f t="shared" si="0"/>
        <v>0</v>
      </c>
    </row>
    <row r="76" spans="1:13" x14ac:dyDescent="0.25">
      <c r="A76" s="98"/>
      <c r="B76" s="58"/>
      <c r="C76" s="25"/>
      <c r="D76" s="25"/>
      <c r="E76" s="25"/>
      <c r="F76" s="165"/>
      <c r="G76" s="25"/>
      <c r="H76" s="93"/>
      <c r="I76" s="73"/>
      <c r="J76" s="25"/>
      <c r="K76" s="25"/>
      <c r="M76">
        <f t="shared" si="0"/>
        <v>0</v>
      </c>
    </row>
    <row r="77" spans="1:13" x14ac:dyDescent="0.25">
      <c r="A77" s="98"/>
      <c r="B77" s="58"/>
      <c r="C77" s="25"/>
      <c r="D77" s="25"/>
      <c r="E77" s="25"/>
      <c r="F77" s="165"/>
      <c r="G77" s="25"/>
      <c r="H77" s="93"/>
      <c r="I77" s="73"/>
      <c r="J77" s="25"/>
      <c r="K77" s="25"/>
      <c r="M77">
        <f t="shared" ref="M77:M110" si="1">H77/5</f>
        <v>0</v>
      </c>
    </row>
    <row r="78" spans="1:13" x14ac:dyDescent="0.25">
      <c r="A78" s="98"/>
      <c r="B78" s="58"/>
      <c r="C78" s="25"/>
      <c r="D78" s="25"/>
      <c r="E78" s="25"/>
      <c r="F78" s="165"/>
      <c r="G78" s="25"/>
      <c r="H78" s="93"/>
      <c r="I78" s="73"/>
      <c r="J78" s="25"/>
      <c r="K78" s="25"/>
      <c r="M78">
        <f t="shared" si="1"/>
        <v>0</v>
      </c>
    </row>
    <row r="79" spans="1:13" x14ac:dyDescent="0.25">
      <c r="A79" s="98"/>
      <c r="B79" s="58"/>
      <c r="C79" s="25"/>
      <c r="D79" s="25"/>
      <c r="E79" s="25"/>
      <c r="F79" s="165"/>
      <c r="G79" s="25"/>
      <c r="H79" s="93"/>
      <c r="I79" s="73"/>
      <c r="J79" s="25"/>
      <c r="K79" s="25"/>
      <c r="M79">
        <f t="shared" si="1"/>
        <v>0</v>
      </c>
    </row>
    <row r="80" spans="1:13" x14ac:dyDescent="0.25">
      <c r="A80" s="98"/>
      <c r="B80" s="94"/>
      <c r="C80" s="25"/>
      <c r="D80" s="25"/>
      <c r="E80" s="25"/>
      <c r="F80" s="165"/>
      <c r="G80" s="25"/>
      <c r="H80" s="93"/>
      <c r="I80" s="73"/>
      <c r="J80" s="25"/>
      <c r="K80" s="25"/>
      <c r="M80">
        <f t="shared" si="1"/>
        <v>0</v>
      </c>
    </row>
    <row r="81" spans="1:17" x14ac:dyDescent="0.25">
      <c r="A81" s="98"/>
      <c r="B81" s="94"/>
      <c r="C81" s="25"/>
      <c r="D81" s="25"/>
      <c r="E81" s="25"/>
      <c r="F81" s="165"/>
      <c r="G81" s="25"/>
      <c r="H81" s="93"/>
      <c r="I81" s="73"/>
      <c r="J81" s="25"/>
      <c r="K81" s="25"/>
      <c r="M81">
        <f t="shared" si="1"/>
        <v>0</v>
      </c>
    </row>
    <row r="82" spans="1:17" x14ac:dyDescent="0.25">
      <c r="A82" s="98"/>
      <c r="B82" s="94"/>
      <c r="C82" s="25"/>
      <c r="D82" s="25"/>
      <c r="E82" s="25"/>
      <c r="F82" s="165"/>
      <c r="G82" s="25"/>
      <c r="H82" s="93"/>
      <c r="I82" s="73"/>
      <c r="J82" s="25"/>
      <c r="K82" s="25"/>
      <c r="M82">
        <f t="shared" si="1"/>
        <v>0</v>
      </c>
    </row>
    <row r="83" spans="1:17" x14ac:dyDescent="0.25">
      <c r="A83" s="98"/>
      <c r="B83" s="94"/>
      <c r="C83" s="25"/>
      <c r="D83" s="25"/>
      <c r="E83" s="25"/>
      <c r="F83" s="165"/>
      <c r="G83" s="25"/>
      <c r="H83" s="93"/>
      <c r="I83" s="73"/>
      <c r="J83" s="25"/>
      <c r="K83" s="25"/>
      <c r="M83">
        <f t="shared" si="1"/>
        <v>0</v>
      </c>
    </row>
    <row r="84" spans="1:17" x14ac:dyDescent="0.25">
      <c r="A84" s="98"/>
      <c r="B84" s="94"/>
      <c r="C84" s="25"/>
      <c r="D84" s="25"/>
      <c r="E84" s="25"/>
      <c r="F84" s="165"/>
      <c r="G84" s="25"/>
      <c r="H84" s="93"/>
      <c r="I84" s="73"/>
      <c r="J84" s="25"/>
      <c r="K84" s="25"/>
      <c r="M84">
        <f t="shared" si="1"/>
        <v>0</v>
      </c>
    </row>
    <row r="85" spans="1:17" x14ac:dyDescent="0.25">
      <c r="A85" s="98"/>
      <c r="B85" s="94"/>
      <c r="C85" s="25"/>
      <c r="D85" s="25"/>
      <c r="E85" s="25"/>
      <c r="F85" s="165"/>
      <c r="G85" s="25"/>
      <c r="H85" s="93"/>
      <c r="I85" s="73"/>
      <c r="J85" s="25"/>
      <c r="K85" s="25"/>
      <c r="M85">
        <f t="shared" si="1"/>
        <v>0</v>
      </c>
    </row>
    <row r="86" spans="1:17" x14ac:dyDescent="0.25">
      <c r="A86" s="98"/>
      <c r="B86" s="94"/>
      <c r="C86" s="25"/>
      <c r="D86" s="25"/>
      <c r="E86" s="25"/>
      <c r="F86" s="165"/>
      <c r="G86" s="25"/>
      <c r="H86" s="93"/>
      <c r="I86" s="73"/>
      <c r="J86" s="25"/>
      <c r="K86" s="25"/>
      <c r="M86">
        <f t="shared" si="1"/>
        <v>0</v>
      </c>
    </row>
    <row r="87" spans="1:17" x14ac:dyDescent="0.25">
      <c r="A87" s="98"/>
      <c r="B87" s="94"/>
      <c r="C87" s="25"/>
      <c r="D87" s="25"/>
      <c r="E87" s="25"/>
      <c r="F87" s="165"/>
      <c r="G87" s="25"/>
      <c r="H87" s="93"/>
      <c r="I87" s="73"/>
      <c r="J87" s="25"/>
      <c r="K87" s="25"/>
      <c r="M87">
        <f t="shared" si="1"/>
        <v>0</v>
      </c>
    </row>
    <row r="88" spans="1:17" x14ac:dyDescent="0.25">
      <c r="A88" s="98"/>
      <c r="B88" s="94"/>
      <c r="C88" s="25"/>
      <c r="D88" s="25"/>
      <c r="E88" s="25"/>
      <c r="F88" s="165"/>
      <c r="G88" s="25"/>
      <c r="H88" s="93"/>
      <c r="I88" s="73"/>
      <c r="J88" s="25"/>
      <c r="K88" s="25"/>
      <c r="M88">
        <f t="shared" si="1"/>
        <v>0</v>
      </c>
    </row>
    <row r="89" spans="1:17" x14ac:dyDescent="0.25">
      <c r="A89" s="98"/>
      <c r="B89" s="94"/>
      <c r="C89" s="25"/>
      <c r="D89" s="25"/>
      <c r="E89" s="25"/>
      <c r="F89" s="165"/>
      <c r="G89" s="25"/>
      <c r="H89" s="93"/>
      <c r="I89" s="73"/>
      <c r="J89" s="25"/>
      <c r="K89" s="25"/>
      <c r="M89">
        <f t="shared" si="1"/>
        <v>0</v>
      </c>
      <c r="Q89" s="67"/>
    </row>
    <row r="90" spans="1:17" x14ac:dyDescent="0.25">
      <c r="A90" s="98"/>
      <c r="B90" s="94"/>
      <c r="C90" s="25"/>
      <c r="D90" s="25"/>
      <c r="E90" s="25"/>
      <c r="F90" s="165"/>
      <c r="G90" s="25"/>
      <c r="H90" s="93"/>
      <c r="I90" s="73"/>
      <c r="J90" s="25"/>
      <c r="K90" s="25"/>
      <c r="M90">
        <f t="shared" si="1"/>
        <v>0</v>
      </c>
    </row>
    <row r="91" spans="1:17" x14ac:dyDescent="0.25">
      <c r="A91" s="98"/>
      <c r="B91" s="94"/>
      <c r="C91" s="25"/>
      <c r="D91" s="25"/>
      <c r="E91" s="25"/>
      <c r="F91" s="165"/>
      <c r="G91" s="25"/>
      <c r="H91" s="93"/>
      <c r="I91" s="73"/>
      <c r="J91" s="25"/>
      <c r="K91" s="25"/>
      <c r="M91">
        <f t="shared" si="1"/>
        <v>0</v>
      </c>
    </row>
    <row r="92" spans="1:17" x14ac:dyDescent="0.25">
      <c r="A92" s="98"/>
      <c r="B92" s="94"/>
      <c r="C92" s="25"/>
      <c r="D92" s="25"/>
      <c r="E92" s="25"/>
      <c r="F92" s="165"/>
      <c r="G92" s="25"/>
      <c r="H92" s="93"/>
      <c r="I92" s="73"/>
      <c r="J92" s="25"/>
      <c r="K92" s="25"/>
      <c r="M92">
        <f t="shared" si="1"/>
        <v>0</v>
      </c>
    </row>
    <row r="93" spans="1:17" x14ac:dyDescent="0.25">
      <c r="A93" s="98"/>
      <c r="B93" s="94"/>
      <c r="C93" s="25"/>
      <c r="D93" s="25"/>
      <c r="E93" s="25"/>
      <c r="F93" s="165"/>
      <c r="G93" s="25"/>
      <c r="H93" s="93"/>
      <c r="I93" s="73"/>
      <c r="J93" s="25"/>
      <c r="K93" s="25"/>
      <c r="M93">
        <f t="shared" si="1"/>
        <v>0</v>
      </c>
    </row>
    <row r="94" spans="1:17" x14ac:dyDescent="0.25">
      <c r="A94" s="98"/>
      <c r="B94" s="94"/>
      <c r="C94" s="25"/>
      <c r="D94" s="25"/>
      <c r="E94" s="25"/>
      <c r="F94" s="165"/>
      <c r="G94" s="25"/>
      <c r="H94" s="93"/>
      <c r="I94" s="73"/>
      <c r="J94" s="25"/>
      <c r="K94" s="25"/>
      <c r="M94">
        <f t="shared" si="1"/>
        <v>0</v>
      </c>
    </row>
    <row r="95" spans="1:17" x14ac:dyDescent="0.25">
      <c r="A95" s="98"/>
      <c r="B95" s="94"/>
      <c r="C95" s="25"/>
      <c r="D95" s="25"/>
      <c r="E95" s="25"/>
      <c r="F95" s="165"/>
      <c r="G95" s="25"/>
      <c r="H95" s="93"/>
      <c r="I95" s="73"/>
      <c r="J95" s="25"/>
      <c r="K95" s="25"/>
      <c r="M95">
        <f t="shared" si="1"/>
        <v>0</v>
      </c>
    </row>
    <row r="96" spans="1:17" x14ac:dyDescent="0.25">
      <c r="A96" s="98"/>
      <c r="B96" s="94"/>
      <c r="C96" s="25"/>
      <c r="D96" s="25"/>
      <c r="E96" s="25"/>
      <c r="F96" s="165"/>
      <c r="G96" s="25"/>
      <c r="H96" s="93"/>
      <c r="I96" s="73"/>
      <c r="J96" s="25"/>
      <c r="K96" s="25"/>
      <c r="M96">
        <f t="shared" si="1"/>
        <v>0</v>
      </c>
    </row>
    <row r="97" spans="1:13" x14ac:dyDescent="0.25">
      <c r="A97" s="98"/>
      <c r="B97" s="94"/>
      <c r="C97" s="25"/>
      <c r="D97" s="25"/>
      <c r="E97" s="25"/>
      <c r="F97" s="165"/>
      <c r="G97" s="25"/>
      <c r="H97" s="93"/>
      <c r="I97" s="73"/>
      <c r="J97" s="25"/>
      <c r="K97" s="25"/>
      <c r="M97">
        <f t="shared" si="1"/>
        <v>0</v>
      </c>
    </row>
    <row r="98" spans="1:13" x14ac:dyDescent="0.25">
      <c r="A98" s="98"/>
      <c r="B98" s="94"/>
      <c r="C98" s="25"/>
      <c r="D98" s="25"/>
      <c r="E98" s="25"/>
      <c r="F98" s="165"/>
      <c r="G98" s="25"/>
      <c r="H98" s="93"/>
      <c r="I98" s="73"/>
      <c r="J98" s="25"/>
      <c r="K98" s="25"/>
      <c r="M98">
        <f t="shared" si="1"/>
        <v>0</v>
      </c>
    </row>
    <row r="99" spans="1:13" x14ac:dyDescent="0.25">
      <c r="A99" s="98"/>
      <c r="B99" s="94"/>
      <c r="C99" s="25"/>
      <c r="D99" s="25"/>
      <c r="E99" s="25"/>
      <c r="F99" s="165"/>
      <c r="G99" s="25"/>
      <c r="H99" s="93"/>
      <c r="I99" s="73"/>
      <c r="J99" s="25"/>
      <c r="K99" s="25"/>
      <c r="M99">
        <f t="shared" si="1"/>
        <v>0</v>
      </c>
    </row>
    <row r="100" spans="1:13" x14ac:dyDescent="0.25">
      <c r="A100" s="98"/>
      <c r="B100" s="94"/>
      <c r="C100" s="25"/>
      <c r="D100" s="25"/>
      <c r="E100" s="25"/>
      <c r="F100" s="165"/>
      <c r="G100" s="25"/>
      <c r="H100" s="93"/>
      <c r="I100" s="73"/>
      <c r="J100" s="25"/>
      <c r="K100" s="25"/>
      <c r="M100">
        <f t="shared" si="1"/>
        <v>0</v>
      </c>
    </row>
    <row r="101" spans="1:13" x14ac:dyDescent="0.25">
      <c r="A101" s="98"/>
      <c r="B101" s="94"/>
      <c r="C101" s="25"/>
      <c r="D101" s="25"/>
      <c r="E101" s="25"/>
      <c r="F101" s="165"/>
      <c r="G101" s="25"/>
      <c r="H101" s="93"/>
      <c r="I101" s="73"/>
      <c r="J101" s="25"/>
      <c r="K101" s="25"/>
      <c r="M101">
        <f t="shared" si="1"/>
        <v>0</v>
      </c>
    </row>
    <row r="102" spans="1:13" x14ac:dyDescent="0.25">
      <c r="A102" s="98"/>
      <c r="B102" s="94"/>
      <c r="C102" s="25"/>
      <c r="D102" s="25"/>
      <c r="E102" s="25"/>
      <c r="F102" s="165"/>
      <c r="G102" s="25"/>
      <c r="H102" s="93"/>
      <c r="I102" s="73"/>
      <c r="J102" s="25"/>
      <c r="K102" s="25"/>
      <c r="M102">
        <f t="shared" si="1"/>
        <v>0</v>
      </c>
    </row>
    <row r="103" spans="1:13" x14ac:dyDescent="0.25">
      <c r="A103" s="98"/>
      <c r="B103" s="94"/>
      <c r="C103" s="25"/>
      <c r="D103" s="25"/>
      <c r="E103" s="25"/>
      <c r="F103" s="165"/>
      <c r="G103" s="25"/>
      <c r="H103" s="93"/>
      <c r="I103" s="73"/>
      <c r="J103" s="25"/>
      <c r="K103" s="25"/>
      <c r="M103">
        <f t="shared" si="1"/>
        <v>0</v>
      </c>
    </row>
    <row r="104" spans="1:13" x14ac:dyDescent="0.25">
      <c r="A104" s="98"/>
      <c r="B104" s="94"/>
      <c r="C104" s="25"/>
      <c r="D104" s="25"/>
      <c r="E104" s="25"/>
      <c r="F104" s="165"/>
      <c r="G104" s="25"/>
      <c r="H104" s="93"/>
      <c r="I104" s="73"/>
      <c r="J104" s="25"/>
      <c r="K104" s="25"/>
      <c r="M104">
        <f t="shared" si="1"/>
        <v>0</v>
      </c>
    </row>
    <row r="105" spans="1:13" x14ac:dyDescent="0.25">
      <c r="A105" s="98"/>
      <c r="B105" s="94"/>
      <c r="C105" s="25"/>
      <c r="D105" s="25"/>
      <c r="E105" s="25"/>
      <c r="F105" s="165"/>
      <c r="G105" s="25"/>
      <c r="H105" s="93"/>
      <c r="I105" s="73"/>
      <c r="J105" s="25"/>
      <c r="K105" s="25"/>
      <c r="M105">
        <f t="shared" si="1"/>
        <v>0</v>
      </c>
    </row>
    <row r="106" spans="1:13" x14ac:dyDescent="0.25">
      <c r="A106" s="98"/>
      <c r="B106" s="94"/>
      <c r="C106" s="25"/>
      <c r="D106" s="25"/>
      <c r="E106" s="25"/>
      <c r="F106" s="165"/>
      <c r="G106" s="25"/>
      <c r="H106" s="93"/>
      <c r="I106" s="73"/>
      <c r="J106" s="25"/>
      <c r="K106" s="25"/>
      <c r="M106">
        <f t="shared" si="1"/>
        <v>0</v>
      </c>
    </row>
    <row r="107" spans="1:13" x14ac:dyDescent="0.25">
      <c r="A107" s="98"/>
      <c r="B107" s="94"/>
      <c r="C107" s="25"/>
      <c r="D107" s="25"/>
      <c r="E107" s="25"/>
      <c r="F107" s="165"/>
      <c r="G107" s="25"/>
      <c r="H107" s="93"/>
      <c r="I107" s="73"/>
      <c r="J107" s="25"/>
      <c r="K107" s="25"/>
      <c r="M107">
        <f t="shared" si="1"/>
        <v>0</v>
      </c>
    </row>
    <row r="108" spans="1:13" x14ac:dyDescent="0.25">
      <c r="A108" s="98"/>
      <c r="B108" s="94"/>
      <c r="C108" s="25"/>
      <c r="D108" s="25"/>
      <c r="E108" s="25"/>
      <c r="F108" s="165"/>
      <c r="G108" s="25"/>
      <c r="H108" s="93"/>
      <c r="I108" s="73"/>
      <c r="J108" s="25"/>
      <c r="K108" s="25"/>
      <c r="M108">
        <f t="shared" si="1"/>
        <v>0</v>
      </c>
    </row>
    <row r="109" spans="1:13" x14ac:dyDescent="0.25">
      <c r="A109" s="98"/>
      <c r="B109" s="94"/>
      <c r="C109" s="25"/>
      <c r="D109" s="25"/>
      <c r="E109" s="25"/>
      <c r="F109" s="165"/>
      <c r="G109" s="25"/>
      <c r="H109" s="93"/>
      <c r="I109" s="73"/>
      <c r="J109" s="25"/>
      <c r="K109" s="25"/>
      <c r="M109">
        <f t="shared" si="1"/>
        <v>0</v>
      </c>
    </row>
    <row r="110" spans="1:13" x14ac:dyDescent="0.25">
      <c r="A110" s="98"/>
      <c r="B110" s="94"/>
      <c r="C110" s="25"/>
      <c r="D110" s="25"/>
      <c r="E110" s="25"/>
      <c r="F110" s="165"/>
      <c r="G110" s="25"/>
      <c r="H110" s="93"/>
      <c r="I110" s="73"/>
      <c r="J110" s="25"/>
      <c r="K110" s="25"/>
      <c r="M110">
        <f t="shared" si="1"/>
        <v>0</v>
      </c>
    </row>
    <row r="111" spans="1:13" x14ac:dyDescent="0.25">
      <c r="A111" s="97"/>
      <c r="B111" s="94"/>
      <c r="C111" s="25"/>
      <c r="D111" s="25"/>
      <c r="E111" s="25"/>
      <c r="F111" s="165"/>
      <c r="G111" s="25"/>
      <c r="H111" s="93"/>
      <c r="I111" s="73"/>
      <c r="J111" s="25"/>
      <c r="K111" s="25"/>
      <c r="M111">
        <f>SUM(M12:M110)</f>
        <v>0</v>
      </c>
    </row>
    <row r="112" spans="1:13" x14ac:dyDescent="0.25">
      <c r="H112" s="29"/>
      <c r="I112" s="108"/>
    </row>
    <row r="114" spans="2:16" x14ac:dyDescent="0.25">
      <c r="I114" s="110" t="s">
        <v>19</v>
      </c>
      <c r="J114" s="30"/>
    </row>
    <row r="115" spans="2:16" ht="16.5" customHeight="1" x14ac:dyDescent="0.25">
      <c r="B115" t="s">
        <v>20</v>
      </c>
      <c r="E115" t="s">
        <v>21</v>
      </c>
      <c r="I115" s="100" t="s">
        <v>136</v>
      </c>
      <c r="J115" s="115" t="s">
        <v>943</v>
      </c>
      <c r="P115" s="29"/>
    </row>
    <row r="116" spans="2:16" x14ac:dyDescent="0.25">
      <c r="I116" s="100" t="s">
        <v>137</v>
      </c>
      <c r="J116" s="115" t="s">
        <v>942</v>
      </c>
      <c r="K116" s="67"/>
    </row>
    <row r="117" spans="2:16" x14ac:dyDescent="0.25">
      <c r="I117" s="100" t="s">
        <v>138</v>
      </c>
      <c r="J117" s="115">
        <v>0</v>
      </c>
    </row>
    <row r="118" spans="2:16" x14ac:dyDescent="0.25">
      <c r="B118" s="111" t="s">
        <v>98</v>
      </c>
      <c r="E118" s="455" t="s">
        <v>22</v>
      </c>
      <c r="F118" s="455"/>
      <c r="G118" s="455"/>
      <c r="H118" s="455"/>
      <c r="I118" s="100" t="s">
        <v>139</v>
      </c>
      <c r="J118" s="115">
        <v>0</v>
      </c>
    </row>
    <row r="119" spans="2:16" x14ac:dyDescent="0.25">
      <c r="B119" t="s">
        <v>115</v>
      </c>
      <c r="E119" s="444" t="s">
        <v>163</v>
      </c>
      <c r="F119" s="444"/>
      <c r="G119" s="444"/>
      <c r="H119" s="444"/>
      <c r="I119" s="100" t="s">
        <v>143</v>
      </c>
      <c r="J119" s="115">
        <v>0</v>
      </c>
    </row>
    <row r="120" spans="2:16" x14ac:dyDescent="0.25">
      <c r="I120" s="112" t="s">
        <v>135</v>
      </c>
      <c r="J120" s="115">
        <v>0</v>
      </c>
    </row>
    <row r="121" spans="2:16" x14ac:dyDescent="0.25">
      <c r="I121" s="100" t="s">
        <v>23</v>
      </c>
      <c r="J121" s="117"/>
    </row>
    <row r="122" spans="2:16" x14ac:dyDescent="0.25">
      <c r="I122" s="113" t="s">
        <v>133</v>
      </c>
      <c r="J122" s="118" t="s">
        <v>944</v>
      </c>
    </row>
    <row r="123" spans="2:16" x14ac:dyDescent="0.25">
      <c r="I123" s="113" t="s">
        <v>134</v>
      </c>
      <c r="J123" s="69"/>
    </row>
    <row r="124" spans="2:16" x14ac:dyDescent="0.25">
      <c r="B124" s="31"/>
      <c r="E124" s="31"/>
      <c r="F124" s="31"/>
      <c r="G124" s="31"/>
      <c r="I124" s="100"/>
      <c r="J124" s="30"/>
    </row>
    <row r="125" spans="2:16" x14ac:dyDescent="0.25">
      <c r="I125" s="100"/>
      <c r="J125" s="30"/>
    </row>
    <row r="126" spans="2:16" x14ac:dyDescent="0.25">
      <c r="I126" s="100"/>
      <c r="J126" s="30"/>
    </row>
    <row r="127" spans="2:16" x14ac:dyDescent="0.25">
      <c r="I127" s="100"/>
      <c r="J127" s="69"/>
    </row>
    <row r="128" spans="2:16" x14ac:dyDescent="0.25">
      <c r="I128" s="100"/>
      <c r="J128" s="69"/>
    </row>
    <row r="148" spans="12:12" x14ac:dyDescent="0.25">
      <c r="L148" s="29"/>
    </row>
    <row r="171" spans="12:12" x14ac:dyDescent="0.25">
      <c r="L171" s="29"/>
    </row>
    <row r="298" spans="12:12" x14ac:dyDescent="0.25">
      <c r="L298" s="29"/>
    </row>
  </sheetData>
  <mergeCells count="8">
    <mergeCell ref="E118:H118"/>
    <mergeCell ref="E119:H119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R298"/>
  <sheetViews>
    <sheetView view="pageBreakPreview" topLeftCell="A11" zoomScale="106" zoomScaleNormal="100" zoomScaleSheetLayoutView="106" workbookViewId="0">
      <selection activeCell="K12" sqref="K12:K29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6" max="16" width="10.85546875" bestFit="1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945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169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255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32</v>
      </c>
      <c r="P5">
        <v>200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170</v>
      </c>
      <c r="K6" s="104"/>
      <c r="P6">
        <v>3000</v>
      </c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  <c r="P7" s="29">
        <f>SUM(H16:H26)</f>
        <v>26200</v>
      </c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  <c r="P8">
        <v>5000</v>
      </c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  <c r="P9" s="342">
        <f>SUM(P5:P8)</f>
        <v>34400</v>
      </c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6" x14ac:dyDescent="0.25">
      <c r="A12" s="98">
        <v>2</v>
      </c>
      <c r="B12" s="25" t="s">
        <v>952</v>
      </c>
      <c r="C12" s="25" t="s">
        <v>40</v>
      </c>
      <c r="D12" s="25" t="s">
        <v>175</v>
      </c>
      <c r="E12" s="25" t="s">
        <v>47</v>
      </c>
      <c r="F12" s="165" t="s">
        <v>953</v>
      </c>
      <c r="G12" s="58" t="s">
        <v>42</v>
      </c>
      <c r="H12" s="65">
        <v>200</v>
      </c>
      <c r="I12" s="74" t="s">
        <v>77</v>
      </c>
      <c r="J12" s="25" t="s">
        <v>954</v>
      </c>
      <c r="K12" s="25" t="s">
        <v>44</v>
      </c>
      <c r="M12">
        <f>H12/5</f>
        <v>40</v>
      </c>
    </row>
    <row r="13" spans="1:16" x14ac:dyDescent="0.25">
      <c r="A13" s="98">
        <v>3</v>
      </c>
      <c r="B13" s="25" t="s">
        <v>361</v>
      </c>
      <c r="C13" s="25" t="s">
        <v>40</v>
      </c>
      <c r="D13" s="25" t="s">
        <v>67</v>
      </c>
      <c r="E13" s="25" t="s">
        <v>47</v>
      </c>
      <c r="F13" s="165" t="s">
        <v>955</v>
      </c>
      <c r="G13" s="58" t="s">
        <v>475</v>
      </c>
      <c r="H13" s="65">
        <v>3000</v>
      </c>
      <c r="I13" s="74" t="s">
        <v>77</v>
      </c>
      <c r="J13" s="25" t="s">
        <v>954</v>
      </c>
      <c r="K13" s="25" t="s">
        <v>44</v>
      </c>
      <c r="M13">
        <f t="shared" ref="M13:M76" si="0">H13/5</f>
        <v>600</v>
      </c>
    </row>
    <row r="14" spans="1:16" x14ac:dyDescent="0.25">
      <c r="A14" s="98">
        <v>3</v>
      </c>
      <c r="B14" s="25" t="s">
        <v>956</v>
      </c>
      <c r="C14" s="25" t="s">
        <v>50</v>
      </c>
      <c r="D14" s="25" t="s">
        <v>181</v>
      </c>
      <c r="E14" s="25" t="s">
        <v>88</v>
      </c>
      <c r="F14" s="165" t="s">
        <v>957</v>
      </c>
      <c r="G14" s="58" t="s">
        <v>42</v>
      </c>
      <c r="H14" s="65">
        <v>3000</v>
      </c>
      <c r="I14" s="74" t="s">
        <v>77</v>
      </c>
      <c r="J14" s="25" t="s">
        <v>954</v>
      </c>
      <c r="K14" s="25" t="s">
        <v>44</v>
      </c>
      <c r="M14">
        <f t="shared" si="0"/>
        <v>600</v>
      </c>
    </row>
    <row r="15" spans="1:16" x14ac:dyDescent="0.25">
      <c r="A15" s="128">
        <v>6</v>
      </c>
      <c r="B15" s="169" t="s">
        <v>958</v>
      </c>
      <c r="C15" s="169" t="s">
        <v>40</v>
      </c>
      <c r="D15" s="169" t="s">
        <v>959</v>
      </c>
      <c r="E15" s="169" t="s">
        <v>960</v>
      </c>
      <c r="F15" s="170" t="s">
        <v>961</v>
      </c>
      <c r="G15" s="135" t="s">
        <v>475</v>
      </c>
      <c r="H15" s="136">
        <v>10000</v>
      </c>
      <c r="I15" s="168" t="s">
        <v>77</v>
      </c>
      <c r="J15" s="25" t="s">
        <v>954</v>
      </c>
      <c r="K15" s="25" t="s">
        <v>44</v>
      </c>
      <c r="M15">
        <f t="shared" si="0"/>
        <v>2000</v>
      </c>
      <c r="P15" s="181">
        <f>SUM(H16:H26)</f>
        <v>26200</v>
      </c>
    </row>
    <row r="16" spans="1:16" x14ac:dyDescent="0.25">
      <c r="A16" s="98">
        <v>6</v>
      </c>
      <c r="B16" s="25" t="s">
        <v>962</v>
      </c>
      <c r="C16" s="25" t="s">
        <v>40</v>
      </c>
      <c r="D16" s="25" t="s">
        <v>271</v>
      </c>
      <c r="E16" s="25" t="s">
        <v>54</v>
      </c>
      <c r="F16" s="165" t="s">
        <v>963</v>
      </c>
      <c r="G16" s="58" t="s">
        <v>42</v>
      </c>
      <c r="H16" s="65">
        <v>1000</v>
      </c>
      <c r="I16" s="74">
        <v>200</v>
      </c>
      <c r="J16" s="25" t="s">
        <v>954</v>
      </c>
      <c r="K16" s="25" t="s">
        <v>44</v>
      </c>
      <c r="M16">
        <f t="shared" si="0"/>
        <v>200</v>
      </c>
    </row>
    <row r="17" spans="1:16" x14ac:dyDescent="0.25">
      <c r="A17" s="98">
        <v>6</v>
      </c>
      <c r="B17" s="25" t="s">
        <v>964</v>
      </c>
      <c r="C17" s="25" t="s">
        <v>40</v>
      </c>
      <c r="D17" s="25" t="s">
        <v>109</v>
      </c>
      <c r="E17" s="25" t="s">
        <v>73</v>
      </c>
      <c r="F17" s="165"/>
      <c r="G17" s="58" t="s">
        <v>42</v>
      </c>
      <c r="H17" s="65">
        <v>1000</v>
      </c>
      <c r="I17" s="74">
        <v>200</v>
      </c>
      <c r="J17" s="25" t="s">
        <v>954</v>
      </c>
      <c r="K17" s="25" t="s">
        <v>44</v>
      </c>
      <c r="M17">
        <f t="shared" si="0"/>
        <v>200</v>
      </c>
    </row>
    <row r="18" spans="1:16" x14ac:dyDescent="0.25">
      <c r="A18" s="98">
        <v>6</v>
      </c>
      <c r="B18" s="25" t="s">
        <v>965</v>
      </c>
      <c r="C18" s="25" t="s">
        <v>40</v>
      </c>
      <c r="D18" s="25" t="s">
        <v>176</v>
      </c>
      <c r="E18" s="25" t="s">
        <v>53</v>
      </c>
      <c r="F18" s="165" t="s">
        <v>966</v>
      </c>
      <c r="G18" s="58" t="s">
        <v>967</v>
      </c>
      <c r="H18" s="65">
        <v>500</v>
      </c>
      <c r="I18" s="74">
        <v>100</v>
      </c>
      <c r="J18" s="25" t="s">
        <v>954</v>
      </c>
      <c r="K18" s="25" t="s">
        <v>44</v>
      </c>
      <c r="M18">
        <f t="shared" si="0"/>
        <v>100</v>
      </c>
    </row>
    <row r="19" spans="1:16" x14ac:dyDescent="0.25">
      <c r="A19" s="98">
        <v>7</v>
      </c>
      <c r="B19" s="25" t="s">
        <v>275</v>
      </c>
      <c r="C19" s="25" t="s">
        <v>40</v>
      </c>
      <c r="D19" s="25" t="s">
        <v>175</v>
      </c>
      <c r="E19" s="25" t="s">
        <v>61</v>
      </c>
      <c r="F19" s="165" t="s">
        <v>968</v>
      </c>
      <c r="G19" s="58" t="s">
        <v>42</v>
      </c>
      <c r="H19" s="65">
        <v>10000</v>
      </c>
      <c r="I19" s="74">
        <v>2000</v>
      </c>
      <c r="J19" s="25" t="s">
        <v>954</v>
      </c>
      <c r="K19" s="25" t="s">
        <v>44</v>
      </c>
      <c r="M19">
        <f t="shared" si="0"/>
        <v>2000</v>
      </c>
    </row>
    <row r="20" spans="1:16" x14ac:dyDescent="0.25">
      <c r="A20" s="132">
        <v>7</v>
      </c>
      <c r="B20" s="58" t="s">
        <v>969</v>
      </c>
      <c r="C20" s="58" t="s">
        <v>40</v>
      </c>
      <c r="D20" s="58" t="s">
        <v>970</v>
      </c>
      <c r="E20" s="58" t="s">
        <v>66</v>
      </c>
      <c r="F20" s="196" t="s">
        <v>971</v>
      </c>
      <c r="G20" s="58" t="s">
        <v>967</v>
      </c>
      <c r="H20" s="65">
        <v>2000</v>
      </c>
      <c r="I20" s="74">
        <v>400</v>
      </c>
      <c r="J20" s="25" t="s">
        <v>954</v>
      </c>
      <c r="K20" s="25" t="s">
        <v>44</v>
      </c>
      <c r="M20">
        <f t="shared" si="0"/>
        <v>400</v>
      </c>
    </row>
    <row r="21" spans="1:16" x14ac:dyDescent="0.25">
      <c r="A21" s="98">
        <v>8</v>
      </c>
      <c r="B21" s="25" t="s">
        <v>309</v>
      </c>
      <c r="C21" s="25" t="s">
        <v>40</v>
      </c>
      <c r="D21" s="25" t="s">
        <v>264</v>
      </c>
      <c r="E21" s="25" t="s">
        <v>61</v>
      </c>
      <c r="F21" s="165" t="s">
        <v>972</v>
      </c>
      <c r="G21" s="58" t="s">
        <v>42</v>
      </c>
      <c r="H21" s="65">
        <v>500</v>
      </c>
      <c r="I21" s="74">
        <v>100</v>
      </c>
      <c r="J21" s="25" t="s">
        <v>954</v>
      </c>
      <c r="K21" s="25" t="s">
        <v>44</v>
      </c>
      <c r="M21">
        <f t="shared" si="0"/>
        <v>100</v>
      </c>
    </row>
    <row r="22" spans="1:16" x14ac:dyDescent="0.25">
      <c r="A22" s="98">
        <v>8</v>
      </c>
      <c r="B22" s="25" t="s">
        <v>973</v>
      </c>
      <c r="C22" s="25" t="s">
        <v>40</v>
      </c>
      <c r="D22" s="25" t="s">
        <v>258</v>
      </c>
      <c r="E22" s="25" t="s">
        <v>65</v>
      </c>
      <c r="F22" s="165" t="s">
        <v>974</v>
      </c>
      <c r="G22" s="58" t="s">
        <v>42</v>
      </c>
      <c r="H22" s="65">
        <v>4000</v>
      </c>
      <c r="I22" s="74">
        <v>800</v>
      </c>
      <c r="J22" s="25" t="s">
        <v>954</v>
      </c>
      <c r="K22" s="25" t="s">
        <v>44</v>
      </c>
      <c r="M22">
        <f t="shared" si="0"/>
        <v>800</v>
      </c>
    </row>
    <row r="23" spans="1:16" x14ac:dyDescent="0.25">
      <c r="A23" s="98">
        <v>9</v>
      </c>
      <c r="B23" s="25" t="s">
        <v>975</v>
      </c>
      <c r="C23" s="25" t="s">
        <v>40</v>
      </c>
      <c r="D23" s="25" t="s">
        <v>249</v>
      </c>
      <c r="E23" s="25" t="s">
        <v>45</v>
      </c>
      <c r="F23" s="165" t="s">
        <v>976</v>
      </c>
      <c r="G23" s="58" t="s">
        <v>42</v>
      </c>
      <c r="H23" s="65">
        <v>200</v>
      </c>
      <c r="I23" s="74">
        <v>40</v>
      </c>
      <c r="J23" s="25" t="s">
        <v>954</v>
      </c>
      <c r="K23" s="25" t="s">
        <v>44</v>
      </c>
      <c r="M23">
        <f t="shared" si="0"/>
        <v>40</v>
      </c>
    </row>
    <row r="24" spans="1:16" x14ac:dyDescent="0.25">
      <c r="A24" s="98">
        <v>13</v>
      </c>
      <c r="B24" s="25" t="s">
        <v>191</v>
      </c>
      <c r="C24" s="25" t="s">
        <v>40</v>
      </c>
      <c r="D24" s="25" t="s">
        <v>192</v>
      </c>
      <c r="E24" s="25" t="s">
        <v>53</v>
      </c>
      <c r="F24" s="165"/>
      <c r="G24" s="58" t="s">
        <v>42</v>
      </c>
      <c r="H24" s="65">
        <v>5500</v>
      </c>
      <c r="I24" s="74">
        <v>1100</v>
      </c>
      <c r="J24" s="25" t="s">
        <v>954</v>
      </c>
      <c r="K24" s="25" t="s">
        <v>44</v>
      </c>
      <c r="M24">
        <f t="shared" si="0"/>
        <v>1100</v>
      </c>
    </row>
    <row r="25" spans="1:16" x14ac:dyDescent="0.25">
      <c r="A25" s="98">
        <v>13</v>
      </c>
      <c r="B25" s="25" t="s">
        <v>978</v>
      </c>
      <c r="C25" s="25" t="s">
        <v>40</v>
      </c>
      <c r="D25" s="25" t="s">
        <v>196</v>
      </c>
      <c r="E25" s="25" t="s">
        <v>46</v>
      </c>
      <c r="F25" s="165" t="s">
        <v>979</v>
      </c>
      <c r="G25" s="58" t="s">
        <v>42</v>
      </c>
      <c r="H25" s="65">
        <v>1000</v>
      </c>
      <c r="I25" s="74">
        <v>200</v>
      </c>
      <c r="J25" s="25" t="s">
        <v>954</v>
      </c>
      <c r="K25" s="25" t="s">
        <v>44</v>
      </c>
      <c r="M25">
        <f t="shared" si="0"/>
        <v>200</v>
      </c>
      <c r="P25" s="29"/>
    </row>
    <row r="26" spans="1:16" x14ac:dyDescent="0.25">
      <c r="A26" s="98">
        <v>13</v>
      </c>
      <c r="B26" s="25" t="s">
        <v>980</v>
      </c>
      <c r="C26" s="25" t="s">
        <v>40</v>
      </c>
      <c r="D26" s="25" t="s">
        <v>265</v>
      </c>
      <c r="E26" s="25" t="s">
        <v>55</v>
      </c>
      <c r="F26" s="165"/>
      <c r="G26" s="58" t="s">
        <v>42</v>
      </c>
      <c r="H26" s="65">
        <v>500</v>
      </c>
      <c r="I26" s="74">
        <v>100</v>
      </c>
      <c r="J26" s="25" t="s">
        <v>954</v>
      </c>
      <c r="K26" s="25" t="s">
        <v>44</v>
      </c>
      <c r="M26">
        <f t="shared" si="0"/>
        <v>100</v>
      </c>
    </row>
    <row r="27" spans="1:16" x14ac:dyDescent="0.25">
      <c r="A27" s="98">
        <v>13</v>
      </c>
      <c r="B27" s="25" t="s">
        <v>416</v>
      </c>
      <c r="C27" s="25" t="s">
        <v>40</v>
      </c>
      <c r="D27" s="25" t="s">
        <v>404</v>
      </c>
      <c r="E27" s="25" t="s">
        <v>73</v>
      </c>
      <c r="F27" s="165" t="s">
        <v>981</v>
      </c>
      <c r="G27" s="58" t="s">
        <v>358</v>
      </c>
      <c r="H27" s="65">
        <v>500</v>
      </c>
      <c r="I27" s="74">
        <v>500</v>
      </c>
      <c r="J27" s="25" t="s">
        <v>954</v>
      </c>
      <c r="K27" s="25" t="s">
        <v>44</v>
      </c>
      <c r="M27">
        <f t="shared" si="0"/>
        <v>100</v>
      </c>
    </row>
    <row r="28" spans="1:16" x14ac:dyDescent="0.25">
      <c r="A28" s="98">
        <v>14</v>
      </c>
      <c r="B28" s="25" t="s">
        <v>245</v>
      </c>
      <c r="C28" s="25" t="s">
        <v>40</v>
      </c>
      <c r="D28" s="25" t="s">
        <v>246</v>
      </c>
      <c r="E28" s="25" t="s">
        <v>60</v>
      </c>
      <c r="F28" s="165"/>
      <c r="G28" s="58" t="s">
        <v>358</v>
      </c>
      <c r="H28" s="65">
        <v>3000</v>
      </c>
      <c r="I28" s="74">
        <v>3000</v>
      </c>
      <c r="J28" s="25" t="s">
        <v>954</v>
      </c>
      <c r="K28" s="25" t="s">
        <v>44</v>
      </c>
      <c r="M28">
        <f t="shared" si="0"/>
        <v>600</v>
      </c>
    </row>
    <row r="29" spans="1:16" x14ac:dyDescent="0.25">
      <c r="A29" s="98">
        <v>14</v>
      </c>
      <c r="B29" s="25" t="s">
        <v>982</v>
      </c>
      <c r="C29" s="25" t="s">
        <v>40</v>
      </c>
      <c r="D29" s="25" t="s">
        <v>181</v>
      </c>
      <c r="E29" s="25" t="s">
        <v>107</v>
      </c>
      <c r="F29" s="165" t="s">
        <v>983</v>
      </c>
      <c r="G29" s="58" t="s">
        <v>42</v>
      </c>
      <c r="H29" s="65">
        <v>5000</v>
      </c>
      <c r="I29" s="74">
        <v>1000</v>
      </c>
      <c r="J29" s="25" t="s">
        <v>954</v>
      </c>
      <c r="K29" s="25" t="s">
        <v>44</v>
      </c>
      <c r="M29">
        <f t="shared" si="0"/>
        <v>1000</v>
      </c>
    </row>
    <row r="30" spans="1:16" x14ac:dyDescent="0.25">
      <c r="A30" s="98"/>
      <c r="B30" s="25"/>
      <c r="C30" s="25"/>
      <c r="D30" s="25"/>
      <c r="E30" s="25"/>
      <c r="F30" s="165"/>
      <c r="G30" s="58"/>
      <c r="H30" s="65"/>
      <c r="I30" s="74"/>
      <c r="J30" s="25"/>
      <c r="K30" s="25"/>
      <c r="M30">
        <f t="shared" si="0"/>
        <v>0</v>
      </c>
    </row>
    <row r="31" spans="1:16" x14ac:dyDescent="0.25">
      <c r="A31" s="98"/>
      <c r="B31" s="25"/>
      <c r="C31" s="25"/>
      <c r="D31" s="25"/>
      <c r="E31" s="25"/>
      <c r="F31" s="165"/>
      <c r="G31" s="58"/>
      <c r="H31" s="65"/>
      <c r="I31" s="74"/>
      <c r="J31" s="25"/>
      <c r="K31" s="25"/>
      <c r="M31">
        <f t="shared" si="0"/>
        <v>0</v>
      </c>
    </row>
    <row r="32" spans="1:16" x14ac:dyDescent="0.25">
      <c r="A32" s="98"/>
      <c r="B32" s="25"/>
      <c r="C32" s="25"/>
      <c r="D32" s="25"/>
      <c r="E32" s="25"/>
      <c r="F32" s="165"/>
      <c r="G32" s="25"/>
      <c r="H32" s="93"/>
      <c r="I32" s="73"/>
      <c r="J32" s="25"/>
      <c r="K32" s="25"/>
      <c r="M32">
        <f t="shared" si="0"/>
        <v>0</v>
      </c>
    </row>
    <row r="33" spans="1:18" x14ac:dyDescent="0.25">
      <c r="A33" s="98"/>
      <c r="B33" s="25"/>
      <c r="C33" s="25"/>
      <c r="D33" s="25"/>
      <c r="E33" s="25"/>
      <c r="F33" s="165"/>
      <c r="G33" s="25"/>
      <c r="H33" s="93"/>
      <c r="I33" s="73"/>
      <c r="J33" s="25"/>
      <c r="K33" s="25"/>
      <c r="M33">
        <f t="shared" si="0"/>
        <v>0</v>
      </c>
    </row>
    <row r="34" spans="1:18" x14ac:dyDescent="0.25">
      <c r="A34" s="98"/>
      <c r="B34" s="25"/>
      <c r="C34" s="25"/>
      <c r="D34" s="25"/>
      <c r="E34" s="25"/>
      <c r="F34" s="165"/>
      <c r="G34" s="25"/>
      <c r="H34" s="93"/>
      <c r="I34" s="73"/>
      <c r="J34" s="25"/>
      <c r="K34" s="25"/>
      <c r="M34">
        <f t="shared" si="0"/>
        <v>0</v>
      </c>
    </row>
    <row r="35" spans="1:18" x14ac:dyDescent="0.25">
      <c r="A35" s="98"/>
      <c r="B35" s="25"/>
      <c r="C35" s="25"/>
      <c r="D35" s="25"/>
      <c r="E35" s="25"/>
      <c r="F35" s="165"/>
      <c r="G35" s="25"/>
      <c r="H35" s="93"/>
      <c r="I35" s="73"/>
      <c r="J35" s="25"/>
      <c r="K35" s="25"/>
      <c r="M35">
        <f t="shared" si="0"/>
        <v>0</v>
      </c>
    </row>
    <row r="36" spans="1:18" x14ac:dyDescent="0.25">
      <c r="A36" s="98"/>
      <c r="B36" s="25"/>
      <c r="C36" s="25"/>
      <c r="D36" s="25"/>
      <c r="E36" s="25"/>
      <c r="F36" s="165"/>
      <c r="G36" s="25"/>
      <c r="H36" s="93"/>
      <c r="I36" s="73"/>
      <c r="J36" s="25"/>
      <c r="K36" s="25"/>
      <c r="M36">
        <f t="shared" si="0"/>
        <v>0</v>
      </c>
    </row>
    <row r="37" spans="1:18" x14ac:dyDescent="0.25">
      <c r="A37" s="98"/>
      <c r="B37" s="25"/>
      <c r="C37" s="25"/>
      <c r="D37" s="25"/>
      <c r="E37" s="25"/>
      <c r="F37" s="165"/>
      <c r="G37" s="25"/>
      <c r="H37" s="93"/>
      <c r="I37" s="73"/>
      <c r="J37" s="25"/>
      <c r="K37" s="25"/>
      <c r="M37">
        <f t="shared" si="0"/>
        <v>0</v>
      </c>
    </row>
    <row r="38" spans="1:18" x14ac:dyDescent="0.25">
      <c r="A38" s="98"/>
      <c r="B38" s="25"/>
      <c r="C38" s="25"/>
      <c r="D38" s="25"/>
      <c r="E38" s="25"/>
      <c r="F38" s="165"/>
      <c r="G38" s="25"/>
      <c r="H38" s="93"/>
      <c r="I38" s="73"/>
      <c r="J38" s="25"/>
      <c r="K38" s="25"/>
      <c r="M38">
        <f t="shared" si="0"/>
        <v>0</v>
      </c>
    </row>
    <row r="39" spans="1:18" x14ac:dyDescent="0.25">
      <c r="A39" s="98"/>
      <c r="B39" s="25"/>
      <c r="C39" s="25"/>
      <c r="D39" s="25"/>
      <c r="E39" s="25"/>
      <c r="F39" s="165"/>
      <c r="G39" s="25"/>
      <c r="H39" s="93"/>
      <c r="I39" s="73"/>
      <c r="J39" s="25"/>
      <c r="K39" s="25"/>
      <c r="M39">
        <f t="shared" si="0"/>
        <v>0</v>
      </c>
    </row>
    <row r="40" spans="1:18" x14ac:dyDescent="0.25">
      <c r="A40" s="98"/>
      <c r="B40" s="25"/>
      <c r="C40" s="25"/>
      <c r="D40" s="25"/>
      <c r="E40" s="25"/>
      <c r="F40" s="165"/>
      <c r="G40" s="25"/>
      <c r="H40" s="93"/>
      <c r="I40" s="73"/>
      <c r="J40" s="25"/>
      <c r="K40" s="25"/>
      <c r="M40">
        <f t="shared" si="0"/>
        <v>0</v>
      </c>
    </row>
    <row r="41" spans="1:18" x14ac:dyDescent="0.25">
      <c r="A41" s="98"/>
      <c r="B41" s="25"/>
      <c r="C41" s="25"/>
      <c r="D41" s="25"/>
      <c r="E41" s="25"/>
      <c r="F41" s="165"/>
      <c r="G41" s="25"/>
      <c r="H41" s="93"/>
      <c r="I41" s="73"/>
      <c r="J41" s="25"/>
      <c r="K41" s="25"/>
      <c r="M41">
        <f t="shared" si="0"/>
        <v>0</v>
      </c>
    </row>
    <row r="42" spans="1:18" x14ac:dyDescent="0.25">
      <c r="A42" s="98"/>
      <c r="B42" s="25"/>
      <c r="C42" s="25"/>
      <c r="D42" s="25"/>
      <c r="E42" s="25"/>
      <c r="F42" s="165"/>
      <c r="G42" s="25"/>
      <c r="H42" s="93"/>
      <c r="I42" s="73"/>
      <c r="J42" s="25"/>
      <c r="K42" s="25"/>
      <c r="M42">
        <f t="shared" si="0"/>
        <v>0</v>
      </c>
    </row>
    <row r="43" spans="1:18" x14ac:dyDescent="0.25">
      <c r="A43" s="98"/>
      <c r="B43" s="25"/>
      <c r="C43" s="25"/>
      <c r="D43" s="25"/>
      <c r="E43" s="25"/>
      <c r="F43" s="165"/>
      <c r="G43" s="25"/>
      <c r="H43" s="93"/>
      <c r="I43" s="73"/>
      <c r="J43" s="25"/>
      <c r="K43" s="25"/>
      <c r="M43">
        <f t="shared" si="0"/>
        <v>0</v>
      </c>
    </row>
    <row r="44" spans="1:18" x14ac:dyDescent="0.25">
      <c r="A44" s="98"/>
      <c r="B44" s="25"/>
      <c r="C44" s="25"/>
      <c r="D44" s="25"/>
      <c r="E44" s="25"/>
      <c r="F44" s="165"/>
      <c r="G44" s="25"/>
      <c r="H44" s="93"/>
      <c r="I44" s="73"/>
      <c r="J44" s="25"/>
      <c r="K44" s="25"/>
      <c r="M44">
        <f t="shared" si="0"/>
        <v>0</v>
      </c>
    </row>
    <row r="45" spans="1:18" x14ac:dyDescent="0.25">
      <c r="A45" s="98"/>
      <c r="B45" s="25"/>
      <c r="C45" s="25"/>
      <c r="D45" s="25"/>
      <c r="E45" s="25"/>
      <c r="F45" s="165"/>
      <c r="G45" s="25"/>
      <c r="H45" s="93"/>
      <c r="I45" s="73"/>
      <c r="J45" s="25"/>
      <c r="K45" s="25"/>
      <c r="M45">
        <f t="shared" si="0"/>
        <v>0</v>
      </c>
      <c r="R45" s="67"/>
    </row>
    <row r="46" spans="1:18" x14ac:dyDescent="0.25">
      <c r="A46" s="98"/>
      <c r="B46" s="25"/>
      <c r="C46" s="25"/>
      <c r="D46" s="25"/>
      <c r="E46" s="25"/>
      <c r="F46" s="165"/>
      <c r="G46" s="25"/>
      <c r="H46" s="93"/>
      <c r="I46" s="73"/>
      <c r="J46" s="25"/>
      <c r="K46" s="25"/>
      <c r="M46">
        <f t="shared" si="0"/>
        <v>0</v>
      </c>
    </row>
    <row r="47" spans="1:18" x14ac:dyDescent="0.25">
      <c r="A47" s="98"/>
      <c r="B47" s="25"/>
      <c r="C47" s="25"/>
      <c r="D47" s="25"/>
      <c r="E47" s="25"/>
      <c r="F47" s="165"/>
      <c r="G47" s="25"/>
      <c r="H47" s="93"/>
      <c r="I47" s="73"/>
      <c r="J47" s="25"/>
      <c r="K47" s="25"/>
      <c r="M47">
        <f t="shared" si="0"/>
        <v>0</v>
      </c>
    </row>
    <row r="48" spans="1:18" x14ac:dyDescent="0.25">
      <c r="A48" s="98"/>
      <c r="B48" s="25"/>
      <c r="C48" s="25"/>
      <c r="D48" s="25"/>
      <c r="E48" s="25"/>
      <c r="F48" s="165"/>
      <c r="G48" s="25"/>
      <c r="H48" s="93"/>
      <c r="I48" s="73"/>
      <c r="J48" s="25"/>
      <c r="K48" s="25"/>
      <c r="M48">
        <f t="shared" si="0"/>
        <v>0</v>
      </c>
      <c r="R48" s="67"/>
    </row>
    <row r="49" spans="1:13" x14ac:dyDescent="0.25">
      <c r="A49" s="98"/>
      <c r="B49" s="25"/>
      <c r="C49" s="25"/>
      <c r="D49" s="25"/>
      <c r="E49" s="25"/>
      <c r="F49" s="165"/>
      <c r="G49" s="25"/>
      <c r="H49" s="93"/>
      <c r="I49" s="73"/>
      <c r="J49" s="25"/>
      <c r="K49" s="25"/>
      <c r="M49">
        <f t="shared" si="0"/>
        <v>0</v>
      </c>
    </row>
    <row r="50" spans="1:13" x14ac:dyDescent="0.25">
      <c r="A50" s="98"/>
      <c r="B50" s="25"/>
      <c r="C50" s="25"/>
      <c r="D50" s="25"/>
      <c r="E50" s="25"/>
      <c r="F50" s="165"/>
      <c r="G50" s="25"/>
      <c r="H50" s="93"/>
      <c r="I50" s="73"/>
      <c r="J50" s="25"/>
      <c r="K50" s="25"/>
      <c r="M50">
        <f t="shared" si="0"/>
        <v>0</v>
      </c>
    </row>
    <row r="51" spans="1:13" x14ac:dyDescent="0.25">
      <c r="A51" s="98"/>
      <c r="B51" s="25"/>
      <c r="C51" s="25"/>
      <c r="D51" s="25"/>
      <c r="E51" s="25"/>
      <c r="F51" s="165"/>
      <c r="G51" s="25"/>
      <c r="H51" s="93"/>
      <c r="I51" s="73"/>
      <c r="J51" s="25"/>
      <c r="K51" s="25"/>
      <c r="M51">
        <f t="shared" si="0"/>
        <v>0</v>
      </c>
    </row>
    <row r="52" spans="1:13" x14ac:dyDescent="0.25">
      <c r="A52" s="98"/>
      <c r="B52" s="58"/>
      <c r="C52" s="58"/>
      <c r="D52" s="58"/>
      <c r="E52" s="58"/>
      <c r="F52" s="196"/>
      <c r="G52" s="58"/>
      <c r="H52" s="58"/>
      <c r="I52" s="58"/>
      <c r="J52" s="25"/>
      <c r="K52" s="25"/>
      <c r="M52">
        <f t="shared" si="0"/>
        <v>0</v>
      </c>
    </row>
    <row r="53" spans="1:13" x14ac:dyDescent="0.25">
      <c r="A53" s="98"/>
      <c r="B53" s="58"/>
      <c r="C53" s="25"/>
      <c r="D53" s="25"/>
      <c r="E53" s="25"/>
      <c r="F53" s="165"/>
      <c r="G53" s="25"/>
      <c r="H53" s="93"/>
      <c r="I53" s="73"/>
      <c r="J53" s="25"/>
      <c r="K53" s="25"/>
      <c r="M53">
        <f t="shared" si="0"/>
        <v>0</v>
      </c>
    </row>
    <row r="54" spans="1:13" x14ac:dyDescent="0.25">
      <c r="A54" s="98"/>
      <c r="B54" s="58"/>
      <c r="C54" s="25"/>
      <c r="D54" s="25"/>
      <c r="E54" s="25"/>
      <c r="F54" s="165"/>
      <c r="G54" s="25"/>
      <c r="H54" s="93"/>
      <c r="I54" s="73"/>
      <c r="J54" s="25"/>
      <c r="K54" s="25"/>
      <c r="M54">
        <f t="shared" si="0"/>
        <v>0</v>
      </c>
    </row>
    <row r="55" spans="1:13" x14ac:dyDescent="0.25">
      <c r="A55" s="98"/>
      <c r="B55" s="58"/>
      <c r="C55" s="25"/>
      <c r="D55" s="25"/>
      <c r="E55" s="25"/>
      <c r="F55" s="165"/>
      <c r="G55" s="25"/>
      <c r="H55" s="93"/>
      <c r="I55" s="73"/>
      <c r="J55" s="25"/>
      <c r="K55" s="25"/>
      <c r="M55">
        <f t="shared" si="0"/>
        <v>0</v>
      </c>
    </row>
    <row r="56" spans="1:13" x14ac:dyDescent="0.25">
      <c r="A56" s="98"/>
      <c r="B56" s="58"/>
      <c r="C56" s="25"/>
      <c r="D56" s="25"/>
      <c r="E56" s="25"/>
      <c r="F56" s="165"/>
      <c r="G56" s="25"/>
      <c r="H56" s="93"/>
      <c r="I56" s="73"/>
      <c r="J56" s="25"/>
      <c r="K56" s="25"/>
      <c r="M56">
        <f t="shared" si="0"/>
        <v>0</v>
      </c>
    </row>
    <row r="57" spans="1:13" x14ac:dyDescent="0.25">
      <c r="A57" s="98"/>
      <c r="B57" s="58"/>
      <c r="C57" s="25"/>
      <c r="D57" s="25"/>
      <c r="E57" s="25"/>
      <c r="F57" s="165"/>
      <c r="G57" s="25"/>
      <c r="H57" s="93"/>
      <c r="I57" s="73"/>
      <c r="J57" s="25"/>
      <c r="K57" s="25"/>
      <c r="M57">
        <f t="shared" si="0"/>
        <v>0</v>
      </c>
    </row>
    <row r="58" spans="1:13" x14ac:dyDescent="0.25">
      <c r="A58" s="98"/>
      <c r="B58" s="58"/>
      <c r="C58" s="25"/>
      <c r="D58" s="25"/>
      <c r="E58" s="25"/>
      <c r="F58" s="165"/>
      <c r="G58" s="25"/>
      <c r="H58" s="93"/>
      <c r="I58" s="73"/>
      <c r="J58" s="25"/>
      <c r="K58" s="25"/>
      <c r="M58">
        <f t="shared" si="0"/>
        <v>0</v>
      </c>
    </row>
    <row r="59" spans="1:13" x14ac:dyDescent="0.25">
      <c r="A59" s="98"/>
      <c r="B59" s="58"/>
      <c r="C59" s="25"/>
      <c r="D59" s="25"/>
      <c r="E59" s="25"/>
      <c r="F59" s="165"/>
      <c r="G59" s="25"/>
      <c r="H59" s="93"/>
      <c r="I59" s="73"/>
      <c r="J59" s="25"/>
      <c r="K59" s="25"/>
      <c r="M59">
        <f t="shared" si="0"/>
        <v>0</v>
      </c>
    </row>
    <row r="60" spans="1:13" x14ac:dyDescent="0.25">
      <c r="A60" s="98"/>
      <c r="B60" s="58"/>
      <c r="C60" s="25"/>
      <c r="D60" s="25"/>
      <c r="E60" s="25"/>
      <c r="F60" s="165"/>
      <c r="G60" s="25"/>
      <c r="H60" s="93"/>
      <c r="I60" s="73"/>
      <c r="J60" s="25"/>
      <c r="K60" s="25"/>
      <c r="M60">
        <f t="shared" si="0"/>
        <v>0</v>
      </c>
    </row>
    <row r="61" spans="1:13" x14ac:dyDescent="0.25">
      <c r="A61" s="98"/>
      <c r="B61" s="58"/>
      <c r="C61" s="25"/>
      <c r="D61" s="25"/>
      <c r="E61" s="25"/>
      <c r="F61" s="165"/>
      <c r="G61" s="25"/>
      <c r="H61" s="93"/>
      <c r="I61" s="73"/>
      <c r="J61" s="25"/>
      <c r="K61" s="25"/>
      <c r="M61">
        <f t="shared" si="0"/>
        <v>0</v>
      </c>
    </row>
    <row r="62" spans="1:13" x14ac:dyDescent="0.25">
      <c r="A62" s="98"/>
      <c r="B62" s="58"/>
      <c r="C62" s="25"/>
      <c r="D62" s="25"/>
      <c r="E62" s="25"/>
      <c r="F62" s="165"/>
      <c r="G62" s="25"/>
      <c r="H62" s="93"/>
      <c r="I62" s="73"/>
      <c r="J62" s="25"/>
      <c r="K62" s="25"/>
      <c r="M62">
        <f t="shared" si="0"/>
        <v>0</v>
      </c>
    </row>
    <row r="63" spans="1:13" x14ac:dyDescent="0.25">
      <c r="A63" s="98"/>
      <c r="B63" s="58"/>
      <c r="C63" s="25"/>
      <c r="D63" s="25"/>
      <c r="E63" s="25"/>
      <c r="F63" s="165"/>
      <c r="G63" s="25"/>
      <c r="H63" s="93"/>
      <c r="I63" s="73"/>
      <c r="J63" s="25"/>
      <c r="K63" s="25"/>
      <c r="M63">
        <f t="shared" si="0"/>
        <v>0</v>
      </c>
    </row>
    <row r="64" spans="1:13" x14ac:dyDescent="0.25">
      <c r="A64" s="98"/>
      <c r="B64" s="58"/>
      <c r="C64" s="25"/>
      <c r="D64" s="25"/>
      <c r="E64" s="25"/>
      <c r="F64" s="165"/>
      <c r="G64" s="25"/>
      <c r="H64" s="93"/>
      <c r="I64" s="73"/>
      <c r="J64" s="25"/>
      <c r="K64" s="25"/>
      <c r="M64">
        <f t="shared" si="0"/>
        <v>0</v>
      </c>
    </row>
    <row r="65" spans="1:13" x14ac:dyDescent="0.25">
      <c r="A65" s="98"/>
      <c r="B65" s="58"/>
      <c r="C65" s="25"/>
      <c r="D65" s="25"/>
      <c r="E65" s="25"/>
      <c r="F65" s="165"/>
      <c r="G65" s="25"/>
      <c r="H65" s="93"/>
      <c r="I65" s="73"/>
      <c r="J65" s="25"/>
      <c r="K65" s="25"/>
      <c r="M65">
        <f t="shared" si="0"/>
        <v>0</v>
      </c>
    </row>
    <row r="66" spans="1:13" x14ac:dyDescent="0.25">
      <c r="A66" s="98"/>
      <c r="B66" s="58"/>
      <c r="C66" s="25"/>
      <c r="D66" s="25"/>
      <c r="E66" s="25"/>
      <c r="F66" s="165"/>
      <c r="G66" s="25"/>
      <c r="H66" s="93"/>
      <c r="I66" s="73"/>
      <c r="J66" s="25"/>
      <c r="K66" s="25"/>
      <c r="M66">
        <f t="shared" si="0"/>
        <v>0</v>
      </c>
    </row>
    <row r="67" spans="1:13" x14ac:dyDescent="0.25">
      <c r="A67" s="98"/>
      <c r="B67" s="58"/>
      <c r="C67" s="25"/>
      <c r="D67" s="25"/>
      <c r="E67" s="25"/>
      <c r="F67" s="165"/>
      <c r="G67" s="25"/>
      <c r="H67" s="93"/>
      <c r="I67" s="73"/>
      <c r="J67" s="25"/>
      <c r="K67" s="25"/>
      <c r="M67">
        <f t="shared" si="0"/>
        <v>0</v>
      </c>
    </row>
    <row r="68" spans="1:13" x14ac:dyDescent="0.25">
      <c r="A68" s="98"/>
      <c r="B68" s="58"/>
      <c r="C68" s="25"/>
      <c r="D68" s="25"/>
      <c r="E68" s="25"/>
      <c r="F68" s="165"/>
      <c r="G68" s="25"/>
      <c r="H68" s="93"/>
      <c r="I68" s="73"/>
      <c r="J68" s="25"/>
      <c r="K68" s="25"/>
      <c r="M68">
        <f t="shared" si="0"/>
        <v>0</v>
      </c>
    </row>
    <row r="69" spans="1:13" x14ac:dyDescent="0.25">
      <c r="A69" s="98"/>
      <c r="B69" s="58"/>
      <c r="C69" s="25"/>
      <c r="D69" s="25"/>
      <c r="E69" s="25"/>
      <c r="F69" s="165"/>
      <c r="G69" s="25"/>
      <c r="H69" s="93"/>
      <c r="I69" s="73"/>
      <c r="J69" s="25"/>
      <c r="K69" s="25"/>
      <c r="M69">
        <f t="shared" si="0"/>
        <v>0</v>
      </c>
    </row>
    <row r="70" spans="1:13" x14ac:dyDescent="0.25">
      <c r="A70" s="98"/>
      <c r="B70" s="58"/>
      <c r="C70" s="25"/>
      <c r="D70" s="25"/>
      <c r="E70" s="25"/>
      <c r="F70" s="165"/>
      <c r="G70" s="25"/>
      <c r="H70" s="93"/>
      <c r="I70" s="73"/>
      <c r="J70" s="25"/>
      <c r="K70" s="25"/>
      <c r="M70">
        <f t="shared" si="0"/>
        <v>0</v>
      </c>
    </row>
    <row r="71" spans="1:13" x14ac:dyDescent="0.25">
      <c r="A71" s="98"/>
      <c r="B71" s="58"/>
      <c r="C71" s="25"/>
      <c r="D71" s="25"/>
      <c r="E71" s="25"/>
      <c r="F71" s="165"/>
      <c r="G71" s="25"/>
      <c r="H71" s="93"/>
      <c r="I71" s="73"/>
      <c r="J71" s="25"/>
      <c r="K71" s="25"/>
      <c r="M71">
        <f t="shared" si="0"/>
        <v>0</v>
      </c>
    </row>
    <row r="72" spans="1:13" x14ac:dyDescent="0.25">
      <c r="A72" s="98"/>
      <c r="B72" s="58"/>
      <c r="C72" s="25"/>
      <c r="D72" s="25"/>
      <c r="E72" s="25"/>
      <c r="F72" s="165"/>
      <c r="G72" s="25"/>
      <c r="H72" s="93"/>
      <c r="I72" s="73"/>
      <c r="J72" s="25"/>
      <c r="K72" s="25"/>
      <c r="M72">
        <f t="shared" si="0"/>
        <v>0</v>
      </c>
    </row>
    <row r="73" spans="1:13" x14ac:dyDescent="0.25">
      <c r="A73" s="98"/>
      <c r="B73" s="58"/>
      <c r="C73" s="25"/>
      <c r="D73" s="25"/>
      <c r="E73" s="25"/>
      <c r="F73" s="165"/>
      <c r="G73" s="25"/>
      <c r="H73" s="93"/>
      <c r="I73" s="73"/>
      <c r="J73" s="25"/>
      <c r="K73" s="25"/>
      <c r="M73">
        <f t="shared" si="0"/>
        <v>0</v>
      </c>
    </row>
    <row r="74" spans="1:13" x14ac:dyDescent="0.25">
      <c r="A74" s="98"/>
      <c r="B74" s="58"/>
      <c r="C74" s="25"/>
      <c r="D74" s="25"/>
      <c r="E74" s="25"/>
      <c r="F74" s="165"/>
      <c r="G74" s="25"/>
      <c r="H74" s="93"/>
      <c r="I74" s="73"/>
      <c r="J74" s="25"/>
      <c r="K74" s="25"/>
      <c r="M74">
        <f t="shared" si="0"/>
        <v>0</v>
      </c>
    </row>
    <row r="75" spans="1:13" x14ac:dyDescent="0.25">
      <c r="A75" s="98"/>
      <c r="B75" s="58"/>
      <c r="C75" s="25"/>
      <c r="D75" s="25"/>
      <c r="E75" s="25"/>
      <c r="F75" s="165"/>
      <c r="G75" s="25"/>
      <c r="H75" s="93"/>
      <c r="I75" s="73"/>
      <c r="J75" s="25"/>
      <c r="K75" s="25"/>
      <c r="M75">
        <f t="shared" si="0"/>
        <v>0</v>
      </c>
    </row>
    <row r="76" spans="1:13" x14ac:dyDescent="0.25">
      <c r="A76" s="98"/>
      <c r="B76" s="58"/>
      <c r="C76" s="25"/>
      <c r="D76" s="25"/>
      <c r="E76" s="25"/>
      <c r="F76" s="165"/>
      <c r="G76" s="25"/>
      <c r="H76" s="93"/>
      <c r="I76" s="73"/>
      <c r="J76" s="25"/>
      <c r="K76" s="25"/>
      <c r="M76">
        <f t="shared" si="0"/>
        <v>0</v>
      </c>
    </row>
    <row r="77" spans="1:13" x14ac:dyDescent="0.25">
      <c r="A77" s="98"/>
      <c r="B77" s="58"/>
      <c r="C77" s="25"/>
      <c r="D77" s="25"/>
      <c r="E77" s="25"/>
      <c r="F77" s="165"/>
      <c r="G77" s="25"/>
      <c r="H77" s="93"/>
      <c r="I77" s="73"/>
      <c r="J77" s="25"/>
      <c r="K77" s="25"/>
      <c r="M77">
        <f t="shared" ref="M77:M110" si="1">H77/5</f>
        <v>0</v>
      </c>
    </row>
    <row r="78" spans="1:13" x14ac:dyDescent="0.25">
      <c r="A78" s="98"/>
      <c r="B78" s="58"/>
      <c r="C78" s="25"/>
      <c r="D78" s="25"/>
      <c r="E78" s="25"/>
      <c r="F78" s="165"/>
      <c r="G78" s="25"/>
      <c r="H78" s="93"/>
      <c r="I78" s="73"/>
      <c r="J78" s="25"/>
      <c r="K78" s="25"/>
      <c r="M78">
        <f t="shared" si="1"/>
        <v>0</v>
      </c>
    </row>
    <row r="79" spans="1:13" x14ac:dyDescent="0.25">
      <c r="A79" s="98"/>
      <c r="B79" s="58"/>
      <c r="C79" s="25"/>
      <c r="D79" s="25"/>
      <c r="E79" s="25"/>
      <c r="F79" s="165"/>
      <c r="G79" s="25"/>
      <c r="H79" s="93"/>
      <c r="I79" s="73"/>
      <c r="J79" s="25"/>
      <c r="K79" s="25"/>
      <c r="M79">
        <f t="shared" si="1"/>
        <v>0</v>
      </c>
    </row>
    <row r="80" spans="1:13" x14ac:dyDescent="0.25">
      <c r="A80" s="98"/>
      <c r="B80" s="94"/>
      <c r="C80" s="25"/>
      <c r="D80" s="25"/>
      <c r="E80" s="25"/>
      <c r="F80" s="165"/>
      <c r="G80" s="25"/>
      <c r="H80" s="93"/>
      <c r="I80" s="73"/>
      <c r="J80" s="25"/>
      <c r="K80" s="25"/>
      <c r="M80">
        <f t="shared" si="1"/>
        <v>0</v>
      </c>
    </row>
    <row r="81" spans="1:17" x14ac:dyDescent="0.25">
      <c r="A81" s="98"/>
      <c r="B81" s="94"/>
      <c r="C81" s="25"/>
      <c r="D81" s="25"/>
      <c r="E81" s="25"/>
      <c r="F81" s="165"/>
      <c r="G81" s="25"/>
      <c r="H81" s="93"/>
      <c r="I81" s="73"/>
      <c r="J81" s="25"/>
      <c r="K81" s="25"/>
      <c r="M81">
        <f t="shared" si="1"/>
        <v>0</v>
      </c>
    </row>
    <row r="82" spans="1:17" x14ac:dyDescent="0.25">
      <c r="A82" s="98"/>
      <c r="B82" s="94"/>
      <c r="C82" s="25"/>
      <c r="D82" s="25"/>
      <c r="E82" s="25"/>
      <c r="F82" s="165"/>
      <c r="G82" s="25"/>
      <c r="H82" s="93"/>
      <c r="I82" s="73"/>
      <c r="J82" s="25"/>
      <c r="K82" s="25"/>
      <c r="M82">
        <f t="shared" si="1"/>
        <v>0</v>
      </c>
    </row>
    <row r="83" spans="1:17" x14ac:dyDescent="0.25">
      <c r="A83" s="98"/>
      <c r="B83" s="94"/>
      <c r="C83" s="25"/>
      <c r="D83" s="25"/>
      <c r="E83" s="25"/>
      <c r="F83" s="165"/>
      <c r="G83" s="25"/>
      <c r="H83" s="93"/>
      <c r="I83" s="73"/>
      <c r="J83" s="25"/>
      <c r="K83" s="25"/>
      <c r="M83">
        <f t="shared" si="1"/>
        <v>0</v>
      </c>
    </row>
    <row r="84" spans="1:17" x14ac:dyDescent="0.25">
      <c r="A84" s="98"/>
      <c r="B84" s="94"/>
      <c r="C84" s="25"/>
      <c r="D84" s="25"/>
      <c r="E84" s="25"/>
      <c r="F84" s="165"/>
      <c r="G84" s="25"/>
      <c r="H84" s="93"/>
      <c r="I84" s="73"/>
      <c r="J84" s="25"/>
      <c r="K84" s="25"/>
      <c r="M84">
        <f t="shared" si="1"/>
        <v>0</v>
      </c>
    </row>
    <row r="85" spans="1:17" x14ac:dyDescent="0.25">
      <c r="A85" s="98"/>
      <c r="B85" s="94"/>
      <c r="C85" s="25"/>
      <c r="D85" s="25"/>
      <c r="E85" s="25"/>
      <c r="F85" s="165"/>
      <c r="G85" s="25"/>
      <c r="H85" s="93"/>
      <c r="I85" s="73"/>
      <c r="J85" s="25"/>
      <c r="K85" s="25"/>
      <c r="M85">
        <f t="shared" si="1"/>
        <v>0</v>
      </c>
    </row>
    <row r="86" spans="1:17" x14ac:dyDescent="0.25">
      <c r="A86" s="98"/>
      <c r="B86" s="94"/>
      <c r="C86" s="25"/>
      <c r="D86" s="25"/>
      <c r="E86" s="25"/>
      <c r="F86" s="165"/>
      <c r="G86" s="25"/>
      <c r="H86" s="93"/>
      <c r="I86" s="73"/>
      <c r="J86" s="25"/>
      <c r="K86" s="25"/>
      <c r="M86">
        <f t="shared" si="1"/>
        <v>0</v>
      </c>
    </row>
    <row r="87" spans="1:17" x14ac:dyDescent="0.25">
      <c r="A87" s="98"/>
      <c r="B87" s="94"/>
      <c r="C87" s="25"/>
      <c r="D87" s="25"/>
      <c r="E87" s="25"/>
      <c r="F87" s="165"/>
      <c r="G87" s="25"/>
      <c r="H87" s="93"/>
      <c r="I87" s="73"/>
      <c r="J87" s="25"/>
      <c r="K87" s="25"/>
      <c r="M87">
        <f t="shared" si="1"/>
        <v>0</v>
      </c>
    </row>
    <row r="88" spans="1:17" x14ac:dyDescent="0.25">
      <c r="A88" s="98"/>
      <c r="B88" s="94"/>
      <c r="C88" s="25"/>
      <c r="D88" s="25"/>
      <c r="E88" s="25"/>
      <c r="F88" s="165"/>
      <c r="G88" s="25"/>
      <c r="H88" s="93"/>
      <c r="I88" s="73"/>
      <c r="J88" s="25"/>
      <c r="K88" s="25"/>
      <c r="M88">
        <f t="shared" si="1"/>
        <v>0</v>
      </c>
    </row>
    <row r="89" spans="1:17" x14ac:dyDescent="0.25">
      <c r="A89" s="98"/>
      <c r="B89" s="94"/>
      <c r="C89" s="25"/>
      <c r="D89" s="25"/>
      <c r="E89" s="25"/>
      <c r="F89" s="165"/>
      <c r="G89" s="25"/>
      <c r="H89" s="93"/>
      <c r="I89" s="73"/>
      <c r="J89" s="25"/>
      <c r="K89" s="25"/>
      <c r="M89">
        <f t="shared" si="1"/>
        <v>0</v>
      </c>
      <c r="Q89" s="67"/>
    </row>
    <row r="90" spans="1:17" x14ac:dyDescent="0.25">
      <c r="A90" s="98"/>
      <c r="B90" s="94"/>
      <c r="C90" s="25"/>
      <c r="D90" s="25"/>
      <c r="E90" s="25"/>
      <c r="F90" s="165"/>
      <c r="G90" s="25"/>
      <c r="H90" s="93"/>
      <c r="I90" s="73"/>
      <c r="J90" s="25"/>
      <c r="K90" s="25"/>
      <c r="M90">
        <f t="shared" si="1"/>
        <v>0</v>
      </c>
    </row>
    <row r="91" spans="1:17" x14ac:dyDescent="0.25">
      <c r="A91" s="98"/>
      <c r="B91" s="94"/>
      <c r="C91" s="25"/>
      <c r="D91" s="25"/>
      <c r="E91" s="25"/>
      <c r="F91" s="165"/>
      <c r="G91" s="25"/>
      <c r="H91" s="93"/>
      <c r="I91" s="73"/>
      <c r="J91" s="25"/>
      <c r="K91" s="25"/>
      <c r="M91">
        <f t="shared" si="1"/>
        <v>0</v>
      </c>
    </row>
    <row r="92" spans="1:17" x14ac:dyDescent="0.25">
      <c r="A92" s="98"/>
      <c r="B92" s="94"/>
      <c r="C92" s="25"/>
      <c r="D92" s="25"/>
      <c r="E92" s="25"/>
      <c r="F92" s="165"/>
      <c r="G92" s="25"/>
      <c r="H92" s="93"/>
      <c r="I92" s="73"/>
      <c r="J92" s="25"/>
      <c r="K92" s="25"/>
      <c r="M92">
        <f t="shared" si="1"/>
        <v>0</v>
      </c>
    </row>
    <row r="93" spans="1:17" x14ac:dyDescent="0.25">
      <c r="A93" s="98"/>
      <c r="B93" s="94"/>
      <c r="C93" s="25"/>
      <c r="D93" s="25"/>
      <c r="E93" s="25"/>
      <c r="F93" s="165"/>
      <c r="G93" s="25"/>
      <c r="H93" s="93"/>
      <c r="I93" s="73"/>
      <c r="J93" s="25"/>
      <c r="K93" s="25"/>
      <c r="M93">
        <f t="shared" si="1"/>
        <v>0</v>
      </c>
    </row>
    <row r="94" spans="1:17" x14ac:dyDescent="0.25">
      <c r="A94" s="98"/>
      <c r="B94" s="94"/>
      <c r="C94" s="25"/>
      <c r="D94" s="25"/>
      <c r="E94" s="25"/>
      <c r="F94" s="165"/>
      <c r="G94" s="25"/>
      <c r="H94" s="93"/>
      <c r="I94" s="73"/>
      <c r="J94" s="25"/>
      <c r="K94" s="25"/>
      <c r="M94">
        <f t="shared" si="1"/>
        <v>0</v>
      </c>
    </row>
    <row r="95" spans="1:17" x14ac:dyDescent="0.25">
      <c r="A95" s="98"/>
      <c r="B95" s="94"/>
      <c r="C95" s="25"/>
      <c r="D95" s="25"/>
      <c r="E95" s="25"/>
      <c r="F95" s="165"/>
      <c r="G95" s="25"/>
      <c r="H95" s="93"/>
      <c r="I95" s="73"/>
      <c r="J95" s="25"/>
      <c r="K95" s="25"/>
      <c r="M95">
        <f t="shared" si="1"/>
        <v>0</v>
      </c>
    </row>
    <row r="96" spans="1:17" x14ac:dyDescent="0.25">
      <c r="A96" s="98"/>
      <c r="B96" s="94"/>
      <c r="C96" s="25"/>
      <c r="D96" s="25"/>
      <c r="E96" s="25"/>
      <c r="F96" s="165"/>
      <c r="G96" s="25"/>
      <c r="H96" s="93"/>
      <c r="I96" s="73"/>
      <c r="J96" s="25"/>
      <c r="K96" s="25"/>
      <c r="M96">
        <f t="shared" si="1"/>
        <v>0</v>
      </c>
    </row>
    <row r="97" spans="1:13" x14ac:dyDescent="0.25">
      <c r="A97" s="98"/>
      <c r="B97" s="94"/>
      <c r="C97" s="25"/>
      <c r="D97" s="25"/>
      <c r="E97" s="25"/>
      <c r="F97" s="165"/>
      <c r="G97" s="25"/>
      <c r="H97" s="93"/>
      <c r="I97" s="73"/>
      <c r="J97" s="25"/>
      <c r="K97" s="25"/>
      <c r="M97">
        <f t="shared" si="1"/>
        <v>0</v>
      </c>
    </row>
    <row r="98" spans="1:13" x14ac:dyDescent="0.25">
      <c r="A98" s="98"/>
      <c r="B98" s="94"/>
      <c r="C98" s="25"/>
      <c r="D98" s="25"/>
      <c r="E98" s="25"/>
      <c r="F98" s="165"/>
      <c r="G98" s="25"/>
      <c r="H98" s="93"/>
      <c r="I98" s="73"/>
      <c r="J98" s="25"/>
      <c r="K98" s="25"/>
      <c r="M98">
        <f t="shared" si="1"/>
        <v>0</v>
      </c>
    </row>
    <row r="99" spans="1:13" x14ac:dyDescent="0.25">
      <c r="A99" s="98"/>
      <c r="B99" s="94"/>
      <c r="C99" s="25"/>
      <c r="D99" s="25"/>
      <c r="E99" s="25"/>
      <c r="F99" s="165"/>
      <c r="G99" s="25"/>
      <c r="H99" s="93"/>
      <c r="I99" s="73"/>
      <c r="J99" s="25"/>
      <c r="K99" s="25"/>
      <c r="M99">
        <f t="shared" si="1"/>
        <v>0</v>
      </c>
    </row>
    <row r="100" spans="1:13" x14ac:dyDescent="0.25">
      <c r="A100" s="98"/>
      <c r="B100" s="94"/>
      <c r="C100" s="25"/>
      <c r="D100" s="25"/>
      <c r="E100" s="25"/>
      <c r="F100" s="165"/>
      <c r="G100" s="25"/>
      <c r="H100" s="93"/>
      <c r="I100" s="73"/>
      <c r="J100" s="25"/>
      <c r="K100" s="25"/>
      <c r="M100">
        <f t="shared" si="1"/>
        <v>0</v>
      </c>
    </row>
    <row r="101" spans="1:13" x14ac:dyDescent="0.25">
      <c r="A101" s="98"/>
      <c r="B101" s="94"/>
      <c r="C101" s="25"/>
      <c r="D101" s="25"/>
      <c r="E101" s="25"/>
      <c r="F101" s="165"/>
      <c r="G101" s="25"/>
      <c r="H101" s="93"/>
      <c r="I101" s="73"/>
      <c r="J101" s="25"/>
      <c r="K101" s="25"/>
      <c r="M101">
        <f t="shared" si="1"/>
        <v>0</v>
      </c>
    </row>
    <row r="102" spans="1:13" x14ac:dyDescent="0.25">
      <c r="A102" s="98"/>
      <c r="B102" s="94"/>
      <c r="C102" s="25"/>
      <c r="D102" s="25"/>
      <c r="E102" s="25"/>
      <c r="F102" s="165"/>
      <c r="G102" s="25"/>
      <c r="H102" s="93"/>
      <c r="I102" s="73"/>
      <c r="J102" s="25"/>
      <c r="K102" s="25"/>
      <c r="M102">
        <f t="shared" si="1"/>
        <v>0</v>
      </c>
    </row>
    <row r="103" spans="1:13" x14ac:dyDescent="0.25">
      <c r="A103" s="98"/>
      <c r="B103" s="94"/>
      <c r="C103" s="25"/>
      <c r="D103" s="25"/>
      <c r="E103" s="25"/>
      <c r="F103" s="165"/>
      <c r="G103" s="25"/>
      <c r="H103" s="93"/>
      <c r="I103" s="73"/>
      <c r="J103" s="25"/>
      <c r="K103" s="25"/>
      <c r="M103">
        <f t="shared" si="1"/>
        <v>0</v>
      </c>
    </row>
    <row r="104" spans="1:13" x14ac:dyDescent="0.25">
      <c r="A104" s="98"/>
      <c r="B104" s="94"/>
      <c r="C104" s="25"/>
      <c r="D104" s="25"/>
      <c r="E104" s="25"/>
      <c r="F104" s="165"/>
      <c r="G104" s="25"/>
      <c r="H104" s="93"/>
      <c r="I104" s="73"/>
      <c r="J104" s="25"/>
      <c r="K104" s="25"/>
      <c r="M104">
        <f t="shared" si="1"/>
        <v>0</v>
      </c>
    </row>
    <row r="105" spans="1:13" x14ac:dyDescent="0.25">
      <c r="A105" s="98"/>
      <c r="B105" s="94"/>
      <c r="C105" s="25"/>
      <c r="D105" s="25"/>
      <c r="E105" s="25"/>
      <c r="F105" s="165"/>
      <c r="G105" s="25"/>
      <c r="H105" s="93"/>
      <c r="I105" s="73"/>
      <c r="J105" s="25"/>
      <c r="K105" s="25"/>
      <c r="M105">
        <f t="shared" si="1"/>
        <v>0</v>
      </c>
    </row>
    <row r="106" spans="1:13" x14ac:dyDescent="0.25">
      <c r="A106" s="98"/>
      <c r="B106" s="94"/>
      <c r="C106" s="25"/>
      <c r="D106" s="25"/>
      <c r="E106" s="25"/>
      <c r="F106" s="165"/>
      <c r="G106" s="25"/>
      <c r="H106" s="93"/>
      <c r="I106" s="73"/>
      <c r="J106" s="25"/>
      <c r="K106" s="25"/>
      <c r="M106">
        <f t="shared" si="1"/>
        <v>0</v>
      </c>
    </row>
    <row r="107" spans="1:13" x14ac:dyDescent="0.25">
      <c r="A107" s="98"/>
      <c r="B107" s="94"/>
      <c r="C107" s="25"/>
      <c r="D107" s="25"/>
      <c r="E107" s="25"/>
      <c r="F107" s="165"/>
      <c r="G107" s="25"/>
      <c r="H107" s="93"/>
      <c r="I107" s="73"/>
      <c r="J107" s="25"/>
      <c r="K107" s="25"/>
      <c r="M107">
        <f t="shared" si="1"/>
        <v>0</v>
      </c>
    </row>
    <row r="108" spans="1:13" x14ac:dyDescent="0.25">
      <c r="A108" s="98"/>
      <c r="B108" s="94"/>
      <c r="C108" s="25"/>
      <c r="D108" s="25"/>
      <c r="E108" s="25"/>
      <c r="F108" s="165"/>
      <c r="G108" s="25"/>
      <c r="H108" s="93"/>
      <c r="I108" s="73"/>
      <c r="J108" s="25"/>
      <c r="K108" s="25"/>
      <c r="M108">
        <f t="shared" si="1"/>
        <v>0</v>
      </c>
    </row>
    <row r="109" spans="1:13" x14ac:dyDescent="0.25">
      <c r="A109" s="98"/>
      <c r="B109" s="94"/>
      <c r="C109" s="25"/>
      <c r="D109" s="25"/>
      <c r="E109" s="25"/>
      <c r="F109" s="165"/>
      <c r="G109" s="25"/>
      <c r="H109" s="93"/>
      <c r="I109" s="73"/>
      <c r="J109" s="25"/>
      <c r="K109" s="25"/>
      <c r="M109">
        <f t="shared" si="1"/>
        <v>0</v>
      </c>
    </row>
    <row r="110" spans="1:13" x14ac:dyDescent="0.25">
      <c r="A110" s="98"/>
      <c r="B110" s="94"/>
      <c r="C110" s="25"/>
      <c r="D110" s="25"/>
      <c r="E110" s="25"/>
      <c r="F110" s="165"/>
      <c r="G110" s="25"/>
      <c r="H110" s="93"/>
      <c r="I110" s="73"/>
      <c r="J110" s="25"/>
      <c r="K110" s="25"/>
      <c r="M110">
        <f t="shared" si="1"/>
        <v>0</v>
      </c>
    </row>
    <row r="111" spans="1:13" x14ac:dyDescent="0.25">
      <c r="A111" s="97"/>
      <c r="B111" s="94"/>
      <c r="C111" s="25"/>
      <c r="D111" s="25"/>
      <c r="E111" s="25"/>
      <c r="F111" s="165"/>
      <c r="G111" s="25"/>
      <c r="H111" s="93"/>
      <c r="I111" s="73"/>
      <c r="J111" s="25"/>
      <c r="K111" s="25"/>
      <c r="M111">
        <f>SUM(M12:M110)</f>
        <v>10180</v>
      </c>
    </row>
    <row r="112" spans="1:13" x14ac:dyDescent="0.25">
      <c r="H112" s="29"/>
      <c r="I112" s="108"/>
    </row>
    <row r="114" spans="2:16" x14ac:dyDescent="0.25">
      <c r="I114" s="110" t="s">
        <v>19</v>
      </c>
      <c r="J114" s="30"/>
    </row>
    <row r="115" spans="2:16" ht="16.5" customHeight="1" x14ac:dyDescent="0.25">
      <c r="B115" t="s">
        <v>20</v>
      </c>
      <c r="E115" t="s">
        <v>21</v>
      </c>
      <c r="I115" s="100" t="s">
        <v>136</v>
      </c>
      <c r="J115" s="115" t="s">
        <v>943</v>
      </c>
      <c r="P115" s="29"/>
    </row>
    <row r="116" spans="2:16" x14ac:dyDescent="0.25">
      <c r="I116" s="100" t="s">
        <v>137</v>
      </c>
      <c r="J116" s="115" t="s">
        <v>942</v>
      </c>
      <c r="K116" s="67"/>
    </row>
    <row r="117" spans="2:16" x14ac:dyDescent="0.25">
      <c r="I117" s="100" t="s">
        <v>138</v>
      </c>
      <c r="J117" s="115">
        <v>0</v>
      </c>
    </row>
    <row r="118" spans="2:16" x14ac:dyDescent="0.25">
      <c r="B118" s="111" t="s">
        <v>98</v>
      </c>
      <c r="E118" s="455" t="s">
        <v>22</v>
      </c>
      <c r="F118" s="455"/>
      <c r="G118" s="455"/>
      <c r="H118" s="455"/>
      <c r="I118" s="100" t="s">
        <v>139</v>
      </c>
      <c r="J118" s="115">
        <v>0</v>
      </c>
    </row>
    <row r="119" spans="2:16" x14ac:dyDescent="0.25">
      <c r="B119" t="s">
        <v>115</v>
      </c>
      <c r="E119" s="444" t="s">
        <v>163</v>
      </c>
      <c r="F119" s="444"/>
      <c r="G119" s="444"/>
      <c r="H119" s="444"/>
      <c r="I119" s="100" t="s">
        <v>143</v>
      </c>
      <c r="J119" s="115">
        <v>0</v>
      </c>
    </row>
    <row r="120" spans="2:16" x14ac:dyDescent="0.25">
      <c r="I120" s="112" t="s">
        <v>135</v>
      </c>
      <c r="J120" s="115">
        <v>0</v>
      </c>
    </row>
    <row r="121" spans="2:16" x14ac:dyDescent="0.25">
      <c r="I121" s="100" t="s">
        <v>23</v>
      </c>
      <c r="J121" s="117"/>
    </row>
    <row r="122" spans="2:16" x14ac:dyDescent="0.25">
      <c r="I122" s="113" t="s">
        <v>133</v>
      </c>
      <c r="J122" s="118" t="s">
        <v>944</v>
      </c>
    </row>
    <row r="123" spans="2:16" x14ac:dyDescent="0.25">
      <c r="I123" s="113" t="s">
        <v>134</v>
      </c>
      <c r="J123" s="69"/>
    </row>
    <row r="124" spans="2:16" x14ac:dyDescent="0.25">
      <c r="B124" s="31"/>
      <c r="E124" s="31"/>
      <c r="F124" s="31"/>
      <c r="G124" s="31"/>
      <c r="I124" s="100"/>
      <c r="J124" s="30"/>
    </row>
    <row r="125" spans="2:16" x14ac:dyDescent="0.25">
      <c r="I125" s="100"/>
      <c r="J125" s="30"/>
    </row>
    <row r="126" spans="2:16" x14ac:dyDescent="0.25">
      <c r="I126" s="100"/>
      <c r="J126" s="30"/>
    </row>
    <row r="127" spans="2:16" x14ac:dyDescent="0.25">
      <c r="I127" s="100"/>
      <c r="J127" s="69"/>
    </row>
    <row r="128" spans="2:16" x14ac:dyDescent="0.25">
      <c r="I128" s="100"/>
      <c r="J128" s="69"/>
    </row>
    <row r="148" spans="12:12" x14ac:dyDescent="0.25">
      <c r="L148" s="29"/>
    </row>
    <row r="171" spans="12:12" x14ac:dyDescent="0.25">
      <c r="L171" s="29"/>
    </row>
    <row r="298" spans="12:12" x14ac:dyDescent="0.25">
      <c r="L298" s="29"/>
    </row>
  </sheetData>
  <mergeCells count="8">
    <mergeCell ref="E118:H118"/>
    <mergeCell ref="E119:H119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O28"/>
  <sheetViews>
    <sheetView view="pageBreakPreview" zoomScale="96" zoomScaleNormal="100" zoomScaleSheetLayoutView="96" workbookViewId="0">
      <selection activeCell="L12" sqref="L12:L13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46" t="s">
        <v>945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217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3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0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1</v>
      </c>
      <c r="B12" s="221" t="s">
        <v>946</v>
      </c>
      <c r="C12" s="25"/>
      <c r="D12" s="25" t="s">
        <v>947</v>
      </c>
      <c r="E12" s="25" t="s">
        <v>948</v>
      </c>
      <c r="F12" s="222" t="s">
        <v>949</v>
      </c>
      <c r="G12" s="55"/>
      <c r="H12" s="225" t="s">
        <v>42</v>
      </c>
      <c r="I12" s="93">
        <v>2500</v>
      </c>
      <c r="J12" s="57" t="s">
        <v>77</v>
      </c>
      <c r="K12" s="94"/>
      <c r="L12" s="25" t="s">
        <v>44</v>
      </c>
      <c r="M12" s="173"/>
    </row>
    <row r="13" spans="1:15" ht="28.5" customHeight="1" x14ac:dyDescent="0.25">
      <c r="A13" s="98">
        <v>2</v>
      </c>
      <c r="B13" s="302" t="s">
        <v>950</v>
      </c>
      <c r="C13" s="25"/>
      <c r="D13" s="94" t="s">
        <v>372</v>
      </c>
      <c r="E13" s="94" t="s">
        <v>94</v>
      </c>
      <c r="F13" s="165" t="s">
        <v>951</v>
      </c>
      <c r="G13" s="94"/>
      <c r="H13" s="301" t="s">
        <v>475</v>
      </c>
      <c r="I13" s="93">
        <v>411</v>
      </c>
      <c r="J13" s="305" t="s">
        <v>77</v>
      </c>
      <c r="K13" s="94"/>
      <c r="L13" s="25" t="s">
        <v>44</v>
      </c>
      <c r="M13" s="173"/>
      <c r="O13" s="67"/>
    </row>
    <row r="14" spans="1:15" ht="29.25" customHeight="1" x14ac:dyDescent="0.25">
      <c r="A14" s="98"/>
      <c r="B14" s="302"/>
      <c r="C14" s="27"/>
      <c r="D14" s="94"/>
      <c r="E14" s="94"/>
      <c r="F14" s="165"/>
      <c r="G14" s="94"/>
      <c r="H14" s="303"/>
      <c r="I14" s="93"/>
      <c r="J14" s="305"/>
      <c r="K14" s="94"/>
      <c r="L14" s="94"/>
      <c r="O14" s="67"/>
    </row>
    <row r="15" spans="1:15" ht="16.5" customHeight="1" x14ac:dyDescent="0.25">
      <c r="A15" s="72"/>
      <c r="B15" s="302"/>
      <c r="C15" s="27"/>
      <c r="D15" s="94"/>
      <c r="E15" s="94"/>
      <c r="F15" s="165"/>
      <c r="G15" s="94"/>
      <c r="H15" s="304"/>
      <c r="I15" s="93"/>
      <c r="J15" s="57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165"/>
      <c r="G16" s="94"/>
      <c r="H16" s="130"/>
      <c r="I16" s="93"/>
      <c r="J16" s="25"/>
      <c r="K16" s="94"/>
      <c r="L16" s="94"/>
      <c r="O16" s="67"/>
    </row>
    <row r="17" spans="2:12" x14ac:dyDescent="0.25">
      <c r="I17" s="30"/>
      <c r="J17" s="30"/>
    </row>
    <row r="18" spans="2:12" x14ac:dyDescent="0.25">
      <c r="I18" s="59" t="s">
        <v>19</v>
      </c>
      <c r="J18" s="30"/>
    </row>
    <row r="19" spans="2:12" x14ac:dyDescent="0.25">
      <c r="I19" s="30" t="s">
        <v>136</v>
      </c>
      <c r="J19" s="30"/>
    </row>
    <row r="20" spans="2:12" x14ac:dyDescent="0.25">
      <c r="B20" t="s">
        <v>20</v>
      </c>
      <c r="E20" t="s">
        <v>21</v>
      </c>
      <c r="I20" s="30" t="s">
        <v>137</v>
      </c>
      <c r="J20" s="118" t="s">
        <v>941</v>
      </c>
    </row>
    <row r="21" spans="2:12" x14ac:dyDescent="0.25">
      <c r="I21" s="30"/>
      <c r="J21" s="118"/>
    </row>
    <row r="22" spans="2:12" x14ac:dyDescent="0.25">
      <c r="I22" s="30" t="s">
        <v>138</v>
      </c>
      <c r="J22" s="115">
        <v>0</v>
      </c>
    </row>
    <row r="23" spans="2:12" x14ac:dyDescent="0.25">
      <c r="I23" s="30" t="s">
        <v>142</v>
      </c>
      <c r="J23" s="115">
        <v>0</v>
      </c>
    </row>
    <row r="24" spans="2:12" x14ac:dyDescent="0.25">
      <c r="B24" s="31" t="s">
        <v>98</v>
      </c>
      <c r="E24" s="443" t="s">
        <v>22</v>
      </c>
      <c r="F24" s="443"/>
      <c r="G24" s="443"/>
      <c r="H24" s="443"/>
      <c r="I24" s="30" t="s">
        <v>143</v>
      </c>
      <c r="J24" s="115">
        <v>0</v>
      </c>
      <c r="L24" s="67"/>
    </row>
    <row r="25" spans="2:12" x14ac:dyDescent="0.25">
      <c r="B25" t="s">
        <v>115</v>
      </c>
      <c r="E25" s="444" t="s">
        <v>163</v>
      </c>
      <c r="F25" s="444"/>
      <c r="G25" s="444"/>
      <c r="H25" s="444"/>
      <c r="I25" s="30" t="s">
        <v>144</v>
      </c>
      <c r="J25" s="115">
        <v>0</v>
      </c>
      <c r="L25" s="67"/>
    </row>
    <row r="26" spans="2:12" x14ac:dyDescent="0.25">
      <c r="I26" s="30" t="s">
        <v>23</v>
      </c>
      <c r="J26" s="117"/>
    </row>
    <row r="27" spans="2:12" x14ac:dyDescent="0.25">
      <c r="I27" s="4" t="s">
        <v>145</v>
      </c>
      <c r="J27" s="118"/>
    </row>
    <row r="28" spans="2:12" x14ac:dyDescent="0.25">
      <c r="I28" s="4" t="s">
        <v>108</v>
      </c>
      <c r="J28" s="118"/>
    </row>
  </sheetData>
  <mergeCells count="9">
    <mergeCell ref="A8:B8"/>
    <mergeCell ref="E24:H24"/>
    <mergeCell ref="E25:H2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A1:R298"/>
  <sheetViews>
    <sheetView view="pageBreakPreview" topLeftCell="A106" zoomScale="106" zoomScaleNormal="100" zoomScaleSheetLayoutView="106" workbookViewId="0">
      <selection activeCell="P11" sqref="P11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</cols>
  <sheetData>
    <row r="1" spans="1:16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6" ht="18" x14ac:dyDescent="0.25">
      <c r="A2" s="446" t="s">
        <v>792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</row>
    <row r="3" spans="1:16" x14ac:dyDescent="0.25">
      <c r="B3" s="2"/>
      <c r="C3" s="4"/>
      <c r="D3" s="2"/>
      <c r="E3" s="2"/>
      <c r="G3" s="4"/>
      <c r="H3" s="80"/>
      <c r="I3" s="100"/>
      <c r="J3" s="101" t="s">
        <v>169</v>
      </c>
      <c r="K3" s="102"/>
    </row>
    <row r="4" spans="1:16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255</v>
      </c>
    </row>
    <row r="5" spans="1:16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32</v>
      </c>
    </row>
    <row r="6" spans="1:16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170</v>
      </c>
      <c r="K6" s="104"/>
    </row>
    <row r="7" spans="1:16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</row>
    <row r="8" spans="1:16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6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</row>
    <row r="10" spans="1:16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6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  <c r="P11" s="341">
        <f>SUM(H12:H110)</f>
        <v>388950</v>
      </c>
    </row>
    <row r="12" spans="1:16" x14ac:dyDescent="0.25">
      <c r="A12" s="224">
        <v>2</v>
      </c>
      <c r="B12" s="218" t="s">
        <v>793</v>
      </c>
      <c r="C12" s="218" t="s">
        <v>50</v>
      </c>
      <c r="D12" s="218" t="s">
        <v>71</v>
      </c>
      <c r="E12" s="218" t="s">
        <v>61</v>
      </c>
      <c r="F12" s="222" t="s">
        <v>794</v>
      </c>
      <c r="G12" s="215" t="s">
        <v>42</v>
      </c>
      <c r="H12" s="216">
        <v>500</v>
      </c>
      <c r="I12" s="217">
        <v>100</v>
      </c>
      <c r="J12" s="25" t="s">
        <v>43</v>
      </c>
      <c r="K12" s="25" t="s">
        <v>44</v>
      </c>
      <c r="M12">
        <f>H12/5</f>
        <v>100</v>
      </c>
    </row>
    <row r="13" spans="1:16" x14ac:dyDescent="0.25">
      <c r="A13" s="98">
        <v>2</v>
      </c>
      <c r="B13" s="25" t="s">
        <v>795</v>
      </c>
      <c r="C13" s="25" t="s">
        <v>40</v>
      </c>
      <c r="D13" s="25" t="s">
        <v>293</v>
      </c>
      <c r="E13" s="25" t="s">
        <v>54</v>
      </c>
      <c r="F13" s="165" t="s">
        <v>323</v>
      </c>
      <c r="G13" s="58" t="s">
        <v>42</v>
      </c>
      <c r="H13" s="65">
        <v>500</v>
      </c>
      <c r="I13" s="74">
        <v>100</v>
      </c>
      <c r="J13" s="25" t="s">
        <v>43</v>
      </c>
      <c r="K13" s="25" t="s">
        <v>44</v>
      </c>
      <c r="M13">
        <f t="shared" ref="M13:M76" si="0">H13/5</f>
        <v>100</v>
      </c>
    </row>
    <row r="14" spans="1:16" x14ac:dyDescent="0.25">
      <c r="A14" s="98">
        <v>2</v>
      </c>
      <c r="B14" s="25" t="s">
        <v>796</v>
      </c>
      <c r="C14" s="25" t="s">
        <v>50</v>
      </c>
      <c r="D14" s="25" t="s">
        <v>236</v>
      </c>
      <c r="E14" s="25" t="s">
        <v>45</v>
      </c>
      <c r="F14" s="165" t="s">
        <v>589</v>
      </c>
      <c r="G14" s="58" t="s">
        <v>42</v>
      </c>
      <c r="H14" s="65">
        <v>1300</v>
      </c>
      <c r="I14" s="74">
        <v>260</v>
      </c>
      <c r="J14" s="25" t="s">
        <v>43</v>
      </c>
      <c r="K14" s="25" t="s">
        <v>44</v>
      </c>
      <c r="M14">
        <f t="shared" si="0"/>
        <v>260</v>
      </c>
    </row>
    <row r="15" spans="1:16" x14ac:dyDescent="0.25">
      <c r="A15" s="98">
        <v>2</v>
      </c>
      <c r="B15" s="25" t="s">
        <v>310</v>
      </c>
      <c r="C15" s="25" t="s">
        <v>40</v>
      </c>
      <c r="D15" s="25" t="s">
        <v>178</v>
      </c>
      <c r="E15" s="25" t="s">
        <v>46</v>
      </c>
      <c r="F15" s="165"/>
      <c r="G15" s="58" t="s">
        <v>42</v>
      </c>
      <c r="H15" s="65">
        <v>15000</v>
      </c>
      <c r="I15" s="74">
        <v>3000</v>
      </c>
      <c r="J15" s="25" t="s">
        <v>43</v>
      </c>
      <c r="K15" s="25" t="s">
        <v>44</v>
      </c>
      <c r="M15">
        <f t="shared" si="0"/>
        <v>3000</v>
      </c>
    </row>
    <row r="16" spans="1:16" x14ac:dyDescent="0.25">
      <c r="A16" s="98">
        <v>2</v>
      </c>
      <c r="B16" s="25" t="s">
        <v>797</v>
      </c>
      <c r="C16" s="25" t="s">
        <v>40</v>
      </c>
      <c r="D16" s="25" t="s">
        <v>168</v>
      </c>
      <c r="E16" s="25" t="s">
        <v>46</v>
      </c>
      <c r="F16" s="165"/>
      <c r="G16" s="58" t="s">
        <v>42</v>
      </c>
      <c r="H16" s="65">
        <v>5000</v>
      </c>
      <c r="I16" s="74">
        <v>1000</v>
      </c>
      <c r="J16" s="25" t="s">
        <v>43</v>
      </c>
      <c r="K16" s="25" t="s">
        <v>44</v>
      </c>
      <c r="M16">
        <f t="shared" si="0"/>
        <v>1000</v>
      </c>
    </row>
    <row r="17" spans="1:16" x14ac:dyDescent="0.25">
      <c r="A17" s="98">
        <v>2</v>
      </c>
      <c r="B17" s="25" t="s">
        <v>369</v>
      </c>
      <c r="C17" s="25" t="s">
        <v>40</v>
      </c>
      <c r="D17" s="25" t="s">
        <v>178</v>
      </c>
      <c r="E17" s="25" t="s">
        <v>46</v>
      </c>
      <c r="F17" s="165"/>
      <c r="G17" s="58" t="s">
        <v>42</v>
      </c>
      <c r="H17" s="65">
        <v>12000</v>
      </c>
      <c r="I17" s="74">
        <v>2400</v>
      </c>
      <c r="J17" s="25" t="s">
        <v>43</v>
      </c>
      <c r="K17" s="25" t="s">
        <v>44</v>
      </c>
      <c r="M17">
        <f t="shared" si="0"/>
        <v>2400</v>
      </c>
    </row>
    <row r="18" spans="1:16" x14ac:dyDescent="0.25">
      <c r="A18" s="98">
        <v>2</v>
      </c>
      <c r="B18" s="25" t="s">
        <v>373</v>
      </c>
      <c r="C18" s="25" t="s">
        <v>40</v>
      </c>
      <c r="D18" s="25" t="s">
        <v>102</v>
      </c>
      <c r="E18" s="25" t="s">
        <v>63</v>
      </c>
      <c r="F18" s="165"/>
      <c r="G18" s="58" t="s">
        <v>42</v>
      </c>
      <c r="H18" s="65">
        <v>1000</v>
      </c>
      <c r="I18" s="74">
        <v>200</v>
      </c>
      <c r="J18" s="25" t="s">
        <v>43</v>
      </c>
      <c r="K18" s="25" t="s">
        <v>44</v>
      </c>
      <c r="M18">
        <f t="shared" si="0"/>
        <v>200</v>
      </c>
    </row>
    <row r="19" spans="1:16" x14ac:dyDescent="0.25">
      <c r="A19" s="98">
        <v>2</v>
      </c>
      <c r="B19" s="25" t="s">
        <v>798</v>
      </c>
      <c r="C19" s="25" t="s">
        <v>50</v>
      </c>
      <c r="D19" s="25" t="s">
        <v>84</v>
      </c>
      <c r="E19" s="25" t="s">
        <v>63</v>
      </c>
      <c r="F19" s="165"/>
      <c r="G19" s="58" t="s">
        <v>42</v>
      </c>
      <c r="H19" s="65">
        <v>500</v>
      </c>
      <c r="I19" s="74">
        <v>100</v>
      </c>
      <c r="J19" s="25" t="s">
        <v>43</v>
      </c>
      <c r="K19" s="25" t="s">
        <v>44</v>
      </c>
      <c r="M19">
        <f t="shared" si="0"/>
        <v>100</v>
      </c>
    </row>
    <row r="20" spans="1:16" x14ac:dyDescent="0.25">
      <c r="A20" s="132">
        <v>2</v>
      </c>
      <c r="B20" s="58" t="s">
        <v>799</v>
      </c>
      <c r="C20" s="58" t="s">
        <v>50</v>
      </c>
      <c r="D20" s="58" t="s">
        <v>65</v>
      </c>
      <c r="E20" s="58" t="s">
        <v>45</v>
      </c>
      <c r="F20" s="196" t="s">
        <v>800</v>
      </c>
      <c r="G20" s="58" t="s">
        <v>42</v>
      </c>
      <c r="H20" s="65">
        <v>500</v>
      </c>
      <c r="I20" s="74">
        <v>100</v>
      </c>
      <c r="J20" s="58" t="s">
        <v>43</v>
      </c>
      <c r="K20" s="58" t="s">
        <v>44</v>
      </c>
      <c r="M20">
        <f t="shared" si="0"/>
        <v>100</v>
      </c>
    </row>
    <row r="21" spans="1:16" x14ac:dyDescent="0.25">
      <c r="A21" s="98">
        <v>5</v>
      </c>
      <c r="B21" s="25" t="s">
        <v>804</v>
      </c>
      <c r="C21" s="25" t="s">
        <v>40</v>
      </c>
      <c r="D21" s="25" t="s">
        <v>805</v>
      </c>
      <c r="E21" s="25" t="s">
        <v>45</v>
      </c>
      <c r="F21" s="165" t="s">
        <v>806</v>
      </c>
      <c r="G21" s="58" t="s">
        <v>42</v>
      </c>
      <c r="H21" s="65">
        <v>300</v>
      </c>
      <c r="I21" s="74">
        <v>60</v>
      </c>
      <c r="J21" s="25" t="s">
        <v>43</v>
      </c>
      <c r="K21" s="25" t="s">
        <v>44</v>
      </c>
      <c r="M21">
        <f t="shared" si="0"/>
        <v>60</v>
      </c>
    </row>
    <row r="22" spans="1:16" x14ac:dyDescent="0.25">
      <c r="A22" s="98">
        <v>5</v>
      </c>
      <c r="B22" s="25" t="s">
        <v>188</v>
      </c>
      <c r="C22" s="25" t="s">
        <v>50</v>
      </c>
      <c r="D22" s="25" t="s">
        <v>178</v>
      </c>
      <c r="E22" s="25" t="s">
        <v>46</v>
      </c>
      <c r="F22" s="165"/>
      <c r="G22" s="58" t="s">
        <v>42</v>
      </c>
      <c r="H22" s="65">
        <v>20000</v>
      </c>
      <c r="I22" s="74">
        <v>4000</v>
      </c>
      <c r="J22" s="25" t="s">
        <v>43</v>
      </c>
      <c r="K22" s="25" t="s">
        <v>44</v>
      </c>
      <c r="M22">
        <f t="shared" si="0"/>
        <v>4000</v>
      </c>
    </row>
    <row r="23" spans="1:16" x14ac:dyDescent="0.25">
      <c r="A23" s="98">
        <v>5</v>
      </c>
      <c r="B23" s="25" t="s">
        <v>336</v>
      </c>
      <c r="C23" s="25" t="s">
        <v>40</v>
      </c>
      <c r="D23" s="25" t="s">
        <v>807</v>
      </c>
      <c r="E23" s="25" t="s">
        <v>53</v>
      </c>
      <c r="F23" s="165" t="s">
        <v>337</v>
      </c>
      <c r="G23" s="58" t="s">
        <v>42</v>
      </c>
      <c r="H23" s="65">
        <v>300</v>
      </c>
      <c r="I23" s="74">
        <v>60</v>
      </c>
      <c r="J23" s="25" t="s">
        <v>43</v>
      </c>
      <c r="K23" s="25" t="s">
        <v>44</v>
      </c>
      <c r="M23">
        <f t="shared" si="0"/>
        <v>60</v>
      </c>
    </row>
    <row r="24" spans="1:16" x14ac:dyDescent="0.25">
      <c r="A24" s="98">
        <v>5</v>
      </c>
      <c r="B24" s="25" t="s">
        <v>808</v>
      </c>
      <c r="C24" s="25" t="s">
        <v>40</v>
      </c>
      <c r="D24" s="25" t="s">
        <v>809</v>
      </c>
      <c r="E24" s="25" t="s">
        <v>67</v>
      </c>
      <c r="F24" s="165" t="s">
        <v>810</v>
      </c>
      <c r="G24" s="58" t="s">
        <v>42</v>
      </c>
      <c r="H24" s="65">
        <v>1000</v>
      </c>
      <c r="I24" s="74">
        <v>200</v>
      </c>
      <c r="J24" s="25" t="s">
        <v>43</v>
      </c>
      <c r="K24" s="25" t="s">
        <v>44</v>
      </c>
      <c r="M24">
        <f t="shared" si="0"/>
        <v>200</v>
      </c>
    </row>
    <row r="25" spans="1:16" x14ac:dyDescent="0.25">
      <c r="A25" s="224">
        <v>5</v>
      </c>
      <c r="B25" s="25" t="s">
        <v>811</v>
      </c>
      <c r="C25" s="25" t="s">
        <v>50</v>
      </c>
      <c r="D25" s="25" t="s">
        <v>812</v>
      </c>
      <c r="E25" s="25" t="s">
        <v>45</v>
      </c>
      <c r="F25" s="165" t="s">
        <v>813</v>
      </c>
      <c r="G25" s="58" t="s">
        <v>42</v>
      </c>
      <c r="H25" s="65">
        <v>3500</v>
      </c>
      <c r="I25" s="74">
        <v>700</v>
      </c>
      <c r="J25" s="25" t="s">
        <v>43</v>
      </c>
      <c r="K25" s="25" t="s">
        <v>44</v>
      </c>
      <c r="M25">
        <f t="shared" si="0"/>
        <v>700</v>
      </c>
      <c r="P25" s="29"/>
    </row>
    <row r="26" spans="1:16" x14ac:dyDescent="0.25">
      <c r="A26" s="98">
        <v>5</v>
      </c>
      <c r="B26" s="25" t="s">
        <v>814</v>
      </c>
      <c r="C26" s="25" t="s">
        <v>40</v>
      </c>
      <c r="D26" s="25" t="s">
        <v>258</v>
      </c>
      <c r="E26" s="25" t="s">
        <v>65</v>
      </c>
      <c r="F26" s="165" t="s">
        <v>815</v>
      </c>
      <c r="G26" s="215" t="s">
        <v>42</v>
      </c>
      <c r="H26" s="216">
        <v>4000</v>
      </c>
      <c r="I26" s="217">
        <v>800</v>
      </c>
      <c r="J26" s="25" t="s">
        <v>43</v>
      </c>
      <c r="K26" s="25" t="s">
        <v>44</v>
      </c>
      <c r="M26">
        <f t="shared" si="0"/>
        <v>800</v>
      </c>
    </row>
    <row r="27" spans="1:16" x14ac:dyDescent="0.25">
      <c r="A27" s="98">
        <v>6</v>
      </c>
      <c r="B27" s="25" t="s">
        <v>816</v>
      </c>
      <c r="C27" s="25" t="s">
        <v>40</v>
      </c>
      <c r="D27" s="25" t="s">
        <v>205</v>
      </c>
      <c r="E27" s="25" t="s">
        <v>61</v>
      </c>
      <c r="F27" s="165"/>
      <c r="G27" s="215" t="s">
        <v>42</v>
      </c>
      <c r="H27" s="216">
        <v>6000</v>
      </c>
      <c r="I27" s="217">
        <v>1200</v>
      </c>
      <c r="J27" s="25" t="s">
        <v>43</v>
      </c>
      <c r="K27" s="25" t="s">
        <v>44</v>
      </c>
      <c r="M27">
        <f t="shared" si="0"/>
        <v>1200</v>
      </c>
    </row>
    <row r="28" spans="1:16" x14ac:dyDescent="0.25">
      <c r="A28" s="98">
        <v>6</v>
      </c>
      <c r="B28" s="25" t="s">
        <v>817</v>
      </c>
      <c r="C28" s="25" t="s">
        <v>40</v>
      </c>
      <c r="D28" s="25" t="s">
        <v>278</v>
      </c>
      <c r="E28" s="25" t="s">
        <v>45</v>
      </c>
      <c r="F28" s="165"/>
      <c r="G28" s="215" t="s">
        <v>42</v>
      </c>
      <c r="H28" s="216">
        <v>500</v>
      </c>
      <c r="I28" s="217">
        <v>100</v>
      </c>
      <c r="J28" s="25" t="s">
        <v>43</v>
      </c>
      <c r="K28" s="25" t="s">
        <v>44</v>
      </c>
      <c r="M28">
        <f t="shared" si="0"/>
        <v>100</v>
      </c>
    </row>
    <row r="29" spans="1:16" x14ac:dyDescent="0.25">
      <c r="A29" s="98">
        <v>6</v>
      </c>
      <c r="B29" s="25" t="s">
        <v>818</v>
      </c>
      <c r="C29" s="25" t="s">
        <v>40</v>
      </c>
      <c r="D29" s="25" t="s">
        <v>419</v>
      </c>
      <c r="E29" s="25" t="s">
        <v>65</v>
      </c>
      <c r="F29" s="165" t="s">
        <v>819</v>
      </c>
      <c r="G29" s="215" t="s">
        <v>42</v>
      </c>
      <c r="H29" s="216">
        <v>10000</v>
      </c>
      <c r="I29" s="217">
        <v>2000</v>
      </c>
      <c r="J29" s="25" t="s">
        <v>43</v>
      </c>
      <c r="K29" s="25" t="s">
        <v>44</v>
      </c>
      <c r="M29">
        <f t="shared" si="0"/>
        <v>2000</v>
      </c>
    </row>
    <row r="30" spans="1:16" x14ac:dyDescent="0.25">
      <c r="A30" s="98">
        <v>6</v>
      </c>
      <c r="B30" s="25" t="s">
        <v>820</v>
      </c>
      <c r="C30" s="25" t="s">
        <v>40</v>
      </c>
      <c r="D30" s="25" t="s">
        <v>345</v>
      </c>
      <c r="E30" s="25" t="s">
        <v>65</v>
      </c>
      <c r="F30" s="165" t="s">
        <v>821</v>
      </c>
      <c r="G30" s="215" t="s">
        <v>42</v>
      </c>
      <c r="H30" s="216">
        <v>2000</v>
      </c>
      <c r="I30" s="217">
        <v>400</v>
      </c>
      <c r="J30" s="25" t="s">
        <v>43</v>
      </c>
      <c r="K30" s="25" t="s">
        <v>44</v>
      </c>
      <c r="M30">
        <f t="shared" si="0"/>
        <v>400</v>
      </c>
    </row>
    <row r="31" spans="1:16" x14ac:dyDescent="0.25">
      <c r="A31" s="98">
        <v>6</v>
      </c>
      <c r="B31" s="25" t="s">
        <v>188</v>
      </c>
      <c r="C31" s="25" t="s">
        <v>50</v>
      </c>
      <c r="D31" s="25" t="s">
        <v>178</v>
      </c>
      <c r="E31" s="25" t="s">
        <v>46</v>
      </c>
      <c r="F31" s="165"/>
      <c r="G31" s="215" t="s">
        <v>42</v>
      </c>
      <c r="H31" s="216">
        <v>2000</v>
      </c>
      <c r="I31" s="217">
        <v>400</v>
      </c>
      <c r="J31" s="25" t="s">
        <v>43</v>
      </c>
      <c r="K31" s="25" t="s">
        <v>44</v>
      </c>
      <c r="M31">
        <f t="shared" si="0"/>
        <v>400</v>
      </c>
    </row>
    <row r="32" spans="1:16" x14ac:dyDescent="0.25">
      <c r="A32" s="98">
        <v>6</v>
      </c>
      <c r="B32" s="25" t="s">
        <v>822</v>
      </c>
      <c r="C32" s="25" t="s">
        <v>40</v>
      </c>
      <c r="D32" s="25" t="s">
        <v>249</v>
      </c>
      <c r="E32" s="25" t="s">
        <v>45</v>
      </c>
      <c r="F32" s="165"/>
      <c r="G32" s="218" t="s">
        <v>42</v>
      </c>
      <c r="H32" s="219">
        <v>600</v>
      </c>
      <c r="I32" s="220">
        <v>120</v>
      </c>
      <c r="J32" s="25" t="s">
        <v>43</v>
      </c>
      <c r="K32" s="25" t="s">
        <v>44</v>
      </c>
      <c r="M32">
        <f t="shared" si="0"/>
        <v>120</v>
      </c>
    </row>
    <row r="33" spans="1:18" x14ac:dyDescent="0.25">
      <c r="A33" s="98">
        <v>6</v>
      </c>
      <c r="B33" s="25" t="s">
        <v>823</v>
      </c>
      <c r="C33" s="25" t="s">
        <v>40</v>
      </c>
      <c r="D33" s="25" t="s">
        <v>824</v>
      </c>
      <c r="E33" s="25" t="s">
        <v>55</v>
      </c>
      <c r="F33" s="165" t="s">
        <v>825</v>
      </c>
      <c r="G33" s="25" t="s">
        <v>42</v>
      </c>
      <c r="H33" s="93">
        <v>2500</v>
      </c>
      <c r="I33" s="73">
        <v>500</v>
      </c>
      <c r="J33" s="25" t="s">
        <v>43</v>
      </c>
      <c r="K33" s="25" t="s">
        <v>44</v>
      </c>
      <c r="M33">
        <f t="shared" si="0"/>
        <v>500</v>
      </c>
    </row>
    <row r="34" spans="1:18" x14ac:dyDescent="0.25">
      <c r="A34" s="98">
        <v>6</v>
      </c>
      <c r="B34" s="25" t="s">
        <v>826</v>
      </c>
      <c r="C34" s="25" t="s">
        <v>40</v>
      </c>
      <c r="D34" s="25" t="s">
        <v>401</v>
      </c>
      <c r="E34" s="25" t="s">
        <v>63</v>
      </c>
      <c r="F34" s="165" t="s">
        <v>417</v>
      </c>
      <c r="G34" s="25" t="s">
        <v>42</v>
      </c>
      <c r="H34" s="93">
        <v>500</v>
      </c>
      <c r="I34" s="73">
        <v>100</v>
      </c>
      <c r="J34" s="25" t="s">
        <v>43</v>
      </c>
      <c r="K34" s="25" t="s">
        <v>44</v>
      </c>
      <c r="M34">
        <f t="shared" si="0"/>
        <v>100</v>
      </c>
    </row>
    <row r="35" spans="1:18" x14ac:dyDescent="0.25">
      <c r="A35" s="98">
        <v>6</v>
      </c>
      <c r="B35" s="25" t="s">
        <v>355</v>
      </c>
      <c r="C35" s="25" t="s">
        <v>40</v>
      </c>
      <c r="D35" s="25" t="s">
        <v>178</v>
      </c>
      <c r="E35" s="25" t="s">
        <v>46</v>
      </c>
      <c r="F35" s="165" t="s">
        <v>356</v>
      </c>
      <c r="G35" s="25" t="s">
        <v>42</v>
      </c>
      <c r="H35" s="93">
        <v>2500</v>
      </c>
      <c r="I35" s="73">
        <v>500</v>
      </c>
      <c r="J35" s="25" t="s">
        <v>43</v>
      </c>
      <c r="K35" s="25" t="s">
        <v>44</v>
      </c>
      <c r="M35">
        <f t="shared" si="0"/>
        <v>500</v>
      </c>
    </row>
    <row r="36" spans="1:18" x14ac:dyDescent="0.25">
      <c r="A36" s="98">
        <v>6</v>
      </c>
      <c r="B36" s="25" t="s">
        <v>827</v>
      </c>
      <c r="C36" s="25" t="s">
        <v>50</v>
      </c>
      <c r="D36" s="25" t="s">
        <v>71</v>
      </c>
      <c r="E36" s="25" t="s">
        <v>45</v>
      </c>
      <c r="F36" s="165" t="s">
        <v>828</v>
      </c>
      <c r="G36" s="25" t="s">
        <v>42</v>
      </c>
      <c r="H36" s="93">
        <v>5000</v>
      </c>
      <c r="I36" s="73">
        <v>1000</v>
      </c>
      <c r="J36" s="25" t="s">
        <v>43</v>
      </c>
      <c r="K36" s="25" t="s">
        <v>44</v>
      </c>
      <c r="M36">
        <f t="shared" si="0"/>
        <v>1000</v>
      </c>
    </row>
    <row r="37" spans="1:18" x14ac:dyDescent="0.25">
      <c r="A37" s="98">
        <v>6</v>
      </c>
      <c r="B37" s="25" t="s">
        <v>398</v>
      </c>
      <c r="C37" s="25" t="s">
        <v>40</v>
      </c>
      <c r="D37" s="25" t="s">
        <v>71</v>
      </c>
      <c r="E37" s="25" t="s">
        <v>61</v>
      </c>
      <c r="F37" s="165" t="s">
        <v>829</v>
      </c>
      <c r="G37" s="25" t="s">
        <v>42</v>
      </c>
      <c r="H37" s="93">
        <v>2500</v>
      </c>
      <c r="I37" s="73">
        <v>500</v>
      </c>
      <c r="J37" s="25" t="s">
        <v>43</v>
      </c>
      <c r="K37" s="25" t="s">
        <v>44</v>
      </c>
      <c r="M37">
        <f t="shared" si="0"/>
        <v>500</v>
      </c>
    </row>
    <row r="38" spans="1:18" x14ac:dyDescent="0.25">
      <c r="A38" s="98">
        <v>6</v>
      </c>
      <c r="B38" s="25" t="s">
        <v>830</v>
      </c>
      <c r="C38" s="25" t="s">
        <v>40</v>
      </c>
      <c r="D38" s="25" t="s">
        <v>186</v>
      </c>
      <c r="E38" s="25" t="s">
        <v>45</v>
      </c>
      <c r="F38" s="165" t="s">
        <v>831</v>
      </c>
      <c r="G38" s="25" t="s">
        <v>42</v>
      </c>
      <c r="H38" s="93">
        <v>1000</v>
      </c>
      <c r="I38" s="73">
        <v>200</v>
      </c>
      <c r="J38" s="25" t="s">
        <v>43</v>
      </c>
      <c r="K38" s="25" t="s">
        <v>44</v>
      </c>
      <c r="M38">
        <f t="shared" si="0"/>
        <v>200</v>
      </c>
    </row>
    <row r="39" spans="1:18" x14ac:dyDescent="0.25">
      <c r="A39" s="98">
        <v>6</v>
      </c>
      <c r="B39" s="25" t="s">
        <v>832</v>
      </c>
      <c r="C39" s="25" t="s">
        <v>40</v>
      </c>
      <c r="D39" s="25" t="s">
        <v>833</v>
      </c>
      <c r="E39" s="25" t="s">
        <v>47</v>
      </c>
      <c r="F39" s="165" t="s">
        <v>834</v>
      </c>
      <c r="G39" s="25" t="s">
        <v>42</v>
      </c>
      <c r="H39" s="93">
        <v>5000</v>
      </c>
      <c r="I39" s="73">
        <v>1000</v>
      </c>
      <c r="J39" s="25" t="s">
        <v>43</v>
      </c>
      <c r="K39" s="25" t="s">
        <v>44</v>
      </c>
      <c r="M39">
        <f t="shared" si="0"/>
        <v>1000</v>
      </c>
    </row>
    <row r="40" spans="1:18" x14ac:dyDescent="0.25">
      <c r="A40" s="98">
        <v>6</v>
      </c>
      <c r="B40" s="25" t="s">
        <v>835</v>
      </c>
      <c r="C40" s="25" t="s">
        <v>40</v>
      </c>
      <c r="D40" s="25" t="s">
        <v>252</v>
      </c>
      <c r="E40" s="25" t="s">
        <v>110</v>
      </c>
      <c r="F40" s="165"/>
      <c r="G40" s="25" t="s">
        <v>42</v>
      </c>
      <c r="H40" s="93">
        <v>6000</v>
      </c>
      <c r="I40" s="73">
        <v>1200</v>
      </c>
      <c r="J40" s="25" t="s">
        <v>43</v>
      </c>
      <c r="K40" s="25" t="s">
        <v>44</v>
      </c>
      <c r="M40">
        <f t="shared" si="0"/>
        <v>1200</v>
      </c>
    </row>
    <row r="41" spans="1:18" x14ac:dyDescent="0.25">
      <c r="A41" s="98">
        <v>6</v>
      </c>
      <c r="B41" s="25" t="s">
        <v>836</v>
      </c>
      <c r="C41" s="25" t="s">
        <v>50</v>
      </c>
      <c r="D41" s="25" t="s">
        <v>297</v>
      </c>
      <c r="E41" s="25" t="s">
        <v>69</v>
      </c>
      <c r="F41" s="165" t="s">
        <v>837</v>
      </c>
      <c r="G41" s="25" t="s">
        <v>42</v>
      </c>
      <c r="H41" s="93">
        <v>3000</v>
      </c>
      <c r="I41" s="73">
        <v>600</v>
      </c>
      <c r="J41" s="25" t="s">
        <v>43</v>
      </c>
      <c r="K41" s="25" t="s">
        <v>44</v>
      </c>
      <c r="M41">
        <f t="shared" si="0"/>
        <v>600</v>
      </c>
    </row>
    <row r="42" spans="1:18" x14ac:dyDescent="0.25">
      <c r="A42" s="98">
        <v>6</v>
      </c>
      <c r="B42" s="25" t="s">
        <v>838</v>
      </c>
      <c r="C42" s="25" t="s">
        <v>40</v>
      </c>
      <c r="D42" s="25" t="s">
        <v>197</v>
      </c>
      <c r="E42" s="25" t="s">
        <v>45</v>
      </c>
      <c r="F42" s="165"/>
      <c r="G42" s="25" t="s">
        <v>42</v>
      </c>
      <c r="H42" s="93">
        <v>3000</v>
      </c>
      <c r="I42" s="73">
        <v>600</v>
      </c>
      <c r="J42" s="25" t="s">
        <v>43</v>
      </c>
      <c r="K42" s="25" t="s">
        <v>44</v>
      </c>
      <c r="M42">
        <f t="shared" si="0"/>
        <v>600</v>
      </c>
    </row>
    <row r="43" spans="1:18" x14ac:dyDescent="0.25">
      <c r="A43" s="98">
        <v>6</v>
      </c>
      <c r="B43" s="25" t="s">
        <v>839</v>
      </c>
      <c r="C43" s="25" t="s">
        <v>40</v>
      </c>
      <c r="D43" s="25" t="s">
        <v>379</v>
      </c>
      <c r="E43" s="25" t="s">
        <v>69</v>
      </c>
      <c r="F43" s="165"/>
      <c r="G43" s="25" t="s">
        <v>42</v>
      </c>
      <c r="H43" s="93">
        <v>6000</v>
      </c>
      <c r="I43" s="73">
        <v>1200</v>
      </c>
      <c r="J43" s="25" t="s">
        <v>43</v>
      </c>
      <c r="K43" s="25" t="s">
        <v>44</v>
      </c>
      <c r="M43">
        <f t="shared" si="0"/>
        <v>1200</v>
      </c>
    </row>
    <row r="44" spans="1:18" x14ac:dyDescent="0.25">
      <c r="A44" s="98">
        <v>6</v>
      </c>
      <c r="B44" s="25" t="s">
        <v>840</v>
      </c>
      <c r="C44" s="25" t="s">
        <v>50</v>
      </c>
      <c r="D44" s="25" t="s">
        <v>841</v>
      </c>
      <c r="E44" s="25" t="s">
        <v>66</v>
      </c>
      <c r="F44" s="165" t="s">
        <v>842</v>
      </c>
      <c r="G44" s="25" t="s">
        <v>42</v>
      </c>
      <c r="H44" s="93">
        <v>5000</v>
      </c>
      <c r="I44" s="73">
        <v>1000</v>
      </c>
      <c r="J44" s="25" t="s">
        <v>43</v>
      </c>
      <c r="K44" s="25" t="s">
        <v>44</v>
      </c>
      <c r="M44">
        <f t="shared" si="0"/>
        <v>1000</v>
      </c>
    </row>
    <row r="45" spans="1:18" x14ac:dyDescent="0.25">
      <c r="A45" s="98">
        <v>11</v>
      </c>
      <c r="B45" s="25" t="s">
        <v>843</v>
      </c>
      <c r="C45" s="25" t="s">
        <v>40</v>
      </c>
      <c r="D45" s="25" t="s">
        <v>76</v>
      </c>
      <c r="E45" s="25" t="s">
        <v>61</v>
      </c>
      <c r="F45" s="165" t="s">
        <v>844</v>
      </c>
      <c r="G45" s="25" t="s">
        <v>42</v>
      </c>
      <c r="H45" s="93">
        <v>2000</v>
      </c>
      <c r="I45" s="73">
        <v>400</v>
      </c>
      <c r="J45" s="25" t="s">
        <v>43</v>
      </c>
      <c r="K45" s="25" t="s">
        <v>44</v>
      </c>
      <c r="M45">
        <f t="shared" si="0"/>
        <v>400</v>
      </c>
      <c r="R45" s="67"/>
    </row>
    <row r="46" spans="1:18" x14ac:dyDescent="0.25">
      <c r="A46" s="98">
        <v>11</v>
      </c>
      <c r="B46" s="25" t="s">
        <v>845</v>
      </c>
      <c r="C46" s="25" t="s">
        <v>40</v>
      </c>
      <c r="D46" s="25" t="s">
        <v>211</v>
      </c>
      <c r="E46" s="25" t="s">
        <v>55</v>
      </c>
      <c r="F46" s="165" t="s">
        <v>846</v>
      </c>
      <c r="G46" s="25" t="s">
        <v>42</v>
      </c>
      <c r="H46" s="93">
        <v>6000</v>
      </c>
      <c r="I46" s="73">
        <v>1200</v>
      </c>
      <c r="J46" s="25" t="s">
        <v>43</v>
      </c>
      <c r="K46" s="25" t="s">
        <v>44</v>
      </c>
      <c r="M46">
        <f t="shared" si="0"/>
        <v>1200</v>
      </c>
    </row>
    <row r="47" spans="1:18" x14ac:dyDescent="0.25">
      <c r="A47" s="98">
        <v>11</v>
      </c>
      <c r="B47" s="25" t="s">
        <v>847</v>
      </c>
      <c r="C47" s="25" t="s">
        <v>40</v>
      </c>
      <c r="D47" s="25" t="s">
        <v>848</v>
      </c>
      <c r="E47" s="25" t="s">
        <v>61</v>
      </c>
      <c r="F47" s="165"/>
      <c r="G47" s="25" t="s">
        <v>42</v>
      </c>
      <c r="H47" s="93">
        <v>1000</v>
      </c>
      <c r="I47" s="73">
        <v>200</v>
      </c>
      <c r="J47" s="25" t="s">
        <v>43</v>
      </c>
      <c r="K47" s="25" t="s">
        <v>44</v>
      </c>
      <c r="M47">
        <f t="shared" si="0"/>
        <v>200</v>
      </c>
    </row>
    <row r="48" spans="1:18" x14ac:dyDescent="0.25">
      <c r="A48" s="98">
        <v>11</v>
      </c>
      <c r="B48" s="25" t="s">
        <v>849</v>
      </c>
      <c r="C48" s="25" t="s">
        <v>40</v>
      </c>
      <c r="D48" s="25" t="s">
        <v>850</v>
      </c>
      <c r="E48" s="25" t="s">
        <v>46</v>
      </c>
      <c r="F48" s="165"/>
      <c r="G48" s="25" t="s">
        <v>42</v>
      </c>
      <c r="H48" s="93">
        <v>1500</v>
      </c>
      <c r="I48" s="73">
        <v>300</v>
      </c>
      <c r="J48" s="25" t="s">
        <v>43</v>
      </c>
      <c r="K48" s="25" t="s">
        <v>44</v>
      </c>
      <c r="M48">
        <f t="shared" si="0"/>
        <v>300</v>
      </c>
      <c r="R48" s="67"/>
    </row>
    <row r="49" spans="1:13" x14ac:dyDescent="0.25">
      <c r="A49" s="98">
        <v>11</v>
      </c>
      <c r="B49" s="25" t="s">
        <v>851</v>
      </c>
      <c r="C49" s="25" t="s">
        <v>40</v>
      </c>
      <c r="D49" s="25" t="s">
        <v>68</v>
      </c>
      <c r="E49" s="25" t="s">
        <v>60</v>
      </c>
      <c r="F49" s="165" t="s">
        <v>411</v>
      </c>
      <c r="G49" s="25" t="s">
        <v>42</v>
      </c>
      <c r="H49" s="93">
        <v>20000</v>
      </c>
      <c r="I49" s="73">
        <v>4000</v>
      </c>
      <c r="J49" s="25" t="s">
        <v>43</v>
      </c>
      <c r="K49" s="25" t="s">
        <v>44</v>
      </c>
      <c r="M49">
        <f t="shared" si="0"/>
        <v>4000</v>
      </c>
    </row>
    <row r="50" spans="1:13" x14ac:dyDescent="0.25">
      <c r="A50" s="98">
        <v>11</v>
      </c>
      <c r="B50" s="25" t="s">
        <v>852</v>
      </c>
      <c r="C50" s="25" t="s">
        <v>40</v>
      </c>
      <c r="D50" s="25" t="s">
        <v>297</v>
      </c>
      <c r="E50" s="25" t="s">
        <v>69</v>
      </c>
      <c r="F50" s="165" t="s">
        <v>853</v>
      </c>
      <c r="G50" s="25" t="s">
        <v>42</v>
      </c>
      <c r="H50" s="93">
        <v>3500</v>
      </c>
      <c r="I50" s="73">
        <v>700</v>
      </c>
      <c r="J50" s="25" t="s">
        <v>43</v>
      </c>
      <c r="K50" s="25" t="s">
        <v>44</v>
      </c>
      <c r="M50">
        <f t="shared" si="0"/>
        <v>700</v>
      </c>
    </row>
    <row r="51" spans="1:13" x14ac:dyDescent="0.25">
      <c r="A51" s="98">
        <v>11</v>
      </c>
      <c r="B51" s="25" t="s">
        <v>385</v>
      </c>
      <c r="C51" s="25" t="s">
        <v>40</v>
      </c>
      <c r="D51" s="25" t="s">
        <v>178</v>
      </c>
      <c r="E51" s="25" t="s">
        <v>46</v>
      </c>
      <c r="F51" s="165"/>
      <c r="G51" s="25" t="s">
        <v>42</v>
      </c>
      <c r="H51" s="93">
        <v>1000</v>
      </c>
      <c r="I51" s="73">
        <v>200</v>
      </c>
      <c r="J51" s="25" t="s">
        <v>43</v>
      </c>
      <c r="K51" s="25" t="s">
        <v>44</v>
      </c>
      <c r="M51">
        <f t="shared" si="0"/>
        <v>200</v>
      </c>
    </row>
    <row r="52" spans="1:13" x14ac:dyDescent="0.25">
      <c r="A52" s="98">
        <v>11</v>
      </c>
      <c r="B52" s="58" t="s">
        <v>854</v>
      </c>
      <c r="C52" s="58" t="s">
        <v>50</v>
      </c>
      <c r="D52" s="58" t="s">
        <v>183</v>
      </c>
      <c r="E52" s="58" t="s">
        <v>55</v>
      </c>
      <c r="F52" s="196"/>
      <c r="G52" s="58" t="s">
        <v>42</v>
      </c>
      <c r="H52" s="58">
        <v>1500</v>
      </c>
      <c r="I52" s="58">
        <v>300</v>
      </c>
      <c r="J52" s="25" t="s">
        <v>43</v>
      </c>
      <c r="K52" s="25" t="s">
        <v>44</v>
      </c>
      <c r="M52">
        <f t="shared" si="0"/>
        <v>300</v>
      </c>
    </row>
    <row r="53" spans="1:13" x14ac:dyDescent="0.25">
      <c r="A53" s="98">
        <v>11</v>
      </c>
      <c r="B53" s="58" t="s">
        <v>855</v>
      </c>
      <c r="C53" s="25" t="s">
        <v>40</v>
      </c>
      <c r="D53" s="25" t="s">
        <v>278</v>
      </c>
      <c r="E53" s="25" t="s">
        <v>45</v>
      </c>
      <c r="F53" s="165"/>
      <c r="G53" s="25" t="s">
        <v>42</v>
      </c>
      <c r="H53" s="330">
        <v>500</v>
      </c>
      <c r="I53" s="331" t="s">
        <v>77</v>
      </c>
      <c r="J53" s="25" t="s">
        <v>43</v>
      </c>
      <c r="K53" s="25" t="s">
        <v>44</v>
      </c>
      <c r="M53">
        <f t="shared" si="0"/>
        <v>100</v>
      </c>
    </row>
    <row r="54" spans="1:13" x14ac:dyDescent="0.25">
      <c r="A54" s="98">
        <v>11</v>
      </c>
      <c r="B54" s="58" t="s">
        <v>855</v>
      </c>
      <c r="C54" s="25" t="s">
        <v>40</v>
      </c>
      <c r="D54" s="25" t="s">
        <v>278</v>
      </c>
      <c r="E54" s="25" t="s">
        <v>45</v>
      </c>
      <c r="F54" s="165"/>
      <c r="G54" s="25" t="s">
        <v>42</v>
      </c>
      <c r="H54" s="93">
        <v>4500</v>
      </c>
      <c r="I54" s="73">
        <v>900</v>
      </c>
      <c r="J54" s="25" t="s">
        <v>43</v>
      </c>
      <c r="K54" s="25" t="s">
        <v>44</v>
      </c>
      <c r="M54">
        <f t="shared" si="0"/>
        <v>900</v>
      </c>
    </row>
    <row r="55" spans="1:13" x14ac:dyDescent="0.25">
      <c r="A55" s="98">
        <v>11</v>
      </c>
      <c r="B55" s="58" t="s">
        <v>338</v>
      </c>
      <c r="C55" s="25" t="s">
        <v>40</v>
      </c>
      <c r="D55" s="25" t="s">
        <v>175</v>
      </c>
      <c r="E55" s="25" t="s">
        <v>56</v>
      </c>
      <c r="F55" s="165"/>
      <c r="G55" s="25" t="s">
        <v>42</v>
      </c>
      <c r="H55" s="93">
        <v>20000</v>
      </c>
      <c r="I55" s="73">
        <v>4000</v>
      </c>
      <c r="J55" s="25" t="s">
        <v>43</v>
      </c>
      <c r="K55" s="25" t="s">
        <v>44</v>
      </c>
      <c r="M55">
        <f t="shared" si="0"/>
        <v>4000</v>
      </c>
    </row>
    <row r="56" spans="1:13" x14ac:dyDescent="0.25">
      <c r="A56" s="98">
        <v>11</v>
      </c>
      <c r="B56" s="58" t="s">
        <v>399</v>
      </c>
      <c r="C56" s="25" t="s">
        <v>40</v>
      </c>
      <c r="D56" s="25" t="s">
        <v>856</v>
      </c>
      <c r="E56" s="25" t="s">
        <v>66</v>
      </c>
      <c r="F56" s="165" t="s">
        <v>400</v>
      </c>
      <c r="G56" s="25" t="s">
        <v>42</v>
      </c>
      <c r="H56" s="93">
        <v>1500</v>
      </c>
      <c r="I56" s="73">
        <v>300</v>
      </c>
      <c r="J56" s="25" t="s">
        <v>43</v>
      </c>
      <c r="K56" s="25" t="s">
        <v>44</v>
      </c>
      <c r="M56">
        <f t="shared" si="0"/>
        <v>300</v>
      </c>
    </row>
    <row r="57" spans="1:13" x14ac:dyDescent="0.25">
      <c r="A57" s="98">
        <v>12</v>
      </c>
      <c r="B57" s="58" t="s">
        <v>857</v>
      </c>
      <c r="C57" s="25" t="s">
        <v>40</v>
      </c>
      <c r="D57" s="25" t="s">
        <v>52</v>
      </c>
      <c r="E57" s="25" t="s">
        <v>53</v>
      </c>
      <c r="F57" s="165" t="s">
        <v>858</v>
      </c>
      <c r="G57" s="25" t="s">
        <v>42</v>
      </c>
      <c r="H57" s="93">
        <v>400</v>
      </c>
      <c r="I57" s="73">
        <v>80</v>
      </c>
      <c r="J57" s="25" t="s">
        <v>43</v>
      </c>
      <c r="K57" s="25" t="s">
        <v>44</v>
      </c>
      <c r="M57">
        <f t="shared" si="0"/>
        <v>80</v>
      </c>
    </row>
    <row r="58" spans="1:13" x14ac:dyDescent="0.25">
      <c r="A58" s="98">
        <v>12</v>
      </c>
      <c r="B58" s="58" t="s">
        <v>220</v>
      </c>
      <c r="C58" s="25" t="s">
        <v>40</v>
      </c>
      <c r="D58" s="25" t="s">
        <v>302</v>
      </c>
      <c r="E58" s="25" t="s">
        <v>88</v>
      </c>
      <c r="F58" s="165" t="s">
        <v>314</v>
      </c>
      <c r="G58" s="25" t="s">
        <v>42</v>
      </c>
      <c r="H58" s="93">
        <v>1000</v>
      </c>
      <c r="I58" s="73">
        <v>200</v>
      </c>
      <c r="J58" s="25" t="s">
        <v>43</v>
      </c>
      <c r="K58" s="25" t="s">
        <v>44</v>
      </c>
      <c r="M58">
        <f t="shared" si="0"/>
        <v>200</v>
      </c>
    </row>
    <row r="59" spans="1:13" x14ac:dyDescent="0.25">
      <c r="A59" s="98">
        <v>12</v>
      </c>
      <c r="B59" s="58" t="s">
        <v>349</v>
      </c>
      <c r="C59" s="25" t="s">
        <v>50</v>
      </c>
      <c r="D59" s="25" t="s">
        <v>202</v>
      </c>
      <c r="E59" s="25" t="s">
        <v>45</v>
      </c>
      <c r="F59" s="165" t="s">
        <v>350</v>
      </c>
      <c r="G59" s="25" t="s">
        <v>42</v>
      </c>
      <c r="H59" s="93">
        <v>1000</v>
      </c>
      <c r="I59" s="73">
        <v>200</v>
      </c>
      <c r="J59" s="25" t="s">
        <v>43</v>
      </c>
      <c r="K59" s="25" t="s">
        <v>44</v>
      </c>
      <c r="M59">
        <f t="shared" si="0"/>
        <v>200</v>
      </c>
    </row>
    <row r="60" spans="1:13" x14ac:dyDescent="0.25">
      <c r="A60" s="98">
        <v>12</v>
      </c>
      <c r="B60" s="58" t="s">
        <v>859</v>
      </c>
      <c r="C60" s="25" t="s">
        <v>40</v>
      </c>
      <c r="D60" s="25" t="s">
        <v>383</v>
      </c>
      <c r="E60" s="25" t="s">
        <v>62</v>
      </c>
      <c r="F60" s="165" t="s">
        <v>860</v>
      </c>
      <c r="G60" s="25" t="s">
        <v>42</v>
      </c>
      <c r="H60" s="93">
        <v>5000</v>
      </c>
      <c r="I60" s="73">
        <v>1000</v>
      </c>
      <c r="J60" s="25" t="s">
        <v>43</v>
      </c>
      <c r="K60" s="25" t="s">
        <v>44</v>
      </c>
      <c r="M60">
        <f t="shared" si="0"/>
        <v>1000</v>
      </c>
    </row>
    <row r="61" spans="1:13" x14ac:dyDescent="0.25">
      <c r="A61" s="98">
        <v>12</v>
      </c>
      <c r="B61" s="58" t="s">
        <v>861</v>
      </c>
      <c r="C61" s="25" t="s">
        <v>40</v>
      </c>
      <c r="D61" s="25" t="s">
        <v>260</v>
      </c>
      <c r="E61" s="25" t="s">
        <v>60</v>
      </c>
      <c r="F61" s="165" t="s">
        <v>862</v>
      </c>
      <c r="G61" s="25" t="s">
        <v>42</v>
      </c>
      <c r="H61" s="93">
        <v>5000</v>
      </c>
      <c r="I61" s="73">
        <v>1000</v>
      </c>
      <c r="J61" s="25" t="s">
        <v>43</v>
      </c>
      <c r="K61" s="25" t="s">
        <v>44</v>
      </c>
      <c r="M61">
        <f t="shared" si="0"/>
        <v>1000</v>
      </c>
    </row>
    <row r="62" spans="1:13" ht="15.75" x14ac:dyDescent="0.25">
      <c r="A62" s="98">
        <v>13</v>
      </c>
      <c r="B62" s="58" t="s">
        <v>245</v>
      </c>
      <c r="C62" s="25" t="s">
        <v>40</v>
      </c>
      <c r="D62" s="25" t="s">
        <v>863</v>
      </c>
      <c r="E62" s="25" t="s">
        <v>60</v>
      </c>
      <c r="F62" s="165" t="s">
        <v>597</v>
      </c>
      <c r="G62" s="25" t="s">
        <v>42</v>
      </c>
      <c r="H62" s="93">
        <v>25000</v>
      </c>
      <c r="I62" s="73">
        <v>5000</v>
      </c>
      <c r="J62" s="25" t="s">
        <v>43</v>
      </c>
      <c r="K62" s="25" t="s">
        <v>44</v>
      </c>
      <c r="M62">
        <f t="shared" si="0"/>
        <v>5000</v>
      </c>
    </row>
    <row r="63" spans="1:13" x14ac:dyDescent="0.25">
      <c r="A63" s="98">
        <v>13</v>
      </c>
      <c r="B63" s="58" t="s">
        <v>864</v>
      </c>
      <c r="C63" s="25" t="s">
        <v>50</v>
      </c>
      <c r="D63" s="25" t="s">
        <v>49</v>
      </c>
      <c r="E63" s="25" t="s">
        <v>46</v>
      </c>
      <c r="F63" s="165" t="s">
        <v>865</v>
      </c>
      <c r="G63" s="25" t="s">
        <v>42</v>
      </c>
      <c r="H63" s="93">
        <v>400</v>
      </c>
      <c r="I63" s="73">
        <v>80</v>
      </c>
      <c r="J63" s="25" t="s">
        <v>43</v>
      </c>
      <c r="K63" s="25" t="s">
        <v>44</v>
      </c>
      <c r="M63">
        <f t="shared" si="0"/>
        <v>80</v>
      </c>
    </row>
    <row r="64" spans="1:13" x14ac:dyDescent="0.25">
      <c r="A64" s="98">
        <v>13</v>
      </c>
      <c r="B64" s="58" t="s">
        <v>866</v>
      </c>
      <c r="C64" s="25" t="s">
        <v>40</v>
      </c>
      <c r="D64" s="25" t="s">
        <v>867</v>
      </c>
      <c r="E64" s="25" t="s">
        <v>55</v>
      </c>
      <c r="F64" s="165" t="s">
        <v>868</v>
      </c>
      <c r="G64" s="25" t="s">
        <v>42</v>
      </c>
      <c r="H64" s="93">
        <v>2000</v>
      </c>
      <c r="I64" s="73">
        <v>400</v>
      </c>
      <c r="J64" s="25" t="s">
        <v>43</v>
      </c>
      <c r="K64" s="25" t="s">
        <v>44</v>
      </c>
      <c r="M64">
        <f t="shared" si="0"/>
        <v>400</v>
      </c>
    </row>
    <row r="65" spans="1:13" x14ac:dyDescent="0.25">
      <c r="A65" s="98">
        <v>14</v>
      </c>
      <c r="B65" s="58" t="s">
        <v>659</v>
      </c>
      <c r="C65" s="25" t="s">
        <v>40</v>
      </c>
      <c r="D65" s="25" t="s">
        <v>64</v>
      </c>
      <c r="E65" s="25" t="s">
        <v>48</v>
      </c>
      <c r="F65" s="165" t="s">
        <v>660</v>
      </c>
      <c r="G65" s="25" t="s">
        <v>42</v>
      </c>
      <c r="H65" s="93">
        <v>1500</v>
      </c>
      <c r="I65" s="73">
        <v>300</v>
      </c>
      <c r="J65" s="25" t="s">
        <v>43</v>
      </c>
      <c r="K65" s="25" t="s">
        <v>44</v>
      </c>
      <c r="M65">
        <f t="shared" si="0"/>
        <v>300</v>
      </c>
    </row>
    <row r="66" spans="1:13" ht="15.75" x14ac:dyDescent="0.25">
      <c r="A66" s="98">
        <v>14</v>
      </c>
      <c r="B66" s="58" t="s">
        <v>869</v>
      </c>
      <c r="C66" s="25" t="s">
        <v>40</v>
      </c>
      <c r="D66" s="25" t="s">
        <v>303</v>
      </c>
      <c r="E66" s="25" t="s">
        <v>70</v>
      </c>
      <c r="F66" s="165" t="s">
        <v>318</v>
      </c>
      <c r="G66" s="25" t="s">
        <v>42</v>
      </c>
      <c r="H66" s="93">
        <v>300</v>
      </c>
      <c r="I66" s="73">
        <v>60</v>
      </c>
      <c r="J66" s="25" t="s">
        <v>43</v>
      </c>
      <c r="K66" s="25" t="s">
        <v>44</v>
      </c>
      <c r="M66">
        <f t="shared" si="0"/>
        <v>60</v>
      </c>
    </row>
    <row r="67" spans="1:13" x14ac:dyDescent="0.25">
      <c r="A67" s="98">
        <v>14</v>
      </c>
      <c r="B67" s="58" t="s">
        <v>870</v>
      </c>
      <c r="C67" s="25" t="s">
        <v>40</v>
      </c>
      <c r="D67" s="25" t="s">
        <v>178</v>
      </c>
      <c r="E67" s="25" t="s">
        <v>46</v>
      </c>
      <c r="F67" s="165" t="s">
        <v>871</v>
      </c>
      <c r="G67" s="25" t="s">
        <v>42</v>
      </c>
      <c r="H67" s="93">
        <v>2000</v>
      </c>
      <c r="I67" s="73">
        <v>400</v>
      </c>
      <c r="J67" s="25" t="s">
        <v>43</v>
      </c>
      <c r="K67" s="25" t="s">
        <v>44</v>
      </c>
      <c r="M67">
        <f t="shared" si="0"/>
        <v>400</v>
      </c>
    </row>
    <row r="68" spans="1:13" x14ac:dyDescent="0.25">
      <c r="A68" s="98">
        <v>14</v>
      </c>
      <c r="B68" s="58" t="s">
        <v>872</v>
      </c>
      <c r="C68" s="25" t="s">
        <v>40</v>
      </c>
      <c r="D68" s="25" t="s">
        <v>174</v>
      </c>
      <c r="E68" s="25" t="s">
        <v>46</v>
      </c>
      <c r="F68" s="165" t="s">
        <v>873</v>
      </c>
      <c r="G68" s="25" t="s">
        <v>42</v>
      </c>
      <c r="H68" s="93">
        <v>1000</v>
      </c>
      <c r="I68" s="73">
        <v>200</v>
      </c>
      <c r="J68" s="25" t="s">
        <v>43</v>
      </c>
      <c r="K68" s="25" t="s">
        <v>44</v>
      </c>
      <c r="M68">
        <f t="shared" si="0"/>
        <v>200</v>
      </c>
    </row>
    <row r="69" spans="1:13" x14ac:dyDescent="0.25">
      <c r="A69" s="98">
        <v>14</v>
      </c>
      <c r="B69" s="58" t="s">
        <v>874</v>
      </c>
      <c r="C69" s="25" t="s">
        <v>40</v>
      </c>
      <c r="D69" s="25" t="s">
        <v>379</v>
      </c>
      <c r="E69" s="25" t="s">
        <v>366</v>
      </c>
      <c r="F69" s="165" t="s">
        <v>875</v>
      </c>
      <c r="G69" s="25" t="s">
        <v>42</v>
      </c>
      <c r="H69" s="93">
        <v>1000</v>
      </c>
      <c r="I69" s="73">
        <v>200</v>
      </c>
      <c r="J69" s="25" t="s">
        <v>43</v>
      </c>
      <c r="K69" s="25" t="s">
        <v>44</v>
      </c>
      <c r="M69">
        <f t="shared" si="0"/>
        <v>200</v>
      </c>
    </row>
    <row r="70" spans="1:13" x14ac:dyDescent="0.25">
      <c r="A70" s="98">
        <v>14</v>
      </c>
      <c r="B70" s="58" t="s">
        <v>876</v>
      </c>
      <c r="C70" s="25" t="s">
        <v>50</v>
      </c>
      <c r="D70" s="25" t="s">
        <v>277</v>
      </c>
      <c r="E70" s="25" t="s">
        <v>51</v>
      </c>
      <c r="F70" s="165" t="s">
        <v>877</v>
      </c>
      <c r="G70" s="25" t="s">
        <v>42</v>
      </c>
      <c r="H70" s="93">
        <v>500</v>
      </c>
      <c r="I70" s="73">
        <v>100</v>
      </c>
      <c r="J70" s="25" t="s">
        <v>43</v>
      </c>
      <c r="K70" s="25" t="s">
        <v>44</v>
      </c>
      <c r="M70">
        <f t="shared" si="0"/>
        <v>100</v>
      </c>
    </row>
    <row r="71" spans="1:13" x14ac:dyDescent="0.25">
      <c r="A71" s="98">
        <v>16</v>
      </c>
      <c r="B71" s="58" t="s">
        <v>878</v>
      </c>
      <c r="C71" s="25" t="s">
        <v>40</v>
      </c>
      <c r="D71" s="25" t="s">
        <v>265</v>
      </c>
      <c r="E71" s="25" t="s">
        <v>55</v>
      </c>
      <c r="F71" s="165" t="s">
        <v>879</v>
      </c>
      <c r="G71" s="25" t="s">
        <v>42</v>
      </c>
      <c r="H71" s="93">
        <v>6000</v>
      </c>
      <c r="I71" s="73">
        <v>1200</v>
      </c>
      <c r="J71" s="25" t="s">
        <v>43</v>
      </c>
      <c r="K71" s="25" t="s">
        <v>44</v>
      </c>
      <c r="M71">
        <f t="shared" si="0"/>
        <v>1200</v>
      </c>
    </row>
    <row r="72" spans="1:13" x14ac:dyDescent="0.25">
      <c r="A72" s="98">
        <v>16</v>
      </c>
      <c r="B72" s="58" t="s">
        <v>880</v>
      </c>
      <c r="C72" s="25" t="s">
        <v>50</v>
      </c>
      <c r="D72" s="25" t="s">
        <v>233</v>
      </c>
      <c r="E72" s="25" t="s">
        <v>45</v>
      </c>
      <c r="F72" s="165" t="s">
        <v>318</v>
      </c>
      <c r="G72" s="25" t="s">
        <v>42</v>
      </c>
      <c r="H72" s="93">
        <v>500</v>
      </c>
      <c r="I72" s="73">
        <v>100</v>
      </c>
      <c r="J72" s="25" t="s">
        <v>43</v>
      </c>
      <c r="K72" s="25" t="s">
        <v>44</v>
      </c>
      <c r="M72">
        <f t="shared" si="0"/>
        <v>100</v>
      </c>
    </row>
    <row r="73" spans="1:13" x14ac:dyDescent="0.25">
      <c r="A73" s="98">
        <v>16</v>
      </c>
      <c r="B73" s="58" t="s">
        <v>881</v>
      </c>
      <c r="C73" s="25" t="s">
        <v>50</v>
      </c>
      <c r="D73" s="25" t="s">
        <v>317</v>
      </c>
      <c r="E73" s="25" t="s">
        <v>46</v>
      </c>
      <c r="F73" s="165" t="s">
        <v>882</v>
      </c>
      <c r="G73" s="25" t="s">
        <v>42</v>
      </c>
      <c r="H73" s="93">
        <v>300</v>
      </c>
      <c r="I73" s="73">
        <v>60</v>
      </c>
      <c r="J73" s="25" t="s">
        <v>43</v>
      </c>
      <c r="K73" s="25" t="s">
        <v>44</v>
      </c>
      <c r="M73">
        <f t="shared" si="0"/>
        <v>60</v>
      </c>
    </row>
    <row r="74" spans="1:13" x14ac:dyDescent="0.25">
      <c r="A74" s="98">
        <v>16</v>
      </c>
      <c r="B74" s="58" t="s">
        <v>883</v>
      </c>
      <c r="C74" s="25" t="s">
        <v>40</v>
      </c>
      <c r="D74" s="25" t="s">
        <v>79</v>
      </c>
      <c r="E74" s="25" t="s">
        <v>46</v>
      </c>
      <c r="F74" s="165" t="s">
        <v>884</v>
      </c>
      <c r="G74" s="25" t="s">
        <v>42</v>
      </c>
      <c r="H74" s="93">
        <v>500</v>
      </c>
      <c r="I74" s="73">
        <v>100</v>
      </c>
      <c r="J74" s="25" t="s">
        <v>43</v>
      </c>
      <c r="K74" s="25" t="s">
        <v>44</v>
      </c>
      <c r="M74">
        <f t="shared" si="0"/>
        <v>100</v>
      </c>
    </row>
    <row r="75" spans="1:13" x14ac:dyDescent="0.25">
      <c r="A75" s="98">
        <v>16</v>
      </c>
      <c r="B75" s="58" t="s">
        <v>885</v>
      </c>
      <c r="C75" s="25" t="s">
        <v>50</v>
      </c>
      <c r="D75" s="25" t="s">
        <v>181</v>
      </c>
      <c r="E75" s="25" t="s">
        <v>60</v>
      </c>
      <c r="F75" s="165" t="s">
        <v>886</v>
      </c>
      <c r="G75" s="25" t="s">
        <v>42</v>
      </c>
      <c r="H75" s="93">
        <v>10000</v>
      </c>
      <c r="I75" s="73">
        <v>2000</v>
      </c>
      <c r="J75" s="25" t="s">
        <v>43</v>
      </c>
      <c r="K75" s="25" t="s">
        <v>44</v>
      </c>
      <c r="M75">
        <f t="shared" si="0"/>
        <v>2000</v>
      </c>
    </row>
    <row r="76" spans="1:13" ht="15.75" x14ac:dyDescent="0.25">
      <c r="A76" s="98">
        <v>16</v>
      </c>
      <c r="B76" s="58" t="s">
        <v>887</v>
      </c>
      <c r="C76" s="25" t="s">
        <v>40</v>
      </c>
      <c r="D76" s="25" t="s">
        <v>345</v>
      </c>
      <c r="E76" s="25" t="s">
        <v>888</v>
      </c>
      <c r="F76" s="165" t="s">
        <v>889</v>
      </c>
      <c r="G76" s="25" t="s">
        <v>42</v>
      </c>
      <c r="H76" s="93">
        <v>4000</v>
      </c>
      <c r="I76" s="73">
        <v>800</v>
      </c>
      <c r="J76" s="25" t="s">
        <v>43</v>
      </c>
      <c r="K76" s="25" t="s">
        <v>44</v>
      </c>
      <c r="M76">
        <f t="shared" si="0"/>
        <v>800</v>
      </c>
    </row>
    <row r="77" spans="1:13" x14ac:dyDescent="0.25">
      <c r="A77" s="98">
        <v>16</v>
      </c>
      <c r="B77" s="58" t="s">
        <v>294</v>
      </c>
      <c r="C77" s="25" t="s">
        <v>40</v>
      </c>
      <c r="D77" s="25" t="s">
        <v>210</v>
      </c>
      <c r="E77" s="25" t="s">
        <v>56</v>
      </c>
      <c r="F77" s="165" t="s">
        <v>327</v>
      </c>
      <c r="G77" s="25" t="s">
        <v>42</v>
      </c>
      <c r="H77" s="93">
        <v>25000</v>
      </c>
      <c r="I77" s="73">
        <v>5000</v>
      </c>
      <c r="J77" s="25" t="s">
        <v>43</v>
      </c>
      <c r="K77" s="25" t="s">
        <v>44</v>
      </c>
      <c r="M77">
        <f t="shared" ref="M77:M110" si="1">H77/5</f>
        <v>5000</v>
      </c>
    </row>
    <row r="78" spans="1:13" x14ac:dyDescent="0.25">
      <c r="A78" s="98">
        <v>16</v>
      </c>
      <c r="B78" s="58" t="s">
        <v>890</v>
      </c>
      <c r="C78" s="25" t="s">
        <v>40</v>
      </c>
      <c r="D78" s="25" t="s">
        <v>207</v>
      </c>
      <c r="E78" s="25" t="s">
        <v>45</v>
      </c>
      <c r="F78" s="165" t="s">
        <v>891</v>
      </c>
      <c r="G78" s="25" t="s">
        <v>42</v>
      </c>
      <c r="H78" s="93">
        <v>10000</v>
      </c>
      <c r="I78" s="73">
        <v>2000</v>
      </c>
      <c r="J78" s="25" t="s">
        <v>43</v>
      </c>
      <c r="K78" s="25" t="s">
        <v>44</v>
      </c>
      <c r="M78">
        <f t="shared" si="1"/>
        <v>2000</v>
      </c>
    </row>
    <row r="79" spans="1:13" x14ac:dyDescent="0.25">
      <c r="A79" s="98">
        <v>16</v>
      </c>
      <c r="B79" s="58" t="s">
        <v>890</v>
      </c>
      <c r="C79" s="25" t="s">
        <v>40</v>
      </c>
      <c r="D79" s="25" t="s">
        <v>207</v>
      </c>
      <c r="E79" s="25" t="s">
        <v>45</v>
      </c>
      <c r="F79" s="165" t="s">
        <v>891</v>
      </c>
      <c r="G79" s="25" t="s">
        <v>42</v>
      </c>
      <c r="H79" s="330">
        <v>500</v>
      </c>
      <c r="I79" s="331" t="s">
        <v>77</v>
      </c>
      <c r="J79" s="25" t="s">
        <v>43</v>
      </c>
      <c r="K79" s="25" t="s">
        <v>44</v>
      </c>
      <c r="M79">
        <f t="shared" si="1"/>
        <v>100</v>
      </c>
    </row>
    <row r="80" spans="1:13" x14ac:dyDescent="0.25">
      <c r="A80" s="98">
        <v>17</v>
      </c>
      <c r="B80" s="94" t="s">
        <v>892</v>
      </c>
      <c r="C80" s="25" t="s">
        <v>40</v>
      </c>
      <c r="D80" s="25" t="s">
        <v>278</v>
      </c>
      <c r="E80" s="25" t="s">
        <v>45</v>
      </c>
      <c r="F80" s="165" t="s">
        <v>893</v>
      </c>
      <c r="G80" s="25" t="s">
        <v>42</v>
      </c>
      <c r="H80" s="93">
        <v>2000</v>
      </c>
      <c r="I80" s="73">
        <v>400</v>
      </c>
      <c r="J80" s="25" t="s">
        <v>43</v>
      </c>
      <c r="K80" s="25" t="s">
        <v>44</v>
      </c>
      <c r="M80">
        <f t="shared" si="1"/>
        <v>400</v>
      </c>
    </row>
    <row r="81" spans="1:17" x14ac:dyDescent="0.25">
      <c r="A81" s="98">
        <v>17</v>
      </c>
      <c r="B81" s="94" t="s">
        <v>894</v>
      </c>
      <c r="C81" s="25" t="s">
        <v>50</v>
      </c>
      <c r="D81" s="25" t="s">
        <v>895</v>
      </c>
      <c r="E81" s="25" t="s">
        <v>80</v>
      </c>
      <c r="F81" s="165" t="s">
        <v>318</v>
      </c>
      <c r="G81" s="25" t="s">
        <v>42</v>
      </c>
      <c r="H81" s="93">
        <v>500</v>
      </c>
      <c r="I81" s="73">
        <v>100</v>
      </c>
      <c r="J81" s="25" t="s">
        <v>43</v>
      </c>
      <c r="K81" s="25" t="s">
        <v>44</v>
      </c>
      <c r="M81">
        <f t="shared" si="1"/>
        <v>100</v>
      </c>
    </row>
    <row r="82" spans="1:17" x14ac:dyDescent="0.25">
      <c r="A82" s="98">
        <v>18</v>
      </c>
      <c r="B82" s="94" t="s">
        <v>896</v>
      </c>
      <c r="C82" s="25" t="s">
        <v>40</v>
      </c>
      <c r="D82" s="25" t="s">
        <v>235</v>
      </c>
      <c r="E82" s="25" t="s">
        <v>55</v>
      </c>
      <c r="F82" s="165" t="s">
        <v>318</v>
      </c>
      <c r="G82" s="25" t="s">
        <v>42</v>
      </c>
      <c r="H82" s="93">
        <v>1000</v>
      </c>
      <c r="I82" s="73">
        <v>200</v>
      </c>
      <c r="J82" s="25" t="s">
        <v>43</v>
      </c>
      <c r="K82" s="25" t="s">
        <v>44</v>
      </c>
      <c r="M82">
        <f t="shared" si="1"/>
        <v>200</v>
      </c>
    </row>
    <row r="83" spans="1:17" x14ac:dyDescent="0.25">
      <c r="A83" s="98">
        <v>18</v>
      </c>
      <c r="B83" s="94" t="s">
        <v>897</v>
      </c>
      <c r="C83" s="25" t="s">
        <v>40</v>
      </c>
      <c r="D83" s="25" t="s">
        <v>181</v>
      </c>
      <c r="E83" s="25" t="s">
        <v>60</v>
      </c>
      <c r="F83" s="165" t="s">
        <v>898</v>
      </c>
      <c r="G83" s="25" t="s">
        <v>42</v>
      </c>
      <c r="H83" s="93">
        <v>25000</v>
      </c>
      <c r="I83" s="73">
        <v>5000</v>
      </c>
      <c r="J83" s="25" t="s">
        <v>43</v>
      </c>
      <c r="K83" s="25" t="s">
        <v>44</v>
      </c>
      <c r="M83">
        <f t="shared" si="1"/>
        <v>5000</v>
      </c>
    </row>
    <row r="84" spans="1:17" x14ac:dyDescent="0.25">
      <c r="A84" s="98">
        <v>18</v>
      </c>
      <c r="B84" s="94" t="s">
        <v>899</v>
      </c>
      <c r="C84" s="25" t="s">
        <v>50</v>
      </c>
      <c r="D84" s="25" t="s">
        <v>79</v>
      </c>
      <c r="E84" s="25" t="s">
        <v>46</v>
      </c>
      <c r="F84" s="165" t="s">
        <v>318</v>
      </c>
      <c r="G84" s="25" t="s">
        <v>42</v>
      </c>
      <c r="H84" s="93">
        <v>400</v>
      </c>
      <c r="I84" s="73">
        <v>80</v>
      </c>
      <c r="J84" s="25" t="s">
        <v>43</v>
      </c>
      <c r="K84" s="25" t="s">
        <v>44</v>
      </c>
      <c r="M84">
        <f t="shared" si="1"/>
        <v>80</v>
      </c>
    </row>
    <row r="85" spans="1:17" x14ac:dyDescent="0.25">
      <c r="A85" s="98">
        <v>18</v>
      </c>
      <c r="B85" s="94" t="s">
        <v>900</v>
      </c>
      <c r="C85" s="25" t="s">
        <v>40</v>
      </c>
      <c r="D85" s="25" t="s">
        <v>258</v>
      </c>
      <c r="E85" s="25" t="s">
        <v>65</v>
      </c>
      <c r="F85" s="165" t="s">
        <v>901</v>
      </c>
      <c r="G85" s="25" t="s">
        <v>42</v>
      </c>
      <c r="H85" s="93">
        <v>1500</v>
      </c>
      <c r="I85" s="73">
        <v>300</v>
      </c>
      <c r="J85" s="25" t="s">
        <v>43</v>
      </c>
      <c r="K85" s="25" t="s">
        <v>44</v>
      </c>
      <c r="M85">
        <f t="shared" si="1"/>
        <v>300</v>
      </c>
    </row>
    <row r="86" spans="1:17" x14ac:dyDescent="0.25">
      <c r="A86" s="98">
        <v>18</v>
      </c>
      <c r="B86" s="94" t="s">
        <v>902</v>
      </c>
      <c r="C86" s="25" t="s">
        <v>50</v>
      </c>
      <c r="D86" s="25" t="s">
        <v>236</v>
      </c>
      <c r="E86" s="25" t="s">
        <v>45</v>
      </c>
      <c r="F86" s="165" t="s">
        <v>903</v>
      </c>
      <c r="G86" s="25" t="s">
        <v>42</v>
      </c>
      <c r="H86" s="93">
        <v>1000</v>
      </c>
      <c r="I86" s="73">
        <v>200</v>
      </c>
      <c r="J86" s="25" t="s">
        <v>43</v>
      </c>
      <c r="K86" s="25" t="s">
        <v>44</v>
      </c>
      <c r="M86">
        <f t="shared" si="1"/>
        <v>200</v>
      </c>
    </row>
    <row r="87" spans="1:17" x14ac:dyDescent="0.25">
      <c r="A87" s="98">
        <v>18</v>
      </c>
      <c r="B87" s="94" t="s">
        <v>904</v>
      </c>
      <c r="C87" s="25" t="s">
        <v>40</v>
      </c>
      <c r="D87" s="25" t="s">
        <v>219</v>
      </c>
      <c r="E87" s="25" t="s">
        <v>48</v>
      </c>
      <c r="F87" s="165" t="s">
        <v>318</v>
      </c>
      <c r="G87" s="25" t="s">
        <v>42</v>
      </c>
      <c r="H87" s="93">
        <v>1000</v>
      </c>
      <c r="I87" s="73">
        <v>200</v>
      </c>
      <c r="J87" s="25" t="s">
        <v>43</v>
      </c>
      <c r="K87" s="25" t="s">
        <v>44</v>
      </c>
      <c r="M87">
        <f t="shared" si="1"/>
        <v>200</v>
      </c>
    </row>
    <row r="88" spans="1:17" x14ac:dyDescent="0.25">
      <c r="A88" s="98">
        <v>18</v>
      </c>
      <c r="B88" s="94" t="s">
        <v>905</v>
      </c>
      <c r="C88" s="25" t="s">
        <v>40</v>
      </c>
      <c r="D88" s="25" t="s">
        <v>291</v>
      </c>
      <c r="E88" s="25" t="s">
        <v>46</v>
      </c>
      <c r="F88" s="165" t="s">
        <v>906</v>
      </c>
      <c r="G88" s="25" t="s">
        <v>42</v>
      </c>
      <c r="H88" s="93">
        <v>300</v>
      </c>
      <c r="I88" s="73">
        <v>60</v>
      </c>
      <c r="J88" s="25" t="s">
        <v>43</v>
      </c>
      <c r="K88" s="25" t="s">
        <v>44</v>
      </c>
      <c r="M88">
        <f t="shared" si="1"/>
        <v>60</v>
      </c>
    </row>
    <row r="89" spans="1:17" x14ac:dyDescent="0.25">
      <c r="A89" s="98">
        <v>19</v>
      </c>
      <c r="B89" s="94" t="s">
        <v>909</v>
      </c>
      <c r="C89" s="25" t="s">
        <v>40</v>
      </c>
      <c r="D89" s="25" t="s">
        <v>178</v>
      </c>
      <c r="E89" s="25" t="s">
        <v>46</v>
      </c>
      <c r="F89" s="165"/>
      <c r="G89" s="25" t="s">
        <v>42</v>
      </c>
      <c r="H89" s="93">
        <v>10000</v>
      </c>
      <c r="I89" s="73">
        <v>2000</v>
      </c>
      <c r="J89" s="25" t="s">
        <v>43</v>
      </c>
      <c r="K89" s="25" t="s">
        <v>44</v>
      </c>
      <c r="M89">
        <f t="shared" si="1"/>
        <v>2000</v>
      </c>
      <c r="Q89" s="67"/>
    </row>
    <row r="90" spans="1:17" x14ac:dyDescent="0.25">
      <c r="A90" s="128">
        <v>19</v>
      </c>
      <c r="B90" s="94" t="s">
        <v>818</v>
      </c>
      <c r="C90" s="25" t="s">
        <v>40</v>
      </c>
      <c r="D90" s="25" t="s">
        <v>419</v>
      </c>
      <c r="E90" s="25" t="s">
        <v>65</v>
      </c>
      <c r="F90" s="165" t="s">
        <v>420</v>
      </c>
      <c r="G90" s="25" t="s">
        <v>42</v>
      </c>
      <c r="H90" s="93">
        <v>10000</v>
      </c>
      <c r="I90" s="73">
        <v>2000</v>
      </c>
      <c r="J90" s="25" t="s">
        <v>43</v>
      </c>
      <c r="K90" s="25" t="s">
        <v>44</v>
      </c>
      <c r="M90">
        <f t="shared" si="1"/>
        <v>2000</v>
      </c>
    </row>
    <row r="91" spans="1:17" x14ac:dyDescent="0.25">
      <c r="A91" s="98">
        <v>23</v>
      </c>
      <c r="B91" s="94" t="s">
        <v>911</v>
      </c>
      <c r="C91" s="25" t="s">
        <v>40</v>
      </c>
      <c r="D91" s="25" t="s">
        <v>201</v>
      </c>
      <c r="E91" s="25" t="s">
        <v>61</v>
      </c>
      <c r="F91" s="165"/>
      <c r="G91" s="25" t="s">
        <v>42</v>
      </c>
      <c r="H91" s="93">
        <v>500</v>
      </c>
      <c r="I91" s="73">
        <v>100</v>
      </c>
      <c r="J91" s="25" t="s">
        <v>43</v>
      </c>
      <c r="K91" s="25" t="s">
        <v>44</v>
      </c>
      <c r="M91">
        <f t="shared" si="1"/>
        <v>100</v>
      </c>
    </row>
    <row r="92" spans="1:17" x14ac:dyDescent="0.25">
      <c r="A92" s="98">
        <v>23</v>
      </c>
      <c r="B92" s="94" t="s">
        <v>912</v>
      </c>
      <c r="C92" s="25" t="s">
        <v>40</v>
      </c>
      <c r="D92" s="25" t="s">
        <v>71</v>
      </c>
      <c r="E92" s="25" t="s">
        <v>45</v>
      </c>
      <c r="F92" s="165"/>
      <c r="G92" s="25" t="s">
        <v>42</v>
      </c>
      <c r="H92" s="93">
        <v>2600</v>
      </c>
      <c r="I92" s="73">
        <v>520</v>
      </c>
      <c r="J92" s="25" t="s">
        <v>43</v>
      </c>
      <c r="K92" s="25" t="s">
        <v>44</v>
      </c>
      <c r="M92">
        <f t="shared" si="1"/>
        <v>520</v>
      </c>
    </row>
    <row r="93" spans="1:17" x14ac:dyDescent="0.25">
      <c r="A93" s="98">
        <v>23</v>
      </c>
      <c r="B93" s="94" t="s">
        <v>624</v>
      </c>
      <c r="C93" s="25" t="s">
        <v>40</v>
      </c>
      <c r="D93" s="25" t="s">
        <v>285</v>
      </c>
      <c r="E93" s="25" t="s">
        <v>46</v>
      </c>
      <c r="F93" s="165"/>
      <c r="G93" s="25" t="s">
        <v>42</v>
      </c>
      <c r="H93" s="93">
        <v>500</v>
      </c>
      <c r="I93" s="73">
        <v>100</v>
      </c>
      <c r="J93" s="25" t="s">
        <v>43</v>
      </c>
      <c r="K93" s="25" t="s">
        <v>44</v>
      </c>
      <c r="M93">
        <f t="shared" si="1"/>
        <v>100</v>
      </c>
    </row>
    <row r="94" spans="1:17" x14ac:dyDescent="0.25">
      <c r="A94" s="98">
        <v>23</v>
      </c>
      <c r="B94" s="94" t="s">
        <v>913</v>
      </c>
      <c r="C94" s="25" t="s">
        <v>50</v>
      </c>
      <c r="D94" s="25" t="s">
        <v>181</v>
      </c>
      <c r="E94" s="25" t="s">
        <v>61</v>
      </c>
      <c r="F94" s="165" t="s">
        <v>914</v>
      </c>
      <c r="G94" s="25" t="s">
        <v>42</v>
      </c>
      <c r="H94" s="93">
        <v>500</v>
      </c>
      <c r="I94" s="73">
        <v>100</v>
      </c>
      <c r="J94" s="25" t="s">
        <v>43</v>
      </c>
      <c r="K94" s="25" t="s">
        <v>44</v>
      </c>
      <c r="M94">
        <f t="shared" si="1"/>
        <v>100</v>
      </c>
    </row>
    <row r="95" spans="1:17" x14ac:dyDescent="0.25">
      <c r="A95" s="98">
        <v>23</v>
      </c>
      <c r="B95" s="94" t="s">
        <v>915</v>
      </c>
      <c r="C95" s="25" t="s">
        <v>40</v>
      </c>
      <c r="D95" s="25" t="s">
        <v>218</v>
      </c>
      <c r="E95" s="25" t="s">
        <v>48</v>
      </c>
      <c r="F95" s="165" t="s">
        <v>916</v>
      </c>
      <c r="G95" s="25" t="s">
        <v>42</v>
      </c>
      <c r="H95" s="93">
        <v>500</v>
      </c>
      <c r="I95" s="73">
        <v>100</v>
      </c>
      <c r="J95" s="25" t="s">
        <v>43</v>
      </c>
      <c r="K95" s="25" t="s">
        <v>44</v>
      </c>
      <c r="M95">
        <f t="shared" si="1"/>
        <v>100</v>
      </c>
    </row>
    <row r="96" spans="1:17" x14ac:dyDescent="0.25">
      <c r="A96" s="98">
        <v>23</v>
      </c>
      <c r="B96" s="94" t="s">
        <v>917</v>
      </c>
      <c r="C96" s="25" t="s">
        <v>40</v>
      </c>
      <c r="D96" s="25" t="s">
        <v>918</v>
      </c>
      <c r="E96" s="25" t="s">
        <v>63</v>
      </c>
      <c r="F96" s="165"/>
      <c r="G96" s="25" t="s">
        <v>42</v>
      </c>
      <c r="H96" s="93">
        <v>1000</v>
      </c>
      <c r="I96" s="73">
        <v>200</v>
      </c>
      <c r="J96" s="25" t="s">
        <v>43</v>
      </c>
      <c r="K96" s="25" t="s">
        <v>44</v>
      </c>
      <c r="M96">
        <f t="shared" si="1"/>
        <v>200</v>
      </c>
    </row>
    <row r="97" spans="1:13" x14ac:dyDescent="0.25">
      <c r="A97" s="98">
        <v>23</v>
      </c>
      <c r="B97" s="94" t="s">
        <v>919</v>
      </c>
      <c r="C97" s="25" t="s">
        <v>50</v>
      </c>
      <c r="D97" s="25" t="s">
        <v>178</v>
      </c>
      <c r="E97" s="25" t="s">
        <v>46</v>
      </c>
      <c r="F97" s="165"/>
      <c r="G97" s="25" t="s">
        <v>42</v>
      </c>
      <c r="H97" s="93">
        <v>1000</v>
      </c>
      <c r="I97" s="73">
        <v>200</v>
      </c>
      <c r="J97" s="25" t="s">
        <v>43</v>
      </c>
      <c r="K97" s="25" t="s">
        <v>44</v>
      </c>
      <c r="M97">
        <f t="shared" si="1"/>
        <v>200</v>
      </c>
    </row>
    <row r="98" spans="1:13" x14ac:dyDescent="0.25">
      <c r="A98" s="98">
        <v>23</v>
      </c>
      <c r="B98" s="94" t="s">
        <v>920</v>
      </c>
      <c r="C98" s="25" t="s">
        <v>40</v>
      </c>
      <c r="D98" s="25" t="s">
        <v>175</v>
      </c>
      <c r="E98" s="25" t="s">
        <v>64</v>
      </c>
      <c r="F98" s="165" t="s">
        <v>921</v>
      </c>
      <c r="G98" s="25" t="s">
        <v>42</v>
      </c>
      <c r="H98" s="93">
        <v>10000</v>
      </c>
      <c r="I98" s="73">
        <v>2000</v>
      </c>
      <c r="J98" s="25" t="s">
        <v>43</v>
      </c>
      <c r="K98" s="25" t="s">
        <v>44</v>
      </c>
      <c r="M98">
        <f t="shared" si="1"/>
        <v>2000</v>
      </c>
    </row>
    <row r="99" spans="1:13" x14ac:dyDescent="0.25">
      <c r="A99" s="98">
        <v>23</v>
      </c>
      <c r="B99" s="94" t="s">
        <v>922</v>
      </c>
      <c r="C99" s="25" t="s">
        <v>50</v>
      </c>
      <c r="D99" s="25" t="s">
        <v>282</v>
      </c>
      <c r="E99" s="25" t="s">
        <v>63</v>
      </c>
      <c r="F99" s="165" t="s">
        <v>348</v>
      </c>
      <c r="G99" s="25" t="s">
        <v>42</v>
      </c>
      <c r="H99" s="93">
        <v>500</v>
      </c>
      <c r="I99" s="73">
        <v>100</v>
      </c>
      <c r="J99" s="25" t="s">
        <v>43</v>
      </c>
      <c r="K99" s="25" t="s">
        <v>44</v>
      </c>
      <c r="M99">
        <f t="shared" si="1"/>
        <v>100</v>
      </c>
    </row>
    <row r="100" spans="1:13" x14ac:dyDescent="0.25">
      <c r="A100" s="98">
        <v>23</v>
      </c>
      <c r="B100" s="94" t="s">
        <v>923</v>
      </c>
      <c r="C100" s="25" t="s">
        <v>40</v>
      </c>
      <c r="D100" s="25" t="s">
        <v>49</v>
      </c>
      <c r="E100" s="25" t="s">
        <v>46</v>
      </c>
      <c r="F100" s="165"/>
      <c r="G100" s="25" t="s">
        <v>42</v>
      </c>
      <c r="H100" s="93">
        <v>500</v>
      </c>
      <c r="I100" s="73">
        <v>100</v>
      </c>
      <c r="J100" s="25" t="s">
        <v>43</v>
      </c>
      <c r="K100" s="25" t="s">
        <v>44</v>
      </c>
      <c r="M100">
        <f t="shared" si="1"/>
        <v>100</v>
      </c>
    </row>
    <row r="101" spans="1:13" x14ac:dyDescent="0.25">
      <c r="A101" s="98">
        <v>23</v>
      </c>
      <c r="B101" s="94" t="s">
        <v>924</v>
      </c>
      <c r="C101" s="25" t="s">
        <v>40</v>
      </c>
      <c r="D101" s="25" t="s">
        <v>71</v>
      </c>
      <c r="E101" s="25" t="s">
        <v>45</v>
      </c>
      <c r="F101" s="165" t="s">
        <v>925</v>
      </c>
      <c r="G101" s="25" t="s">
        <v>42</v>
      </c>
      <c r="H101" s="93">
        <v>500</v>
      </c>
      <c r="I101" s="73">
        <v>100</v>
      </c>
      <c r="J101" s="25" t="s">
        <v>43</v>
      </c>
      <c r="K101" s="25" t="s">
        <v>44</v>
      </c>
      <c r="M101">
        <f t="shared" si="1"/>
        <v>100</v>
      </c>
    </row>
    <row r="102" spans="1:13" x14ac:dyDescent="0.25">
      <c r="A102" s="98">
        <v>24</v>
      </c>
      <c r="B102" s="94" t="s">
        <v>926</v>
      </c>
      <c r="C102" s="25" t="s">
        <v>40</v>
      </c>
      <c r="D102" s="25" t="s">
        <v>360</v>
      </c>
      <c r="E102" s="25" t="s">
        <v>46</v>
      </c>
      <c r="F102" s="165" t="s">
        <v>927</v>
      </c>
      <c r="G102" s="25" t="s">
        <v>42</v>
      </c>
      <c r="H102" s="93">
        <v>500</v>
      </c>
      <c r="I102" s="73">
        <v>100</v>
      </c>
      <c r="J102" s="25" t="s">
        <v>43</v>
      </c>
      <c r="K102" s="25" t="s">
        <v>44</v>
      </c>
      <c r="M102">
        <f t="shared" si="1"/>
        <v>100</v>
      </c>
    </row>
    <row r="103" spans="1:13" x14ac:dyDescent="0.25">
      <c r="A103" s="98">
        <v>24</v>
      </c>
      <c r="B103" s="94" t="s">
        <v>928</v>
      </c>
      <c r="C103" s="25" t="s">
        <v>40</v>
      </c>
      <c r="D103" s="25" t="s">
        <v>71</v>
      </c>
      <c r="E103" s="25" t="s">
        <v>61</v>
      </c>
      <c r="F103" s="165"/>
      <c r="G103" s="25" t="s">
        <v>42</v>
      </c>
      <c r="H103" s="93">
        <v>500</v>
      </c>
      <c r="I103" s="73">
        <v>100</v>
      </c>
      <c r="J103" s="25" t="s">
        <v>43</v>
      </c>
      <c r="K103" s="25" t="s">
        <v>44</v>
      </c>
      <c r="M103">
        <f t="shared" si="1"/>
        <v>100</v>
      </c>
    </row>
    <row r="104" spans="1:13" x14ac:dyDescent="0.25">
      <c r="A104" s="98">
        <v>24</v>
      </c>
      <c r="B104" s="94" t="s">
        <v>929</v>
      </c>
      <c r="C104" s="25" t="s">
        <v>40</v>
      </c>
      <c r="D104" s="25" t="s">
        <v>930</v>
      </c>
      <c r="E104" s="25" t="s">
        <v>64</v>
      </c>
      <c r="F104" s="165"/>
      <c r="G104" s="25" t="s">
        <v>42</v>
      </c>
      <c r="H104" s="93">
        <v>500</v>
      </c>
      <c r="I104" s="73">
        <v>100</v>
      </c>
      <c r="J104" s="25" t="s">
        <v>43</v>
      </c>
      <c r="K104" s="25" t="s">
        <v>44</v>
      </c>
      <c r="M104">
        <f t="shared" si="1"/>
        <v>100</v>
      </c>
    </row>
    <row r="105" spans="1:13" x14ac:dyDescent="0.25">
      <c r="A105" s="98">
        <v>24</v>
      </c>
      <c r="B105" s="94" t="s">
        <v>931</v>
      </c>
      <c r="C105" s="25" t="s">
        <v>40</v>
      </c>
      <c r="D105" s="25" t="s">
        <v>175</v>
      </c>
      <c r="E105" s="25" t="s">
        <v>51</v>
      </c>
      <c r="F105" s="165" t="s">
        <v>932</v>
      </c>
      <c r="G105" s="25" t="s">
        <v>42</v>
      </c>
      <c r="H105" s="93">
        <v>500</v>
      </c>
      <c r="I105" s="73">
        <v>100</v>
      </c>
      <c r="J105" s="25" t="s">
        <v>43</v>
      </c>
      <c r="K105" s="25" t="s">
        <v>44</v>
      </c>
      <c r="M105">
        <f t="shared" si="1"/>
        <v>100</v>
      </c>
    </row>
    <row r="106" spans="1:13" x14ac:dyDescent="0.25">
      <c r="A106" s="98">
        <v>24</v>
      </c>
      <c r="B106" s="94" t="s">
        <v>933</v>
      </c>
      <c r="C106" s="25" t="s">
        <v>40</v>
      </c>
      <c r="D106" s="25" t="s">
        <v>84</v>
      </c>
      <c r="E106" s="25" t="s">
        <v>45</v>
      </c>
      <c r="F106" s="165" t="s">
        <v>329</v>
      </c>
      <c r="G106" s="25" t="s">
        <v>42</v>
      </c>
      <c r="H106" s="93">
        <v>150</v>
      </c>
      <c r="I106" s="73">
        <v>30</v>
      </c>
      <c r="J106" s="25" t="s">
        <v>43</v>
      </c>
      <c r="K106" s="25" t="s">
        <v>44</v>
      </c>
      <c r="M106">
        <f t="shared" si="1"/>
        <v>30</v>
      </c>
    </row>
    <row r="107" spans="1:13" x14ac:dyDescent="0.25">
      <c r="A107" s="98">
        <v>24</v>
      </c>
      <c r="B107" s="94" t="s">
        <v>934</v>
      </c>
      <c r="C107" s="25" t="s">
        <v>40</v>
      </c>
      <c r="D107" s="25" t="s">
        <v>935</v>
      </c>
      <c r="E107" s="25" t="s">
        <v>65</v>
      </c>
      <c r="F107" s="165" t="s">
        <v>936</v>
      </c>
      <c r="G107" s="25" t="s">
        <v>42</v>
      </c>
      <c r="H107" s="93">
        <v>500</v>
      </c>
      <c r="I107" s="73">
        <v>100</v>
      </c>
      <c r="J107" s="25" t="s">
        <v>43</v>
      </c>
      <c r="K107" s="25" t="s">
        <v>44</v>
      </c>
      <c r="M107">
        <f t="shared" si="1"/>
        <v>100</v>
      </c>
    </row>
    <row r="108" spans="1:13" x14ac:dyDescent="0.25">
      <c r="A108" s="98">
        <v>24</v>
      </c>
      <c r="B108" s="94" t="s">
        <v>220</v>
      </c>
      <c r="C108" s="25" t="s">
        <v>40</v>
      </c>
      <c r="D108" s="25" t="s">
        <v>302</v>
      </c>
      <c r="E108" s="25" t="s">
        <v>88</v>
      </c>
      <c r="F108" s="165" t="s">
        <v>314</v>
      </c>
      <c r="G108" s="25" t="s">
        <v>42</v>
      </c>
      <c r="H108" s="93">
        <v>1000</v>
      </c>
      <c r="I108" s="73">
        <v>200</v>
      </c>
      <c r="J108" s="25" t="s">
        <v>43</v>
      </c>
      <c r="K108" s="25" t="s">
        <v>44</v>
      </c>
      <c r="M108">
        <f t="shared" si="1"/>
        <v>200</v>
      </c>
    </row>
    <row r="109" spans="1:13" x14ac:dyDescent="0.25">
      <c r="A109" s="98">
        <v>25</v>
      </c>
      <c r="B109" s="94" t="s">
        <v>937</v>
      </c>
      <c r="C109" s="25" t="s">
        <v>40</v>
      </c>
      <c r="D109" s="25" t="s">
        <v>87</v>
      </c>
      <c r="E109" s="25" t="s">
        <v>46</v>
      </c>
      <c r="F109" s="165" t="s">
        <v>938</v>
      </c>
      <c r="G109" s="25" t="s">
        <v>42</v>
      </c>
      <c r="H109" s="330">
        <v>100</v>
      </c>
      <c r="I109" s="331" t="s">
        <v>77</v>
      </c>
      <c r="J109" s="25" t="s">
        <v>43</v>
      </c>
      <c r="K109" s="25" t="s">
        <v>44</v>
      </c>
      <c r="M109">
        <f t="shared" si="1"/>
        <v>20</v>
      </c>
    </row>
    <row r="110" spans="1:13" x14ac:dyDescent="0.25">
      <c r="A110" s="98">
        <v>25</v>
      </c>
      <c r="B110" s="94" t="s">
        <v>584</v>
      </c>
      <c r="C110" s="25" t="s">
        <v>40</v>
      </c>
      <c r="D110" s="25" t="s">
        <v>253</v>
      </c>
      <c r="E110" s="25" t="s">
        <v>66</v>
      </c>
      <c r="F110" s="165" t="s">
        <v>939</v>
      </c>
      <c r="G110" s="25" t="s">
        <v>42</v>
      </c>
      <c r="H110" s="93">
        <v>20000</v>
      </c>
      <c r="I110" s="73">
        <v>4000</v>
      </c>
      <c r="J110" s="25" t="s">
        <v>43</v>
      </c>
      <c r="K110" s="25" t="s">
        <v>44</v>
      </c>
      <c r="M110">
        <f t="shared" si="1"/>
        <v>4000</v>
      </c>
    </row>
    <row r="111" spans="1:13" x14ac:dyDescent="0.25">
      <c r="A111" s="97"/>
      <c r="B111" s="94"/>
      <c r="C111" s="25"/>
      <c r="D111" s="25"/>
      <c r="E111" s="25"/>
      <c r="F111" s="165"/>
      <c r="G111" s="25"/>
      <c r="H111" s="93"/>
      <c r="I111" s="73"/>
      <c r="J111" s="25"/>
      <c r="K111" s="25"/>
      <c r="M111">
        <f>SUM(M12:M110)</f>
        <v>77790</v>
      </c>
    </row>
    <row r="112" spans="1:13" x14ac:dyDescent="0.25">
      <c r="H112" s="29"/>
      <c r="I112" s="108"/>
    </row>
    <row r="114" spans="2:16" x14ac:dyDescent="0.25">
      <c r="I114" s="110" t="s">
        <v>19</v>
      </c>
      <c r="J114" s="30"/>
    </row>
    <row r="115" spans="2:16" ht="16.5" customHeight="1" x14ac:dyDescent="0.25">
      <c r="B115" t="s">
        <v>20</v>
      </c>
      <c r="E115" t="s">
        <v>21</v>
      </c>
      <c r="I115" s="100" t="s">
        <v>136</v>
      </c>
      <c r="J115" s="115" t="s">
        <v>943</v>
      </c>
      <c r="P115" s="29"/>
    </row>
    <row r="116" spans="2:16" x14ac:dyDescent="0.25">
      <c r="I116" s="100" t="s">
        <v>137</v>
      </c>
      <c r="J116" s="115" t="s">
        <v>942</v>
      </c>
      <c r="K116" s="67"/>
    </row>
    <row r="117" spans="2:16" x14ac:dyDescent="0.25">
      <c r="I117" s="100" t="s">
        <v>138</v>
      </c>
      <c r="J117" s="115">
        <v>0</v>
      </c>
    </row>
    <row r="118" spans="2:16" x14ac:dyDescent="0.25">
      <c r="B118" s="111" t="s">
        <v>98</v>
      </c>
      <c r="E118" s="455" t="s">
        <v>22</v>
      </c>
      <c r="F118" s="455"/>
      <c r="G118" s="455"/>
      <c r="H118" s="455"/>
      <c r="I118" s="100" t="s">
        <v>139</v>
      </c>
      <c r="J118" s="115">
        <v>0</v>
      </c>
    </row>
    <row r="119" spans="2:16" x14ac:dyDescent="0.25">
      <c r="B119" t="s">
        <v>115</v>
      </c>
      <c r="E119" s="444" t="s">
        <v>163</v>
      </c>
      <c r="F119" s="444"/>
      <c r="G119" s="444"/>
      <c r="H119" s="444"/>
      <c r="I119" s="100" t="s">
        <v>143</v>
      </c>
      <c r="J119" s="115">
        <v>0</v>
      </c>
    </row>
    <row r="120" spans="2:16" x14ac:dyDescent="0.25">
      <c r="I120" s="112" t="s">
        <v>135</v>
      </c>
      <c r="J120" s="115">
        <v>0</v>
      </c>
    </row>
    <row r="121" spans="2:16" x14ac:dyDescent="0.25">
      <c r="I121" s="100" t="s">
        <v>23</v>
      </c>
      <c r="J121" s="117"/>
    </row>
    <row r="122" spans="2:16" x14ac:dyDescent="0.25">
      <c r="I122" s="113" t="s">
        <v>133</v>
      </c>
      <c r="J122" s="118" t="s">
        <v>944</v>
      </c>
    </row>
    <row r="123" spans="2:16" x14ac:dyDescent="0.25">
      <c r="I123" s="113" t="s">
        <v>134</v>
      </c>
      <c r="J123" s="69"/>
    </row>
    <row r="124" spans="2:16" x14ac:dyDescent="0.25">
      <c r="B124" s="31"/>
      <c r="E124" s="31"/>
      <c r="F124" s="31"/>
      <c r="G124" s="31"/>
      <c r="I124" s="100"/>
      <c r="J124" s="30"/>
    </row>
    <row r="125" spans="2:16" x14ac:dyDescent="0.25">
      <c r="I125" s="100"/>
      <c r="J125" s="30"/>
    </row>
    <row r="126" spans="2:16" x14ac:dyDescent="0.25">
      <c r="I126" s="100"/>
      <c r="J126" s="30"/>
    </row>
    <row r="127" spans="2:16" x14ac:dyDescent="0.25">
      <c r="I127" s="100"/>
      <c r="J127" s="69"/>
    </row>
    <row r="128" spans="2:16" x14ac:dyDescent="0.25">
      <c r="I128" s="100"/>
      <c r="J128" s="69"/>
    </row>
    <row r="148" spans="12:12" x14ac:dyDescent="0.25">
      <c r="L148" s="29"/>
    </row>
    <row r="171" spans="12:12" x14ac:dyDescent="0.25">
      <c r="L171" s="29"/>
    </row>
    <row r="298" spans="12:12" x14ac:dyDescent="0.25">
      <c r="L298" s="29"/>
    </row>
  </sheetData>
  <mergeCells count="8">
    <mergeCell ref="E118:H118"/>
    <mergeCell ref="E119:H119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-0.249977111117893"/>
  </sheetPr>
  <dimension ref="A1:O28"/>
  <sheetViews>
    <sheetView view="pageBreakPreview" zoomScale="96" zoomScaleNormal="100" zoomScaleSheetLayoutView="96" workbookViewId="0">
      <selection activeCell="L12" sqref="L12:L1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46" t="s">
        <v>791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217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3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0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4</v>
      </c>
      <c r="B12" s="221" t="s">
        <v>801</v>
      </c>
      <c r="C12" s="25"/>
      <c r="D12" s="25"/>
      <c r="E12" s="25" t="s">
        <v>67</v>
      </c>
      <c r="F12" s="222" t="s">
        <v>802</v>
      </c>
      <c r="G12" s="55" t="s">
        <v>803</v>
      </c>
      <c r="H12" s="225" t="s">
        <v>42</v>
      </c>
      <c r="I12" s="93">
        <v>20000</v>
      </c>
      <c r="J12" s="57">
        <v>4000</v>
      </c>
      <c r="K12" s="94"/>
      <c r="L12" s="25" t="s">
        <v>1215</v>
      </c>
      <c r="M12" s="173"/>
    </row>
    <row r="13" spans="1:15" ht="29.25" customHeight="1" x14ac:dyDescent="0.25">
      <c r="A13" s="98">
        <v>13</v>
      </c>
      <c r="B13" s="94" t="s">
        <v>620</v>
      </c>
      <c r="C13" s="25"/>
      <c r="D13" s="94"/>
      <c r="E13" s="94" t="s">
        <v>63</v>
      </c>
      <c r="F13" s="165"/>
      <c r="G13" s="94" t="s">
        <v>247</v>
      </c>
      <c r="H13" s="301" t="s">
        <v>42</v>
      </c>
      <c r="I13" s="93">
        <v>15000</v>
      </c>
      <c r="J13" s="305" t="s">
        <v>77</v>
      </c>
      <c r="K13" s="94"/>
      <c r="L13" s="25" t="s">
        <v>1215</v>
      </c>
      <c r="M13" s="173"/>
      <c r="O13" s="67"/>
    </row>
    <row r="14" spans="1:15" ht="29.25" customHeight="1" x14ac:dyDescent="0.25">
      <c r="A14" s="98">
        <v>18</v>
      </c>
      <c r="B14" s="302" t="s">
        <v>907</v>
      </c>
      <c r="C14" s="27"/>
      <c r="D14" s="94"/>
      <c r="E14" s="94" t="s">
        <v>46</v>
      </c>
      <c r="F14" s="165" t="s">
        <v>908</v>
      </c>
      <c r="G14" s="94" t="s">
        <v>332</v>
      </c>
      <c r="H14" s="303" t="s">
        <v>42</v>
      </c>
      <c r="I14" s="93">
        <v>2500</v>
      </c>
      <c r="J14" s="305" t="s">
        <v>77</v>
      </c>
      <c r="K14" s="94"/>
      <c r="L14" s="25" t="s">
        <v>1215</v>
      </c>
      <c r="O14" s="67"/>
    </row>
    <row r="15" spans="1:15" ht="16.5" customHeight="1" x14ac:dyDescent="0.25">
      <c r="A15" s="72"/>
      <c r="B15" s="302"/>
      <c r="C15" s="27"/>
      <c r="D15" s="94"/>
      <c r="E15" s="94"/>
      <c r="F15" s="165"/>
      <c r="G15" s="94"/>
      <c r="H15" s="304"/>
      <c r="I15" s="93"/>
      <c r="J15" s="57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165"/>
      <c r="G16" s="94"/>
      <c r="H16" s="130"/>
      <c r="I16" s="93">
        <f>SUM(I12:I15)</f>
        <v>37500</v>
      </c>
      <c r="J16" s="25"/>
      <c r="K16" s="94"/>
      <c r="L16" s="94"/>
      <c r="O16" s="67"/>
    </row>
    <row r="17" spans="2:12" x14ac:dyDescent="0.25">
      <c r="I17" s="30"/>
      <c r="J17" s="30"/>
    </row>
    <row r="18" spans="2:12" x14ac:dyDescent="0.25">
      <c r="I18" s="59" t="s">
        <v>19</v>
      </c>
      <c r="J18" s="30"/>
    </row>
    <row r="19" spans="2:12" x14ac:dyDescent="0.25">
      <c r="I19" s="30" t="s">
        <v>136</v>
      </c>
      <c r="J19" s="30"/>
    </row>
    <row r="20" spans="2:12" x14ac:dyDescent="0.25">
      <c r="B20" t="s">
        <v>20</v>
      </c>
      <c r="E20" t="s">
        <v>21</v>
      </c>
      <c r="I20" s="30" t="s">
        <v>137</v>
      </c>
      <c r="J20" s="118" t="s">
        <v>941</v>
      </c>
    </row>
    <row r="21" spans="2:12" x14ac:dyDescent="0.25">
      <c r="I21" s="30"/>
      <c r="J21" s="118"/>
    </row>
    <row r="22" spans="2:12" x14ac:dyDescent="0.25">
      <c r="I22" s="30" t="s">
        <v>138</v>
      </c>
      <c r="J22" s="115">
        <v>0</v>
      </c>
    </row>
    <row r="23" spans="2:12" x14ac:dyDescent="0.25">
      <c r="I23" s="30" t="s">
        <v>142</v>
      </c>
      <c r="J23" s="115">
        <v>0</v>
      </c>
    </row>
    <row r="24" spans="2:12" x14ac:dyDescent="0.25">
      <c r="B24" s="31" t="s">
        <v>98</v>
      </c>
      <c r="E24" s="443" t="s">
        <v>22</v>
      </c>
      <c r="F24" s="443"/>
      <c r="G24" s="443"/>
      <c r="H24" s="443"/>
      <c r="I24" s="30" t="s">
        <v>143</v>
      </c>
      <c r="J24" s="115">
        <v>0</v>
      </c>
      <c r="L24" s="67"/>
    </row>
    <row r="25" spans="2:12" x14ac:dyDescent="0.25">
      <c r="B25" t="s">
        <v>115</v>
      </c>
      <c r="E25" s="444" t="s">
        <v>163</v>
      </c>
      <c r="F25" s="444"/>
      <c r="G25" s="444"/>
      <c r="H25" s="444"/>
      <c r="I25" s="30" t="s">
        <v>144</v>
      </c>
      <c r="J25" s="115">
        <v>0</v>
      </c>
      <c r="L25" s="67"/>
    </row>
    <row r="26" spans="2:12" x14ac:dyDescent="0.25">
      <c r="I26" s="30" t="s">
        <v>23</v>
      </c>
      <c r="J26" s="117"/>
    </row>
    <row r="27" spans="2:12" x14ac:dyDescent="0.25">
      <c r="I27" s="4" t="s">
        <v>145</v>
      </c>
      <c r="J27" s="118"/>
    </row>
    <row r="28" spans="2:12" x14ac:dyDescent="0.25">
      <c r="I28" s="4" t="s">
        <v>108</v>
      </c>
      <c r="J28" s="118"/>
    </row>
  </sheetData>
  <mergeCells count="9">
    <mergeCell ref="A8:B8"/>
    <mergeCell ref="E24:H24"/>
    <mergeCell ref="E25:H2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W26"/>
  <sheetViews>
    <sheetView view="pageBreakPreview" topLeftCell="F1" zoomScale="93" zoomScaleNormal="84" zoomScaleSheetLayoutView="93" workbookViewId="0">
      <selection activeCell="G16" sqref="G16"/>
    </sheetView>
  </sheetViews>
  <sheetFormatPr defaultRowHeight="15" x14ac:dyDescent="0.25"/>
  <cols>
    <col min="1" max="1" width="16" customWidth="1"/>
    <col min="2" max="3" width="15" customWidth="1"/>
    <col min="4" max="5" width="17.7109375" customWidth="1"/>
    <col min="6" max="6" width="12.28515625" customWidth="1"/>
    <col min="7" max="7" width="13" customWidth="1"/>
    <col min="8" max="8" width="18.28515625" customWidth="1"/>
    <col min="9" max="9" width="17.28515625" customWidth="1"/>
    <col min="10" max="10" width="11.42578125" customWidth="1"/>
    <col min="11" max="11" width="13.42578125" customWidth="1"/>
    <col min="12" max="12" width="18" customWidth="1"/>
    <col min="13" max="13" width="17.5703125" customWidth="1"/>
    <col min="14" max="14" width="11.85546875" customWidth="1"/>
    <col min="15" max="15" width="13.7109375" customWidth="1"/>
    <col min="16" max="16" width="17.7109375" customWidth="1"/>
    <col min="17" max="17" width="17.28515625" customWidth="1"/>
    <col min="18" max="18" width="11.5703125" customWidth="1"/>
    <col min="19" max="19" width="13.42578125" customWidth="1"/>
    <col min="20" max="20" width="18.85546875" customWidth="1"/>
    <col min="21" max="21" width="17" customWidth="1"/>
    <col min="22" max="22" width="19.42578125" customWidth="1"/>
    <col min="23" max="23" width="19.85546875" customWidth="1"/>
  </cols>
  <sheetData>
    <row r="1" spans="1:23" ht="26.25" x14ac:dyDescent="0.4">
      <c r="A1" s="423" t="s">
        <v>782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</row>
    <row r="2" spans="1:23" ht="15.75" thickBot="1" x14ac:dyDescent="0.3"/>
    <row r="3" spans="1:23" ht="39.75" customHeight="1" x14ac:dyDescent="0.25">
      <c r="A3" s="424" t="s">
        <v>779</v>
      </c>
      <c r="B3" s="426" t="s">
        <v>119</v>
      </c>
      <c r="C3" s="427"/>
      <c r="D3" s="427"/>
      <c r="E3" s="428"/>
      <c r="F3" s="429" t="s">
        <v>121</v>
      </c>
      <c r="G3" s="430"/>
      <c r="H3" s="430"/>
      <c r="I3" s="431"/>
      <c r="J3" s="432" t="s">
        <v>118</v>
      </c>
      <c r="K3" s="433"/>
      <c r="L3" s="433"/>
      <c r="M3" s="434"/>
      <c r="N3" s="435" t="s">
        <v>131</v>
      </c>
      <c r="O3" s="436"/>
      <c r="P3" s="436"/>
      <c r="Q3" s="437"/>
      <c r="R3" s="438" t="s">
        <v>162</v>
      </c>
      <c r="S3" s="439"/>
      <c r="T3" s="439"/>
      <c r="U3" s="440"/>
      <c r="V3" s="299" t="s">
        <v>214</v>
      </c>
      <c r="W3" s="421" t="s">
        <v>786</v>
      </c>
    </row>
    <row r="4" spans="1:23" ht="63.75" customHeight="1" thickBot="1" x14ac:dyDescent="0.3">
      <c r="A4" s="425"/>
      <c r="B4" s="297" t="s">
        <v>117</v>
      </c>
      <c r="C4" s="295" t="s">
        <v>116</v>
      </c>
      <c r="D4" s="296" t="s">
        <v>780</v>
      </c>
      <c r="E4" s="298" t="s">
        <v>781</v>
      </c>
      <c r="F4" s="297" t="s">
        <v>117</v>
      </c>
      <c r="G4" s="295" t="s">
        <v>116</v>
      </c>
      <c r="H4" s="296" t="s">
        <v>780</v>
      </c>
      <c r="I4" s="298" t="s">
        <v>781</v>
      </c>
      <c r="J4" s="297" t="s">
        <v>117</v>
      </c>
      <c r="K4" s="295" t="s">
        <v>116</v>
      </c>
      <c r="L4" s="296" t="s">
        <v>780</v>
      </c>
      <c r="M4" s="298" t="s">
        <v>781</v>
      </c>
      <c r="N4" s="297" t="s">
        <v>117</v>
      </c>
      <c r="O4" s="295" t="s">
        <v>116</v>
      </c>
      <c r="P4" s="296" t="s">
        <v>780</v>
      </c>
      <c r="Q4" s="298" t="s">
        <v>781</v>
      </c>
      <c r="R4" s="297" t="s">
        <v>117</v>
      </c>
      <c r="S4" s="295" t="s">
        <v>116</v>
      </c>
      <c r="T4" s="296" t="s">
        <v>780</v>
      </c>
      <c r="U4" s="298" t="s">
        <v>781</v>
      </c>
      <c r="V4" s="300" t="s">
        <v>780</v>
      </c>
      <c r="W4" s="422"/>
    </row>
    <row r="5" spans="1:23" ht="63.75" customHeight="1" x14ac:dyDescent="0.25">
      <c r="A5" s="290" t="s">
        <v>783</v>
      </c>
      <c r="B5" s="291">
        <v>5466839</v>
      </c>
      <c r="C5" s="291">
        <v>1287092</v>
      </c>
      <c r="D5" s="291">
        <f>B5+C5</f>
        <v>6753931</v>
      </c>
      <c r="E5" s="292">
        <f>D5+E11</f>
        <v>8104717.2000000002</v>
      </c>
      <c r="F5" s="291">
        <v>17578</v>
      </c>
      <c r="G5" s="291">
        <v>0</v>
      </c>
      <c r="H5" s="291">
        <f>F5+G5</f>
        <v>17578</v>
      </c>
      <c r="I5" s="292">
        <f>H5+I11</f>
        <v>21093.599999999999</v>
      </c>
      <c r="J5" s="291">
        <v>2250</v>
      </c>
      <c r="K5" s="291">
        <v>0</v>
      </c>
      <c r="L5" s="291">
        <f>J5+K5</f>
        <v>2250</v>
      </c>
      <c r="M5" s="292">
        <f>L5+M11</f>
        <v>2700</v>
      </c>
      <c r="N5" s="291">
        <v>0</v>
      </c>
      <c r="O5" s="291">
        <v>0</v>
      </c>
      <c r="P5" s="291">
        <f>N5+O5</f>
        <v>0</v>
      </c>
      <c r="Q5" s="292">
        <f>P5+Q11</f>
        <v>0</v>
      </c>
      <c r="R5" s="291">
        <v>41650</v>
      </c>
      <c r="S5" s="291">
        <v>84000</v>
      </c>
      <c r="T5" s="291">
        <f>R5+S5</f>
        <v>125650</v>
      </c>
      <c r="U5" s="293">
        <f>T5+U11</f>
        <v>150780</v>
      </c>
      <c r="V5" s="294">
        <v>15239</v>
      </c>
      <c r="W5" s="287">
        <v>1933</v>
      </c>
    </row>
    <row r="6" spans="1:23" ht="63.75" customHeight="1" x14ac:dyDescent="0.25">
      <c r="A6" s="282" t="s">
        <v>784</v>
      </c>
      <c r="B6" s="283">
        <v>5517875</v>
      </c>
      <c r="C6" s="283">
        <v>1489619</v>
      </c>
      <c r="D6" s="283">
        <f t="shared" ref="D6:D8" si="0">B6+C6</f>
        <v>7007494</v>
      </c>
      <c r="E6" s="284">
        <f>D6+E12</f>
        <v>8408992.8000000007</v>
      </c>
      <c r="F6" s="283">
        <v>15053</v>
      </c>
      <c r="G6" s="283">
        <v>844</v>
      </c>
      <c r="H6" s="283">
        <f t="shared" ref="H6:H8" si="1">F6+G6</f>
        <v>15897</v>
      </c>
      <c r="I6" s="284">
        <f>H6+I12</f>
        <v>19076.400000000001</v>
      </c>
      <c r="J6" s="283">
        <v>10580</v>
      </c>
      <c r="K6" s="283">
        <v>9500</v>
      </c>
      <c r="L6" s="283">
        <f t="shared" ref="L6:L8" si="2">J6+K6</f>
        <v>20080</v>
      </c>
      <c r="M6" s="284">
        <f>L6+M12</f>
        <v>24096</v>
      </c>
      <c r="N6" s="283">
        <v>28960</v>
      </c>
      <c r="O6" s="283">
        <v>13640</v>
      </c>
      <c r="P6" s="283">
        <f t="shared" ref="P6:P8" si="3">N6+O6</f>
        <v>42600</v>
      </c>
      <c r="Q6" s="284">
        <f>P6+Q12</f>
        <v>51120</v>
      </c>
      <c r="R6" s="283">
        <v>30800</v>
      </c>
      <c r="S6" s="283">
        <v>75153</v>
      </c>
      <c r="T6" s="283">
        <f t="shared" ref="T6:T8" si="4">R6+S6</f>
        <v>105953</v>
      </c>
      <c r="U6" s="285">
        <f>T6+U12</f>
        <v>127143.6</v>
      </c>
      <c r="V6" s="286">
        <v>12250</v>
      </c>
      <c r="W6" s="287">
        <v>3251</v>
      </c>
    </row>
    <row r="7" spans="1:23" ht="63.75" customHeight="1" x14ac:dyDescent="0.25">
      <c r="A7" s="282" t="s">
        <v>785</v>
      </c>
      <c r="B7" s="283">
        <v>4997870</v>
      </c>
      <c r="C7" s="283">
        <v>1207180</v>
      </c>
      <c r="D7" s="283">
        <f t="shared" si="0"/>
        <v>6205050</v>
      </c>
      <c r="E7" s="284">
        <f>D7+E13</f>
        <v>7446060</v>
      </c>
      <c r="F7" s="283">
        <v>8756</v>
      </c>
      <c r="G7" s="283">
        <v>1123</v>
      </c>
      <c r="H7" s="283">
        <f t="shared" si="1"/>
        <v>9879</v>
      </c>
      <c r="I7" s="284">
        <f>H7+I13</f>
        <v>11854.8</v>
      </c>
      <c r="J7" s="283">
        <v>12400</v>
      </c>
      <c r="K7" s="283">
        <v>0</v>
      </c>
      <c r="L7" s="283">
        <f t="shared" si="2"/>
        <v>12400</v>
      </c>
      <c r="M7" s="284">
        <f>L7+M13</f>
        <v>14880</v>
      </c>
      <c r="N7" s="283">
        <v>53650</v>
      </c>
      <c r="O7" s="283">
        <v>37675</v>
      </c>
      <c r="P7" s="283">
        <f t="shared" si="3"/>
        <v>91325</v>
      </c>
      <c r="Q7" s="284">
        <f>P7+Q13</f>
        <v>109590</v>
      </c>
      <c r="R7" s="283">
        <v>24200</v>
      </c>
      <c r="S7" s="283">
        <v>118745</v>
      </c>
      <c r="T7" s="283">
        <f t="shared" si="4"/>
        <v>142945</v>
      </c>
      <c r="U7" s="285">
        <f>T7+U13</f>
        <v>171534</v>
      </c>
      <c r="V7" s="286">
        <v>23508</v>
      </c>
      <c r="W7" s="287">
        <v>2626</v>
      </c>
    </row>
    <row r="8" spans="1:23" ht="63.75" customHeight="1" x14ac:dyDescent="0.25">
      <c r="A8" s="288" t="s">
        <v>788</v>
      </c>
      <c r="B8" s="283">
        <v>657150</v>
      </c>
      <c r="C8" s="283">
        <v>221170</v>
      </c>
      <c r="D8" s="283">
        <f t="shared" si="0"/>
        <v>878320</v>
      </c>
      <c r="E8" s="284">
        <f>D8+E14</f>
        <v>1053984</v>
      </c>
      <c r="F8" s="283">
        <v>26</v>
      </c>
      <c r="G8" s="283">
        <v>22</v>
      </c>
      <c r="H8" s="283">
        <f t="shared" si="1"/>
        <v>48</v>
      </c>
      <c r="I8" s="284">
        <f>H8+I14</f>
        <v>57.6</v>
      </c>
      <c r="J8" s="283">
        <v>0</v>
      </c>
      <c r="K8" s="283">
        <v>1000</v>
      </c>
      <c r="L8" s="283">
        <f t="shared" si="2"/>
        <v>1000</v>
      </c>
      <c r="M8" s="284">
        <f>L8+M14</f>
        <v>1200</v>
      </c>
      <c r="N8" s="283">
        <v>0</v>
      </c>
      <c r="O8" s="283">
        <v>0</v>
      </c>
      <c r="P8" s="283">
        <f t="shared" si="3"/>
        <v>0</v>
      </c>
      <c r="Q8" s="284">
        <f>P8+Q14</f>
        <v>0</v>
      </c>
      <c r="R8" s="283">
        <v>20</v>
      </c>
      <c r="S8" s="283">
        <v>0</v>
      </c>
      <c r="T8" s="283">
        <f t="shared" si="4"/>
        <v>20</v>
      </c>
      <c r="U8" s="285">
        <f>T8+U14</f>
        <v>24</v>
      </c>
      <c r="V8" s="286">
        <v>19115</v>
      </c>
      <c r="W8" s="289">
        <v>229</v>
      </c>
    </row>
    <row r="11" spans="1:23" ht="35.25" customHeight="1" x14ac:dyDescent="0.25">
      <c r="E11" s="67">
        <f>D5*0.2</f>
        <v>1350786.2000000002</v>
      </c>
      <c r="I11" s="67">
        <f>H5*0.2</f>
        <v>3515.6000000000004</v>
      </c>
      <c r="M11" s="92">
        <f>L5*0.2</f>
        <v>450</v>
      </c>
      <c r="Q11" s="87">
        <f>P5*0.2</f>
        <v>0</v>
      </c>
      <c r="U11" s="92">
        <f>T5*0.2</f>
        <v>25130</v>
      </c>
    </row>
    <row r="12" spans="1:23" x14ac:dyDescent="0.25">
      <c r="E12" s="67">
        <f>D6*0.2</f>
        <v>1401498.8</v>
      </c>
      <c r="I12" s="67">
        <f>H6*0.2</f>
        <v>3179.4</v>
      </c>
      <c r="M12" s="92">
        <f>L6*0.2</f>
        <v>4016</v>
      </c>
      <c r="Q12" s="87">
        <f>P6*0.2</f>
        <v>8520</v>
      </c>
      <c r="U12" s="92">
        <f>T6*0.2</f>
        <v>21190.600000000002</v>
      </c>
    </row>
    <row r="13" spans="1:23" x14ac:dyDescent="0.25">
      <c r="E13" s="67">
        <f>D7*0.2</f>
        <v>1241010</v>
      </c>
      <c r="I13" s="67">
        <f>H7*0.2</f>
        <v>1975.8000000000002</v>
      </c>
      <c r="M13" s="92">
        <f>L7*0.2</f>
        <v>2480</v>
      </c>
      <c r="Q13" s="87">
        <f>P7*0.2</f>
        <v>18265</v>
      </c>
      <c r="U13" s="92">
        <f>T7*0.2</f>
        <v>28589</v>
      </c>
    </row>
    <row r="14" spans="1:23" x14ac:dyDescent="0.25">
      <c r="E14" s="67">
        <f>D8*0.2</f>
        <v>175664</v>
      </c>
      <c r="I14" s="67">
        <f>H8*0.2</f>
        <v>9.6000000000000014</v>
      </c>
      <c r="M14" s="92">
        <f>L8*0.2</f>
        <v>200</v>
      </c>
      <c r="Q14" s="87">
        <f>P8*0.2</f>
        <v>0</v>
      </c>
      <c r="U14" s="92">
        <f>T8*0.2</f>
        <v>4</v>
      </c>
    </row>
    <row r="19" spans="5:5" x14ac:dyDescent="0.25">
      <c r="E19" s="181"/>
    </row>
    <row r="26" spans="5:5" x14ac:dyDescent="0.25">
      <c r="E26" s="181"/>
    </row>
  </sheetData>
  <mergeCells count="8">
    <mergeCell ref="A1:V1"/>
    <mergeCell ref="W3:W4"/>
    <mergeCell ref="A3:A4"/>
    <mergeCell ref="B3:E3"/>
    <mergeCell ref="F3:I3"/>
    <mergeCell ref="J3:M3"/>
    <mergeCell ref="N3:Q3"/>
    <mergeCell ref="R3:U3"/>
  </mergeCells>
  <printOptions horizontalCentered="1"/>
  <pageMargins left="0.25" right="0.25" top="0.75" bottom="0.75" header="0.3" footer="0.3"/>
  <pageSetup paperSize="155" scale="3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39997558519241921"/>
  </sheetPr>
  <dimension ref="A1:R289"/>
  <sheetViews>
    <sheetView view="pageBreakPreview" topLeftCell="A93" zoomScale="106" zoomScaleNormal="100" zoomScaleSheetLayoutView="106" workbookViewId="0">
      <selection activeCell="O20" sqref="O20"/>
    </sheetView>
  </sheetViews>
  <sheetFormatPr defaultRowHeight="15" x14ac:dyDescent="0.25"/>
  <cols>
    <col min="1" max="1" width="4.7109375" style="1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5" ht="18" x14ac:dyDescent="0.25">
      <c r="A2" s="458" t="s">
        <v>642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5" x14ac:dyDescent="0.25">
      <c r="B3" s="2"/>
      <c r="C3" s="4"/>
      <c r="D3" s="2"/>
      <c r="E3" s="2"/>
      <c r="G3" s="4"/>
      <c r="H3" s="80"/>
      <c r="I3" s="100"/>
      <c r="J3" s="101" t="s">
        <v>169</v>
      </c>
      <c r="K3" s="102"/>
    </row>
    <row r="4" spans="1:15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255</v>
      </c>
    </row>
    <row r="5" spans="1:15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32</v>
      </c>
    </row>
    <row r="6" spans="1:15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170</v>
      </c>
      <c r="K6" s="104"/>
    </row>
    <row r="7" spans="1:15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</row>
    <row r="8" spans="1:15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5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</row>
    <row r="10" spans="1:15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5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5" x14ac:dyDescent="0.25">
      <c r="A12" s="224">
        <v>4</v>
      </c>
      <c r="B12" s="218" t="s">
        <v>643</v>
      </c>
      <c r="C12" s="218" t="s">
        <v>40</v>
      </c>
      <c r="D12" s="218" t="s">
        <v>176</v>
      </c>
      <c r="E12" s="218" t="s">
        <v>53</v>
      </c>
      <c r="F12" s="222" t="s">
        <v>644</v>
      </c>
      <c r="G12" s="215" t="s">
        <v>42</v>
      </c>
      <c r="H12" s="216">
        <v>700</v>
      </c>
      <c r="I12" s="217">
        <v>140</v>
      </c>
      <c r="J12" s="25"/>
      <c r="K12" s="25" t="s">
        <v>44</v>
      </c>
      <c r="M12">
        <f>H12/5</f>
        <v>140</v>
      </c>
      <c r="O12" s="29">
        <f>SUM(H12:H58)</f>
        <v>99100</v>
      </c>
    </row>
    <row r="13" spans="1:15" x14ac:dyDescent="0.25">
      <c r="A13" s="98">
        <v>4</v>
      </c>
      <c r="B13" s="25" t="s">
        <v>645</v>
      </c>
      <c r="C13" s="25" t="s">
        <v>40</v>
      </c>
      <c r="D13" s="25" t="s">
        <v>173</v>
      </c>
      <c r="E13" s="25" t="s">
        <v>46</v>
      </c>
      <c r="F13" s="165"/>
      <c r="G13" s="58" t="s">
        <v>42</v>
      </c>
      <c r="H13" s="65">
        <v>2000</v>
      </c>
      <c r="I13" s="74">
        <v>400</v>
      </c>
      <c r="J13" s="25" t="s">
        <v>43</v>
      </c>
      <c r="K13" s="25" t="s">
        <v>44</v>
      </c>
      <c r="M13">
        <f t="shared" ref="M13:M76" si="0">H13/5</f>
        <v>400</v>
      </c>
      <c r="O13" s="67">
        <f>SUM(H61:H98)</f>
        <v>102050</v>
      </c>
    </row>
    <row r="14" spans="1:15" x14ac:dyDescent="0.25">
      <c r="A14" s="98">
        <v>4</v>
      </c>
      <c r="B14" s="25" t="s">
        <v>646</v>
      </c>
      <c r="C14" s="25" t="s">
        <v>40</v>
      </c>
      <c r="D14" s="25" t="s">
        <v>84</v>
      </c>
      <c r="E14" s="25" t="s">
        <v>63</v>
      </c>
      <c r="F14" s="165" t="s">
        <v>647</v>
      </c>
      <c r="G14" s="58" t="s">
        <v>42</v>
      </c>
      <c r="H14" s="65">
        <v>1000</v>
      </c>
      <c r="I14" s="74">
        <v>200</v>
      </c>
      <c r="J14" s="25" t="s">
        <v>43</v>
      </c>
      <c r="K14" s="25" t="s">
        <v>44</v>
      </c>
      <c r="M14">
        <f t="shared" si="0"/>
        <v>200</v>
      </c>
      <c r="O14" s="341">
        <f>SUM(O12:O13)</f>
        <v>201150</v>
      </c>
    </row>
    <row r="15" spans="1:15" x14ac:dyDescent="0.25">
      <c r="A15" s="98">
        <v>4</v>
      </c>
      <c r="B15" s="25" t="s">
        <v>648</v>
      </c>
      <c r="C15" s="25" t="s">
        <v>40</v>
      </c>
      <c r="D15" s="25" t="s">
        <v>389</v>
      </c>
      <c r="E15" s="25" t="s">
        <v>61</v>
      </c>
      <c r="F15" s="165"/>
      <c r="G15" s="58" t="s">
        <v>42</v>
      </c>
      <c r="H15" s="65">
        <v>1500</v>
      </c>
      <c r="I15" s="74">
        <v>300</v>
      </c>
      <c r="J15" s="25" t="s">
        <v>43</v>
      </c>
      <c r="K15" s="25" t="s">
        <v>44</v>
      </c>
      <c r="M15">
        <f t="shared" si="0"/>
        <v>300</v>
      </c>
    </row>
    <row r="16" spans="1:15" x14ac:dyDescent="0.25">
      <c r="A16" s="98">
        <v>4</v>
      </c>
      <c r="B16" s="25" t="s">
        <v>649</v>
      </c>
      <c r="C16" s="25" t="s">
        <v>40</v>
      </c>
      <c r="D16" s="25" t="s">
        <v>95</v>
      </c>
      <c r="E16" s="25" t="s">
        <v>55</v>
      </c>
      <c r="F16" s="165" t="s">
        <v>650</v>
      </c>
      <c r="G16" s="58" t="s">
        <v>42</v>
      </c>
      <c r="H16" s="65">
        <v>5000</v>
      </c>
      <c r="I16" s="74">
        <v>1000</v>
      </c>
      <c r="J16" s="25" t="s">
        <v>43</v>
      </c>
      <c r="K16" s="25" t="s">
        <v>44</v>
      </c>
      <c r="M16">
        <f t="shared" si="0"/>
        <v>1000</v>
      </c>
    </row>
    <row r="17" spans="1:16" x14ac:dyDescent="0.25">
      <c r="A17" s="98">
        <v>4</v>
      </c>
      <c r="B17" s="25" t="s">
        <v>651</v>
      </c>
      <c r="C17" s="25" t="s">
        <v>40</v>
      </c>
      <c r="D17" s="25" t="s">
        <v>320</v>
      </c>
      <c r="E17" s="25" t="s">
        <v>45</v>
      </c>
      <c r="F17" s="165" t="s">
        <v>652</v>
      </c>
      <c r="G17" s="58" t="s">
        <v>42</v>
      </c>
      <c r="H17" s="65">
        <v>1000</v>
      </c>
      <c r="I17" s="74">
        <v>200</v>
      </c>
      <c r="J17" s="25" t="s">
        <v>43</v>
      </c>
      <c r="K17" s="25" t="s">
        <v>44</v>
      </c>
      <c r="M17">
        <f t="shared" si="0"/>
        <v>200</v>
      </c>
    </row>
    <row r="18" spans="1:16" x14ac:dyDescent="0.25">
      <c r="A18" s="98">
        <v>4</v>
      </c>
      <c r="B18" s="25" t="s">
        <v>653</v>
      </c>
      <c r="C18" s="25" t="s">
        <v>40</v>
      </c>
      <c r="D18" s="25" t="s">
        <v>392</v>
      </c>
      <c r="E18" s="25" t="s">
        <v>45</v>
      </c>
      <c r="F18" s="165" t="s">
        <v>654</v>
      </c>
      <c r="G18" s="58" t="s">
        <v>42</v>
      </c>
      <c r="H18" s="65">
        <v>2000</v>
      </c>
      <c r="I18" s="74">
        <v>600</v>
      </c>
      <c r="J18" s="25" t="s">
        <v>43</v>
      </c>
      <c r="K18" s="25" t="s">
        <v>44</v>
      </c>
      <c r="M18">
        <f t="shared" si="0"/>
        <v>400</v>
      </c>
    </row>
    <row r="19" spans="1:16" x14ac:dyDescent="0.25">
      <c r="A19" s="98">
        <v>4</v>
      </c>
      <c r="B19" s="25" t="s">
        <v>655</v>
      </c>
      <c r="C19" s="25" t="s">
        <v>40</v>
      </c>
      <c r="D19" s="25" t="s">
        <v>234</v>
      </c>
      <c r="E19" s="25" t="s">
        <v>45</v>
      </c>
      <c r="F19" s="165" t="s">
        <v>656</v>
      </c>
      <c r="G19" s="58" t="s">
        <v>42</v>
      </c>
      <c r="H19" s="65">
        <v>1000</v>
      </c>
      <c r="I19" s="74">
        <v>200</v>
      </c>
      <c r="J19" s="25" t="s">
        <v>43</v>
      </c>
      <c r="K19" s="25" t="s">
        <v>44</v>
      </c>
      <c r="M19">
        <f t="shared" si="0"/>
        <v>200</v>
      </c>
    </row>
    <row r="20" spans="1:16" x14ac:dyDescent="0.25">
      <c r="A20" s="98">
        <v>4</v>
      </c>
      <c r="B20" s="25" t="s">
        <v>657</v>
      </c>
      <c r="C20" s="25" t="s">
        <v>40</v>
      </c>
      <c r="D20" s="25" t="s">
        <v>382</v>
      </c>
      <c r="E20" s="25" t="s">
        <v>53</v>
      </c>
      <c r="F20" s="165" t="s">
        <v>658</v>
      </c>
      <c r="G20" s="58" t="s">
        <v>42</v>
      </c>
      <c r="H20" s="65">
        <v>1000</v>
      </c>
      <c r="I20" s="74">
        <v>200</v>
      </c>
      <c r="J20" s="25" t="s">
        <v>43</v>
      </c>
      <c r="K20" s="25" t="s">
        <v>44</v>
      </c>
      <c r="M20">
        <f t="shared" si="0"/>
        <v>200</v>
      </c>
    </row>
    <row r="21" spans="1:16" x14ac:dyDescent="0.25">
      <c r="A21" s="98">
        <v>4</v>
      </c>
      <c r="B21" s="25" t="s">
        <v>659</v>
      </c>
      <c r="C21" s="25" t="s">
        <v>40</v>
      </c>
      <c r="D21" s="25" t="s">
        <v>64</v>
      </c>
      <c r="E21" s="25" t="s">
        <v>48</v>
      </c>
      <c r="F21" s="165" t="s">
        <v>660</v>
      </c>
      <c r="G21" s="58" t="s">
        <v>42</v>
      </c>
      <c r="H21" s="65">
        <v>500</v>
      </c>
      <c r="I21" s="74">
        <v>100</v>
      </c>
      <c r="J21" s="25" t="s">
        <v>43</v>
      </c>
      <c r="K21" s="25" t="s">
        <v>44</v>
      </c>
      <c r="M21">
        <f t="shared" si="0"/>
        <v>100</v>
      </c>
    </row>
    <row r="22" spans="1:16" x14ac:dyDescent="0.25">
      <c r="A22" s="98">
        <v>5</v>
      </c>
      <c r="B22" s="25" t="s">
        <v>683</v>
      </c>
      <c r="C22" s="25" t="s">
        <v>40</v>
      </c>
      <c r="D22" s="25" t="s">
        <v>204</v>
      </c>
      <c r="E22" s="25" t="s">
        <v>64</v>
      </c>
      <c r="F22" s="165" t="s">
        <v>684</v>
      </c>
      <c r="G22" s="58" t="s">
        <v>42</v>
      </c>
      <c r="H22" s="65">
        <v>1000</v>
      </c>
      <c r="I22" s="74">
        <v>200</v>
      </c>
      <c r="J22" s="25" t="s">
        <v>43</v>
      </c>
      <c r="K22" s="25" t="s">
        <v>44</v>
      </c>
      <c r="M22">
        <f t="shared" si="0"/>
        <v>200</v>
      </c>
    </row>
    <row r="23" spans="1:16" x14ac:dyDescent="0.25">
      <c r="A23" s="98">
        <v>5</v>
      </c>
      <c r="B23" s="25" t="s">
        <v>685</v>
      </c>
      <c r="C23" s="25" t="s">
        <v>40</v>
      </c>
      <c r="D23" s="25" t="s">
        <v>175</v>
      </c>
      <c r="E23" s="25" t="s">
        <v>55</v>
      </c>
      <c r="F23" s="165" t="s">
        <v>377</v>
      </c>
      <c r="G23" s="58" t="s">
        <v>42</v>
      </c>
      <c r="H23" s="65">
        <v>700</v>
      </c>
      <c r="I23" s="74">
        <v>140</v>
      </c>
      <c r="J23" s="25" t="s">
        <v>43</v>
      </c>
      <c r="K23" s="25" t="s">
        <v>44</v>
      </c>
      <c r="M23">
        <f t="shared" si="0"/>
        <v>140</v>
      </c>
    </row>
    <row r="24" spans="1:16" x14ac:dyDescent="0.25">
      <c r="A24" s="98">
        <v>5</v>
      </c>
      <c r="B24" s="25" t="s">
        <v>335</v>
      </c>
      <c r="C24" s="25" t="s">
        <v>40</v>
      </c>
      <c r="D24" s="25" t="s">
        <v>266</v>
      </c>
      <c r="E24" s="25" t="s">
        <v>65</v>
      </c>
      <c r="F24" s="165" t="s">
        <v>353</v>
      </c>
      <c r="G24" s="58" t="s">
        <v>42</v>
      </c>
      <c r="H24" s="65">
        <v>700</v>
      </c>
      <c r="I24" s="74">
        <v>140</v>
      </c>
      <c r="J24" s="25" t="s">
        <v>43</v>
      </c>
      <c r="K24" s="25" t="s">
        <v>44</v>
      </c>
      <c r="M24">
        <f t="shared" si="0"/>
        <v>140</v>
      </c>
    </row>
    <row r="25" spans="1:16" x14ac:dyDescent="0.25">
      <c r="A25" s="224">
        <v>5</v>
      </c>
      <c r="B25" s="25" t="s">
        <v>686</v>
      </c>
      <c r="C25" s="25" t="s">
        <v>40</v>
      </c>
      <c r="D25" s="25" t="s">
        <v>71</v>
      </c>
      <c r="E25" s="25" t="s">
        <v>45</v>
      </c>
      <c r="F25" s="165" t="s">
        <v>377</v>
      </c>
      <c r="G25" s="58" t="s">
        <v>42</v>
      </c>
      <c r="H25" s="65">
        <v>2000</v>
      </c>
      <c r="I25" s="74">
        <v>400</v>
      </c>
      <c r="J25" s="25" t="s">
        <v>43</v>
      </c>
      <c r="K25" s="25" t="s">
        <v>44</v>
      </c>
      <c r="M25">
        <f t="shared" si="0"/>
        <v>400</v>
      </c>
      <c r="P25" s="29"/>
    </row>
    <row r="26" spans="1:16" x14ac:dyDescent="0.25">
      <c r="A26" s="98">
        <v>5</v>
      </c>
      <c r="B26" s="25" t="s">
        <v>687</v>
      </c>
      <c r="C26" s="25" t="s">
        <v>40</v>
      </c>
      <c r="D26" s="25" t="s">
        <v>238</v>
      </c>
      <c r="E26" s="25" t="s">
        <v>74</v>
      </c>
      <c r="F26" s="165" t="s">
        <v>688</v>
      </c>
      <c r="G26" s="215" t="s">
        <v>42</v>
      </c>
      <c r="H26" s="216">
        <v>2000</v>
      </c>
      <c r="I26" s="217">
        <v>400</v>
      </c>
      <c r="J26" s="25" t="s">
        <v>43</v>
      </c>
      <c r="K26" s="25" t="s">
        <v>44</v>
      </c>
      <c r="M26">
        <f t="shared" si="0"/>
        <v>400</v>
      </c>
    </row>
    <row r="27" spans="1:16" x14ac:dyDescent="0.25">
      <c r="A27" s="98">
        <v>5</v>
      </c>
      <c r="B27" s="25" t="s">
        <v>689</v>
      </c>
      <c r="C27" s="25" t="s">
        <v>40</v>
      </c>
      <c r="D27" s="25" t="s">
        <v>346</v>
      </c>
      <c r="E27" s="25" t="s">
        <v>64</v>
      </c>
      <c r="F27" s="165" t="s">
        <v>690</v>
      </c>
      <c r="G27" s="215" t="s">
        <v>42</v>
      </c>
      <c r="H27" s="216">
        <v>500</v>
      </c>
      <c r="I27" s="217" t="s">
        <v>77</v>
      </c>
      <c r="J27" s="25" t="s">
        <v>43</v>
      </c>
      <c r="K27" s="25" t="s">
        <v>44</v>
      </c>
      <c r="M27">
        <f t="shared" si="0"/>
        <v>100</v>
      </c>
    </row>
    <row r="28" spans="1:16" x14ac:dyDescent="0.25">
      <c r="A28" s="98">
        <v>5</v>
      </c>
      <c r="B28" s="25" t="s">
        <v>689</v>
      </c>
      <c r="C28" s="25" t="s">
        <v>40</v>
      </c>
      <c r="D28" s="25" t="s">
        <v>346</v>
      </c>
      <c r="E28" s="25" t="s">
        <v>64</v>
      </c>
      <c r="F28" s="165"/>
      <c r="G28" s="215" t="s">
        <v>42</v>
      </c>
      <c r="H28" s="216">
        <v>2000</v>
      </c>
      <c r="I28" s="217">
        <v>400</v>
      </c>
      <c r="J28" s="25" t="s">
        <v>43</v>
      </c>
      <c r="K28" s="25" t="s">
        <v>44</v>
      </c>
      <c r="M28">
        <f t="shared" si="0"/>
        <v>400</v>
      </c>
    </row>
    <row r="29" spans="1:16" x14ac:dyDescent="0.25">
      <c r="A29" s="98">
        <v>5</v>
      </c>
      <c r="B29" s="25" t="s">
        <v>691</v>
      </c>
      <c r="C29" s="25" t="s">
        <v>40</v>
      </c>
      <c r="D29" s="25" t="s">
        <v>49</v>
      </c>
      <c r="E29" s="25" t="s">
        <v>46</v>
      </c>
      <c r="F29" s="165" t="s">
        <v>692</v>
      </c>
      <c r="G29" s="215" t="s">
        <v>42</v>
      </c>
      <c r="H29" s="216">
        <v>2000</v>
      </c>
      <c r="I29" s="217">
        <v>400</v>
      </c>
      <c r="J29" s="25" t="s">
        <v>43</v>
      </c>
      <c r="K29" s="25" t="s">
        <v>44</v>
      </c>
      <c r="M29">
        <f t="shared" si="0"/>
        <v>400</v>
      </c>
    </row>
    <row r="30" spans="1:16" x14ac:dyDescent="0.25">
      <c r="A30" s="98">
        <v>5</v>
      </c>
      <c r="B30" s="25" t="s">
        <v>693</v>
      </c>
      <c r="C30" s="25" t="s">
        <v>50</v>
      </c>
      <c r="D30" s="25" t="s">
        <v>401</v>
      </c>
      <c r="E30" s="25" t="s">
        <v>63</v>
      </c>
      <c r="F30" s="165" t="s">
        <v>694</v>
      </c>
      <c r="G30" s="215" t="s">
        <v>42</v>
      </c>
      <c r="H30" s="216">
        <v>500</v>
      </c>
      <c r="I30" s="217">
        <v>100</v>
      </c>
      <c r="J30" s="25" t="s">
        <v>43</v>
      </c>
      <c r="K30" s="25" t="s">
        <v>44</v>
      </c>
      <c r="M30">
        <f t="shared" si="0"/>
        <v>100</v>
      </c>
    </row>
    <row r="31" spans="1:16" x14ac:dyDescent="0.25">
      <c r="A31" s="98">
        <v>5</v>
      </c>
      <c r="B31" s="25" t="s">
        <v>695</v>
      </c>
      <c r="C31" s="25" t="s">
        <v>40</v>
      </c>
      <c r="D31" s="25" t="s">
        <v>696</v>
      </c>
      <c r="E31" s="25" t="s">
        <v>65</v>
      </c>
      <c r="F31" s="165"/>
      <c r="G31" s="215" t="s">
        <v>42</v>
      </c>
      <c r="H31" s="216">
        <v>500</v>
      </c>
      <c r="I31" s="217">
        <v>100</v>
      </c>
      <c r="J31" s="25" t="s">
        <v>43</v>
      </c>
      <c r="K31" s="25" t="s">
        <v>44</v>
      </c>
      <c r="M31">
        <f t="shared" si="0"/>
        <v>100</v>
      </c>
    </row>
    <row r="32" spans="1:16" x14ac:dyDescent="0.25">
      <c r="A32" s="98">
        <v>5</v>
      </c>
      <c r="B32" s="25" t="s">
        <v>697</v>
      </c>
      <c r="C32" s="25" t="s">
        <v>50</v>
      </c>
      <c r="D32" s="25" t="s">
        <v>241</v>
      </c>
      <c r="E32" s="25" t="s">
        <v>47</v>
      </c>
      <c r="F32" s="165" t="s">
        <v>698</v>
      </c>
      <c r="G32" s="218" t="s">
        <v>42</v>
      </c>
      <c r="H32" s="219">
        <v>500</v>
      </c>
      <c r="I32" s="220">
        <v>100</v>
      </c>
      <c r="J32" s="25" t="s">
        <v>43</v>
      </c>
      <c r="K32" s="25" t="s">
        <v>44</v>
      </c>
      <c r="M32">
        <f t="shared" si="0"/>
        <v>100</v>
      </c>
    </row>
    <row r="33" spans="1:18" x14ac:dyDescent="0.25">
      <c r="A33" s="98">
        <v>6</v>
      </c>
      <c r="B33" s="25" t="s">
        <v>699</v>
      </c>
      <c r="C33" s="25" t="s">
        <v>40</v>
      </c>
      <c r="D33" s="25" t="s">
        <v>78</v>
      </c>
      <c r="E33" s="25" t="s">
        <v>61</v>
      </c>
      <c r="F33" s="165" t="s">
        <v>700</v>
      </c>
      <c r="G33" s="25" t="s">
        <v>42</v>
      </c>
      <c r="H33" s="93">
        <v>1500</v>
      </c>
      <c r="I33" s="73">
        <v>450</v>
      </c>
      <c r="J33" s="25" t="s">
        <v>43</v>
      </c>
      <c r="K33" s="25" t="s">
        <v>44</v>
      </c>
      <c r="M33">
        <f t="shared" si="0"/>
        <v>300</v>
      </c>
    </row>
    <row r="34" spans="1:18" x14ac:dyDescent="0.25">
      <c r="A34" s="98">
        <v>6</v>
      </c>
      <c r="B34" s="25" t="s">
        <v>287</v>
      </c>
      <c r="C34" s="25" t="s">
        <v>40</v>
      </c>
      <c r="D34" s="25" t="s">
        <v>175</v>
      </c>
      <c r="E34" s="25" t="s">
        <v>45</v>
      </c>
      <c r="F34" s="165" t="s">
        <v>701</v>
      </c>
      <c r="G34" s="25" t="s">
        <v>42</v>
      </c>
      <c r="H34" s="93">
        <v>1000</v>
      </c>
      <c r="I34" s="73" t="s">
        <v>77</v>
      </c>
      <c r="J34" s="25" t="s">
        <v>43</v>
      </c>
      <c r="K34" s="25" t="s">
        <v>44</v>
      </c>
      <c r="M34">
        <f t="shared" si="0"/>
        <v>200</v>
      </c>
    </row>
    <row r="35" spans="1:18" x14ac:dyDescent="0.25">
      <c r="A35" s="98">
        <v>6</v>
      </c>
      <c r="B35" s="25" t="s">
        <v>287</v>
      </c>
      <c r="C35" s="25" t="s">
        <v>40</v>
      </c>
      <c r="D35" s="25" t="s">
        <v>175</v>
      </c>
      <c r="E35" s="25" t="s">
        <v>45</v>
      </c>
      <c r="F35" s="165"/>
      <c r="G35" s="25" t="s">
        <v>42</v>
      </c>
      <c r="H35" s="93">
        <v>4000</v>
      </c>
      <c r="I35" s="73">
        <v>800</v>
      </c>
      <c r="J35" s="25" t="s">
        <v>43</v>
      </c>
      <c r="K35" s="25" t="s">
        <v>44</v>
      </c>
      <c r="M35">
        <f t="shared" si="0"/>
        <v>800</v>
      </c>
    </row>
    <row r="36" spans="1:18" x14ac:dyDescent="0.25">
      <c r="A36" s="98">
        <v>6</v>
      </c>
      <c r="B36" s="25" t="s">
        <v>702</v>
      </c>
      <c r="C36" s="25" t="s">
        <v>40</v>
      </c>
      <c r="D36" s="25" t="s">
        <v>71</v>
      </c>
      <c r="E36" s="25" t="s">
        <v>72</v>
      </c>
      <c r="F36" s="165" t="s">
        <v>703</v>
      </c>
      <c r="G36" s="25" t="s">
        <v>42</v>
      </c>
      <c r="H36" s="93">
        <v>3000</v>
      </c>
      <c r="I36" s="73">
        <v>600</v>
      </c>
      <c r="J36" s="25" t="s">
        <v>43</v>
      </c>
      <c r="K36" s="25" t="s">
        <v>44</v>
      </c>
      <c r="M36">
        <f t="shared" si="0"/>
        <v>600</v>
      </c>
    </row>
    <row r="37" spans="1:18" x14ac:dyDescent="0.25">
      <c r="A37" s="98">
        <v>6</v>
      </c>
      <c r="B37" s="25" t="s">
        <v>704</v>
      </c>
      <c r="C37" s="25" t="s">
        <v>50</v>
      </c>
      <c r="D37" s="25" t="s">
        <v>236</v>
      </c>
      <c r="E37" s="25" t="s">
        <v>45</v>
      </c>
      <c r="F37" s="165" t="s">
        <v>395</v>
      </c>
      <c r="G37" s="25" t="s">
        <v>42</v>
      </c>
      <c r="H37" s="93">
        <v>3000</v>
      </c>
      <c r="I37" s="73">
        <v>600</v>
      </c>
      <c r="J37" s="25" t="s">
        <v>43</v>
      </c>
      <c r="K37" s="25" t="s">
        <v>44</v>
      </c>
      <c r="M37">
        <f t="shared" si="0"/>
        <v>600</v>
      </c>
    </row>
    <row r="38" spans="1:18" x14ac:dyDescent="0.25">
      <c r="A38" s="98">
        <v>6</v>
      </c>
      <c r="B38" s="25" t="s">
        <v>705</v>
      </c>
      <c r="C38" s="25" t="s">
        <v>40</v>
      </c>
      <c r="D38" s="25" t="s">
        <v>308</v>
      </c>
      <c r="E38" s="25" t="s">
        <v>61</v>
      </c>
      <c r="F38" s="165" t="s">
        <v>706</v>
      </c>
      <c r="G38" s="25" t="s">
        <v>42</v>
      </c>
      <c r="H38" s="93">
        <v>3000</v>
      </c>
      <c r="I38" s="73">
        <v>600</v>
      </c>
      <c r="J38" s="25" t="s">
        <v>43</v>
      </c>
      <c r="K38" s="25" t="s">
        <v>44</v>
      </c>
      <c r="M38">
        <f t="shared" si="0"/>
        <v>600</v>
      </c>
    </row>
    <row r="39" spans="1:18" x14ac:dyDescent="0.25">
      <c r="A39" s="98">
        <v>6</v>
      </c>
      <c r="B39" s="25" t="s">
        <v>414</v>
      </c>
      <c r="C39" s="25" t="s">
        <v>40</v>
      </c>
      <c r="D39" s="25" t="s">
        <v>326</v>
      </c>
      <c r="E39" s="25" t="s">
        <v>66</v>
      </c>
      <c r="F39" s="165" t="s">
        <v>415</v>
      </c>
      <c r="G39" s="25" t="s">
        <v>42</v>
      </c>
      <c r="H39" s="93">
        <v>3500</v>
      </c>
      <c r="I39" s="73">
        <v>700</v>
      </c>
      <c r="J39" s="25" t="s">
        <v>43</v>
      </c>
      <c r="K39" s="25" t="s">
        <v>44</v>
      </c>
      <c r="M39">
        <f t="shared" si="0"/>
        <v>700</v>
      </c>
    </row>
    <row r="40" spans="1:18" x14ac:dyDescent="0.25">
      <c r="A40" s="98">
        <v>6</v>
      </c>
      <c r="B40" s="25" t="s">
        <v>707</v>
      </c>
      <c r="C40" s="25" t="s">
        <v>40</v>
      </c>
      <c r="D40" s="25" t="s">
        <v>359</v>
      </c>
      <c r="E40" s="25" t="s">
        <v>82</v>
      </c>
      <c r="F40" s="165"/>
      <c r="G40" s="25" t="s">
        <v>42</v>
      </c>
      <c r="H40" s="93">
        <v>1500</v>
      </c>
      <c r="I40" s="73">
        <v>300</v>
      </c>
      <c r="J40" s="25" t="s">
        <v>43</v>
      </c>
      <c r="K40" s="25" t="s">
        <v>44</v>
      </c>
      <c r="M40">
        <f t="shared" si="0"/>
        <v>300</v>
      </c>
    </row>
    <row r="41" spans="1:18" x14ac:dyDescent="0.25">
      <c r="A41" s="98">
        <v>6</v>
      </c>
      <c r="B41" s="25" t="s">
        <v>708</v>
      </c>
      <c r="C41" s="25" t="s">
        <v>40</v>
      </c>
      <c r="D41" s="25" t="s">
        <v>709</v>
      </c>
      <c r="E41" s="25" t="s">
        <v>90</v>
      </c>
      <c r="F41" s="165" t="s">
        <v>710</v>
      </c>
      <c r="G41" s="25" t="s">
        <v>42</v>
      </c>
      <c r="H41" s="93">
        <v>600</v>
      </c>
      <c r="I41" s="73">
        <v>120</v>
      </c>
      <c r="J41" s="25" t="s">
        <v>43</v>
      </c>
      <c r="K41" s="25" t="s">
        <v>44</v>
      </c>
      <c r="M41">
        <f t="shared" si="0"/>
        <v>120</v>
      </c>
    </row>
    <row r="42" spans="1:18" x14ac:dyDescent="0.25">
      <c r="A42" s="98">
        <v>6</v>
      </c>
      <c r="B42" s="25" t="s">
        <v>711</v>
      </c>
      <c r="C42" s="25" t="s">
        <v>40</v>
      </c>
      <c r="D42" s="25" t="s">
        <v>65</v>
      </c>
      <c r="E42" s="25" t="s">
        <v>45</v>
      </c>
      <c r="F42" s="165" t="s">
        <v>712</v>
      </c>
      <c r="G42" s="25" t="s">
        <v>42</v>
      </c>
      <c r="H42" s="93">
        <v>300</v>
      </c>
      <c r="I42" s="73">
        <v>60</v>
      </c>
      <c r="J42" s="25" t="s">
        <v>43</v>
      </c>
      <c r="K42" s="25" t="s">
        <v>44</v>
      </c>
      <c r="M42">
        <f t="shared" si="0"/>
        <v>60</v>
      </c>
    </row>
    <row r="43" spans="1:18" x14ac:dyDescent="0.25">
      <c r="A43" s="128">
        <v>6</v>
      </c>
      <c r="B43" s="169" t="s">
        <v>713</v>
      </c>
      <c r="C43" s="169" t="s">
        <v>40</v>
      </c>
      <c r="D43" s="169" t="s">
        <v>346</v>
      </c>
      <c r="E43" s="169" t="s">
        <v>45</v>
      </c>
      <c r="F43" s="170" t="s">
        <v>714</v>
      </c>
      <c r="G43" s="169" t="s">
        <v>42</v>
      </c>
      <c r="H43" s="260">
        <v>500</v>
      </c>
      <c r="I43" s="166" t="s">
        <v>77</v>
      </c>
      <c r="J43" s="169" t="s">
        <v>43</v>
      </c>
      <c r="K43" s="169" t="s">
        <v>44</v>
      </c>
      <c r="M43">
        <f t="shared" si="0"/>
        <v>100</v>
      </c>
    </row>
    <row r="44" spans="1:18" x14ac:dyDescent="0.25">
      <c r="A44" s="98">
        <v>7</v>
      </c>
      <c r="B44" s="25" t="s">
        <v>718</v>
      </c>
      <c r="C44" s="25" t="s">
        <v>40</v>
      </c>
      <c r="D44" s="25" t="s">
        <v>719</v>
      </c>
      <c r="E44" s="25" t="s">
        <v>80</v>
      </c>
      <c r="F44" s="165" t="s">
        <v>377</v>
      </c>
      <c r="G44" s="218" t="s">
        <v>42</v>
      </c>
      <c r="H44" s="219">
        <v>2000</v>
      </c>
      <c r="I44" s="220">
        <v>400</v>
      </c>
      <c r="J44" s="25" t="s">
        <v>43</v>
      </c>
      <c r="K44" s="25" t="s">
        <v>44</v>
      </c>
      <c r="M44">
        <f t="shared" si="0"/>
        <v>400</v>
      </c>
      <c r="R44">
        <v>19000</v>
      </c>
    </row>
    <row r="45" spans="1:18" x14ac:dyDescent="0.25">
      <c r="A45" s="98">
        <v>7</v>
      </c>
      <c r="B45" s="25" t="s">
        <v>172</v>
      </c>
      <c r="C45" s="25" t="s">
        <v>40</v>
      </c>
      <c r="D45" s="25" t="s">
        <v>173</v>
      </c>
      <c r="E45" s="25" t="s">
        <v>46</v>
      </c>
      <c r="F45" s="165"/>
      <c r="G45" s="218" t="s">
        <v>42</v>
      </c>
      <c r="H45" s="219">
        <v>2200</v>
      </c>
      <c r="I45" s="220">
        <v>440</v>
      </c>
      <c r="J45" s="25" t="s">
        <v>43</v>
      </c>
      <c r="K45" s="25" t="s">
        <v>44</v>
      </c>
      <c r="M45">
        <f t="shared" si="0"/>
        <v>440</v>
      </c>
      <c r="R45" s="67">
        <f>SUM(H53,H56,H76:H78,H81)</f>
        <v>5500</v>
      </c>
    </row>
    <row r="46" spans="1:18" x14ac:dyDescent="0.25">
      <c r="A46" s="98">
        <v>7</v>
      </c>
      <c r="B46" s="25" t="s">
        <v>720</v>
      </c>
      <c r="C46" s="25" t="s">
        <v>40</v>
      </c>
      <c r="D46" s="25" t="s">
        <v>49</v>
      </c>
      <c r="E46" s="25" t="s">
        <v>46</v>
      </c>
      <c r="F46" s="165" t="s">
        <v>692</v>
      </c>
      <c r="G46" s="218" t="s">
        <v>42</v>
      </c>
      <c r="H46" s="219">
        <v>1000</v>
      </c>
      <c r="I46" s="220">
        <v>200</v>
      </c>
      <c r="J46" s="25" t="s">
        <v>43</v>
      </c>
      <c r="K46" s="25" t="s">
        <v>44</v>
      </c>
      <c r="M46">
        <f t="shared" si="0"/>
        <v>200</v>
      </c>
      <c r="R46">
        <f>SUM(R44:R45)</f>
        <v>24500</v>
      </c>
    </row>
    <row r="47" spans="1:18" x14ac:dyDescent="0.25">
      <c r="A47" s="224">
        <v>7</v>
      </c>
      <c r="B47" s="25" t="s">
        <v>721</v>
      </c>
      <c r="C47" s="25" t="s">
        <v>40</v>
      </c>
      <c r="D47" s="25" t="s">
        <v>262</v>
      </c>
      <c r="E47" s="25" t="s">
        <v>61</v>
      </c>
      <c r="F47" s="165" t="s">
        <v>722</v>
      </c>
      <c r="G47" s="218" t="s">
        <v>42</v>
      </c>
      <c r="H47" s="219">
        <v>200</v>
      </c>
      <c r="I47" s="220">
        <v>40</v>
      </c>
      <c r="J47" s="25" t="s">
        <v>43</v>
      </c>
      <c r="K47" s="25" t="s">
        <v>44</v>
      </c>
      <c r="M47">
        <f t="shared" si="0"/>
        <v>40</v>
      </c>
    </row>
    <row r="48" spans="1:18" x14ac:dyDescent="0.25">
      <c r="A48" s="98">
        <v>7</v>
      </c>
      <c r="B48" s="25" t="s">
        <v>723</v>
      </c>
      <c r="C48" s="25" t="s">
        <v>40</v>
      </c>
      <c r="D48" s="25" t="s">
        <v>183</v>
      </c>
      <c r="E48" s="25" t="s">
        <v>55</v>
      </c>
      <c r="F48" s="165"/>
      <c r="G48" s="218" t="s">
        <v>42</v>
      </c>
      <c r="H48" s="219">
        <v>3000</v>
      </c>
      <c r="I48" s="220">
        <v>600</v>
      </c>
      <c r="J48" s="25" t="s">
        <v>43</v>
      </c>
      <c r="K48" s="25" t="s">
        <v>44</v>
      </c>
      <c r="M48">
        <f t="shared" si="0"/>
        <v>600</v>
      </c>
      <c r="R48" s="67">
        <f>100982-R45</f>
        <v>95482</v>
      </c>
    </row>
    <row r="49" spans="1:13" x14ac:dyDescent="0.25">
      <c r="A49" s="98">
        <v>7</v>
      </c>
      <c r="B49" s="25" t="s">
        <v>724</v>
      </c>
      <c r="C49" s="25" t="s">
        <v>40</v>
      </c>
      <c r="D49" s="25" t="s">
        <v>190</v>
      </c>
      <c r="E49" s="25" t="s">
        <v>61</v>
      </c>
      <c r="F49" s="165"/>
      <c r="G49" s="218" t="s">
        <v>42</v>
      </c>
      <c r="H49" s="219">
        <v>1600</v>
      </c>
      <c r="I49" s="220">
        <v>320</v>
      </c>
      <c r="J49" s="25" t="s">
        <v>43</v>
      </c>
      <c r="K49" s="25" t="s">
        <v>44</v>
      </c>
      <c r="M49">
        <f t="shared" si="0"/>
        <v>320</v>
      </c>
    </row>
    <row r="50" spans="1:13" x14ac:dyDescent="0.25">
      <c r="A50" s="98">
        <v>7</v>
      </c>
      <c r="B50" s="25" t="s">
        <v>298</v>
      </c>
      <c r="C50" s="25" t="s">
        <v>40</v>
      </c>
      <c r="D50" s="25" t="s">
        <v>246</v>
      </c>
      <c r="E50" s="25" t="s">
        <v>60</v>
      </c>
      <c r="F50" s="165" t="s">
        <v>333</v>
      </c>
      <c r="G50" s="218" t="s">
        <v>42</v>
      </c>
      <c r="H50" s="219">
        <v>25000</v>
      </c>
      <c r="I50" s="220">
        <v>5000</v>
      </c>
      <c r="J50" s="25" t="s">
        <v>43</v>
      </c>
      <c r="K50" s="25" t="s">
        <v>44</v>
      </c>
      <c r="M50">
        <f t="shared" si="0"/>
        <v>5000</v>
      </c>
    </row>
    <row r="51" spans="1:13" x14ac:dyDescent="0.25">
      <c r="A51" s="98">
        <v>7</v>
      </c>
      <c r="B51" s="25" t="s">
        <v>725</v>
      </c>
      <c r="C51" s="25" t="s">
        <v>40</v>
      </c>
      <c r="D51" s="25" t="s">
        <v>183</v>
      </c>
      <c r="E51" s="25" t="s">
        <v>55</v>
      </c>
      <c r="F51" s="165" t="s">
        <v>377</v>
      </c>
      <c r="G51" s="218" t="s">
        <v>42</v>
      </c>
      <c r="H51" s="219">
        <v>3000</v>
      </c>
      <c r="I51" s="220">
        <v>600</v>
      </c>
      <c r="J51" s="25" t="s">
        <v>43</v>
      </c>
      <c r="K51" s="25" t="s">
        <v>44</v>
      </c>
      <c r="M51">
        <f t="shared" si="0"/>
        <v>600</v>
      </c>
    </row>
    <row r="52" spans="1:13" x14ac:dyDescent="0.25">
      <c r="A52" s="98">
        <v>7</v>
      </c>
      <c r="B52" s="58" t="s">
        <v>726</v>
      </c>
      <c r="C52" s="58" t="s">
        <v>40</v>
      </c>
      <c r="D52" s="58" t="s">
        <v>183</v>
      </c>
      <c r="E52" s="58" t="s">
        <v>55</v>
      </c>
      <c r="F52" s="196"/>
      <c r="G52" s="58" t="s">
        <v>42</v>
      </c>
      <c r="H52" s="58">
        <v>3000</v>
      </c>
      <c r="I52" s="58">
        <v>600</v>
      </c>
      <c r="J52" s="25" t="s">
        <v>43</v>
      </c>
      <c r="K52" s="25" t="s">
        <v>44</v>
      </c>
      <c r="M52">
        <f t="shared" si="0"/>
        <v>600</v>
      </c>
    </row>
    <row r="53" spans="1:13" x14ac:dyDescent="0.25">
      <c r="A53" s="98">
        <v>7</v>
      </c>
      <c r="B53" s="58" t="s">
        <v>727</v>
      </c>
      <c r="C53" s="25" t="s">
        <v>40</v>
      </c>
      <c r="D53" s="25" t="s">
        <v>592</v>
      </c>
      <c r="E53" s="25" t="s">
        <v>61</v>
      </c>
      <c r="F53" s="165"/>
      <c r="G53" s="261" t="s">
        <v>42</v>
      </c>
      <c r="H53" s="262">
        <v>500</v>
      </c>
      <c r="I53" s="263" t="s">
        <v>77</v>
      </c>
      <c r="J53" s="25" t="s">
        <v>43</v>
      </c>
      <c r="K53" s="25" t="s">
        <v>44</v>
      </c>
      <c r="M53">
        <f t="shared" si="0"/>
        <v>100</v>
      </c>
    </row>
    <row r="54" spans="1:13" x14ac:dyDescent="0.25">
      <c r="A54" s="98">
        <v>7</v>
      </c>
      <c r="B54" s="58" t="s">
        <v>727</v>
      </c>
      <c r="C54" s="25" t="s">
        <v>40</v>
      </c>
      <c r="D54" s="25" t="s">
        <v>592</v>
      </c>
      <c r="E54" s="25" t="s">
        <v>61</v>
      </c>
      <c r="F54" s="165"/>
      <c r="G54" s="218" t="s">
        <v>42</v>
      </c>
      <c r="H54" s="219">
        <v>2000</v>
      </c>
      <c r="I54" s="220">
        <v>400</v>
      </c>
      <c r="J54" s="25" t="s">
        <v>43</v>
      </c>
      <c r="K54" s="25" t="s">
        <v>44</v>
      </c>
      <c r="M54">
        <f t="shared" si="0"/>
        <v>400</v>
      </c>
    </row>
    <row r="55" spans="1:13" x14ac:dyDescent="0.25">
      <c r="A55" s="98">
        <v>7</v>
      </c>
      <c r="B55" s="58" t="s">
        <v>728</v>
      </c>
      <c r="C55" s="25" t="s">
        <v>40</v>
      </c>
      <c r="D55" s="25" t="s">
        <v>262</v>
      </c>
      <c r="E55" s="25" t="s">
        <v>61</v>
      </c>
      <c r="F55" s="165" t="s">
        <v>729</v>
      </c>
      <c r="G55" s="218" t="s">
        <v>42</v>
      </c>
      <c r="H55" s="219">
        <v>100</v>
      </c>
      <c r="I55" s="220">
        <v>30</v>
      </c>
      <c r="J55" s="25" t="s">
        <v>43</v>
      </c>
      <c r="K55" s="25" t="s">
        <v>44</v>
      </c>
      <c r="M55">
        <f t="shared" si="0"/>
        <v>20</v>
      </c>
    </row>
    <row r="56" spans="1:13" x14ac:dyDescent="0.25">
      <c r="A56" s="98">
        <v>7</v>
      </c>
      <c r="B56" s="58" t="s">
        <v>185</v>
      </c>
      <c r="C56" s="25" t="s">
        <v>40</v>
      </c>
      <c r="D56" s="25" t="s">
        <v>178</v>
      </c>
      <c r="E56" s="25" t="s">
        <v>46</v>
      </c>
      <c r="F56" s="165"/>
      <c r="G56" s="261" t="s">
        <v>42</v>
      </c>
      <c r="H56" s="262">
        <v>3000</v>
      </c>
      <c r="I56" s="263" t="s">
        <v>77</v>
      </c>
      <c r="J56" s="25" t="s">
        <v>43</v>
      </c>
      <c r="K56" s="25" t="s">
        <v>44</v>
      </c>
      <c r="M56">
        <f t="shared" si="0"/>
        <v>600</v>
      </c>
    </row>
    <row r="57" spans="1:13" x14ac:dyDescent="0.25">
      <c r="A57" s="98">
        <v>7</v>
      </c>
      <c r="B57" s="58" t="s">
        <v>732</v>
      </c>
      <c r="C57" s="25" t="s">
        <v>40</v>
      </c>
      <c r="D57" s="25" t="s">
        <v>176</v>
      </c>
      <c r="E57" s="25" t="s">
        <v>53</v>
      </c>
      <c r="F57" s="165"/>
      <c r="G57" s="218" t="s">
        <v>42</v>
      </c>
      <c r="H57" s="219">
        <v>2000</v>
      </c>
      <c r="I57" s="220">
        <v>400</v>
      </c>
      <c r="J57" s="25" t="s">
        <v>43</v>
      </c>
      <c r="K57" s="25" t="s">
        <v>44</v>
      </c>
      <c r="M57">
        <f t="shared" si="0"/>
        <v>400</v>
      </c>
    </row>
    <row r="58" spans="1:13" x14ac:dyDescent="0.25">
      <c r="A58" s="98">
        <v>7</v>
      </c>
      <c r="B58" s="58" t="s">
        <v>733</v>
      </c>
      <c r="C58" s="25" t="s">
        <v>40</v>
      </c>
      <c r="D58" s="25" t="s">
        <v>303</v>
      </c>
      <c r="E58" s="25" t="s">
        <v>195</v>
      </c>
      <c r="F58" s="165"/>
      <c r="G58" s="218" t="s">
        <v>42</v>
      </c>
      <c r="H58" s="219">
        <v>500</v>
      </c>
      <c r="I58" s="220">
        <v>100</v>
      </c>
      <c r="J58" s="25" t="s">
        <v>43</v>
      </c>
      <c r="K58" s="25" t="s">
        <v>44</v>
      </c>
      <c r="M58">
        <f t="shared" si="0"/>
        <v>100</v>
      </c>
    </row>
    <row r="59" spans="1:13" x14ac:dyDescent="0.25">
      <c r="A59" s="98">
        <v>7</v>
      </c>
      <c r="B59" s="58" t="s">
        <v>733</v>
      </c>
      <c r="C59" s="25" t="s">
        <v>40</v>
      </c>
      <c r="D59" s="25" t="s">
        <v>303</v>
      </c>
      <c r="E59" s="25" t="s">
        <v>195</v>
      </c>
      <c r="F59" s="165"/>
      <c r="G59" s="264" t="s">
        <v>734</v>
      </c>
      <c r="H59" s="265">
        <v>20</v>
      </c>
      <c r="I59" s="220">
        <v>20</v>
      </c>
      <c r="J59" s="25" t="s">
        <v>43</v>
      </c>
      <c r="K59" s="25" t="s">
        <v>44</v>
      </c>
      <c r="M59">
        <f t="shared" si="0"/>
        <v>4</v>
      </c>
    </row>
    <row r="60" spans="1:13" x14ac:dyDescent="0.25">
      <c r="A60" s="98">
        <v>7</v>
      </c>
      <c r="B60" s="58" t="s">
        <v>733</v>
      </c>
      <c r="C60" s="25" t="s">
        <v>40</v>
      </c>
      <c r="D60" s="25" t="s">
        <v>303</v>
      </c>
      <c r="E60" s="25" t="s">
        <v>195</v>
      </c>
      <c r="F60" s="165"/>
      <c r="G60" s="266" t="s">
        <v>305</v>
      </c>
      <c r="H60" s="267">
        <v>12</v>
      </c>
      <c r="I60" s="220">
        <v>60</v>
      </c>
      <c r="J60" s="25" t="s">
        <v>43</v>
      </c>
      <c r="K60" s="25" t="s">
        <v>44</v>
      </c>
      <c r="M60">
        <f t="shared" si="0"/>
        <v>2.4</v>
      </c>
    </row>
    <row r="61" spans="1:13" x14ac:dyDescent="0.25">
      <c r="A61" s="98">
        <v>7</v>
      </c>
      <c r="B61" s="58" t="s">
        <v>735</v>
      </c>
      <c r="C61" s="25" t="s">
        <v>40</v>
      </c>
      <c r="D61" s="25" t="s">
        <v>87</v>
      </c>
      <c r="E61" s="25" t="s">
        <v>46</v>
      </c>
      <c r="F61" s="165" t="s">
        <v>394</v>
      </c>
      <c r="G61" s="218" t="s">
        <v>42</v>
      </c>
      <c r="H61" s="219">
        <v>2500</v>
      </c>
      <c r="I61" s="220">
        <v>500</v>
      </c>
      <c r="J61" s="25" t="s">
        <v>43</v>
      </c>
      <c r="K61" s="25" t="s">
        <v>44</v>
      </c>
      <c r="M61">
        <f t="shared" si="0"/>
        <v>500</v>
      </c>
    </row>
    <row r="62" spans="1:13" x14ac:dyDescent="0.25">
      <c r="A62" s="98">
        <v>7</v>
      </c>
      <c r="B62" s="58" t="s">
        <v>736</v>
      </c>
      <c r="C62" s="25" t="s">
        <v>40</v>
      </c>
      <c r="D62" s="25" t="s">
        <v>102</v>
      </c>
      <c r="E62" s="25" t="s">
        <v>63</v>
      </c>
      <c r="F62" s="165" t="s">
        <v>342</v>
      </c>
      <c r="G62" s="218" t="s">
        <v>42</v>
      </c>
      <c r="H62" s="219">
        <v>2000</v>
      </c>
      <c r="I62" s="220">
        <v>400</v>
      </c>
      <c r="J62" s="25" t="s">
        <v>43</v>
      </c>
      <c r="K62" s="25" t="s">
        <v>44</v>
      </c>
      <c r="M62">
        <f t="shared" si="0"/>
        <v>400</v>
      </c>
    </row>
    <row r="63" spans="1:13" x14ac:dyDescent="0.25">
      <c r="A63" s="98">
        <v>7</v>
      </c>
      <c r="B63" s="58" t="s">
        <v>737</v>
      </c>
      <c r="C63" s="25" t="s">
        <v>40</v>
      </c>
      <c r="D63" s="25" t="s">
        <v>175</v>
      </c>
      <c r="E63" s="25" t="s">
        <v>64</v>
      </c>
      <c r="F63" s="165"/>
      <c r="G63" s="218" t="s">
        <v>42</v>
      </c>
      <c r="H63" s="219">
        <v>100</v>
      </c>
      <c r="I63" s="220">
        <v>30</v>
      </c>
      <c r="J63" s="25" t="s">
        <v>43</v>
      </c>
      <c r="K63" s="25" t="s">
        <v>44</v>
      </c>
      <c r="M63">
        <f t="shared" si="0"/>
        <v>20</v>
      </c>
    </row>
    <row r="64" spans="1:13" x14ac:dyDescent="0.25">
      <c r="A64" s="98">
        <v>7</v>
      </c>
      <c r="B64" s="58" t="s">
        <v>608</v>
      </c>
      <c r="C64" s="25" t="s">
        <v>40</v>
      </c>
      <c r="D64" s="25" t="s">
        <v>233</v>
      </c>
      <c r="E64" s="25" t="s">
        <v>45</v>
      </c>
      <c r="F64" s="165" t="s">
        <v>738</v>
      </c>
      <c r="G64" s="218" t="s">
        <v>42</v>
      </c>
      <c r="H64" s="219">
        <v>6000</v>
      </c>
      <c r="I64" s="220">
        <v>1200</v>
      </c>
      <c r="J64" s="25" t="s">
        <v>43</v>
      </c>
      <c r="K64" s="25" t="s">
        <v>44</v>
      </c>
      <c r="M64">
        <f t="shared" si="0"/>
        <v>1200</v>
      </c>
    </row>
    <row r="65" spans="1:13" x14ac:dyDescent="0.25">
      <c r="A65" s="98">
        <v>7</v>
      </c>
      <c r="B65" s="58" t="s">
        <v>209</v>
      </c>
      <c r="C65" s="25" t="s">
        <v>50</v>
      </c>
      <c r="D65" s="25" t="s">
        <v>178</v>
      </c>
      <c r="E65" s="25" t="s">
        <v>46</v>
      </c>
      <c r="F65" s="165"/>
      <c r="G65" s="218" t="s">
        <v>42</v>
      </c>
      <c r="H65" s="219">
        <v>5000</v>
      </c>
      <c r="I65" s="220">
        <v>1000</v>
      </c>
      <c r="J65" s="25" t="s">
        <v>43</v>
      </c>
      <c r="K65" s="25" t="s">
        <v>44</v>
      </c>
      <c r="M65">
        <f t="shared" si="0"/>
        <v>1000</v>
      </c>
    </row>
    <row r="66" spans="1:13" x14ac:dyDescent="0.25">
      <c r="A66" s="98">
        <v>11</v>
      </c>
      <c r="B66" s="58" t="s">
        <v>739</v>
      </c>
      <c r="C66" s="25" t="s">
        <v>40</v>
      </c>
      <c r="D66" s="25" t="s">
        <v>184</v>
      </c>
      <c r="E66" s="25" t="s">
        <v>55</v>
      </c>
      <c r="F66" s="165"/>
      <c r="G66" s="218" t="s">
        <v>42</v>
      </c>
      <c r="H66" s="219">
        <v>6000</v>
      </c>
      <c r="I66" s="220">
        <v>1200</v>
      </c>
      <c r="J66" s="25" t="s">
        <v>43</v>
      </c>
      <c r="K66" s="25" t="s">
        <v>44</v>
      </c>
      <c r="M66">
        <f t="shared" si="0"/>
        <v>1200</v>
      </c>
    </row>
    <row r="67" spans="1:13" x14ac:dyDescent="0.25">
      <c r="A67" s="98">
        <v>11</v>
      </c>
      <c r="B67" s="58" t="s">
        <v>740</v>
      </c>
      <c r="C67" s="25" t="s">
        <v>40</v>
      </c>
      <c r="D67" s="25" t="s">
        <v>330</v>
      </c>
      <c r="E67" s="25" t="s">
        <v>55</v>
      </c>
      <c r="F67" s="165"/>
      <c r="G67" s="218" t="s">
        <v>42</v>
      </c>
      <c r="H67" s="219">
        <v>2000</v>
      </c>
      <c r="I67" s="220">
        <v>400</v>
      </c>
      <c r="J67" s="25" t="s">
        <v>43</v>
      </c>
      <c r="K67" s="25" t="s">
        <v>44</v>
      </c>
      <c r="M67">
        <f t="shared" si="0"/>
        <v>400</v>
      </c>
    </row>
    <row r="68" spans="1:13" x14ac:dyDescent="0.25">
      <c r="A68" s="98">
        <v>11</v>
      </c>
      <c r="B68" s="58" t="s">
        <v>741</v>
      </c>
      <c r="C68" s="25" t="s">
        <v>40</v>
      </c>
      <c r="D68" s="25" t="s">
        <v>71</v>
      </c>
      <c r="E68" s="25" t="s">
        <v>45</v>
      </c>
      <c r="F68" s="165"/>
      <c r="G68" s="218" t="s">
        <v>42</v>
      </c>
      <c r="H68" s="219">
        <v>1000</v>
      </c>
      <c r="I68" s="220">
        <v>200</v>
      </c>
      <c r="J68" s="25" t="s">
        <v>43</v>
      </c>
      <c r="K68" s="25" t="s">
        <v>44</v>
      </c>
      <c r="M68">
        <f t="shared" si="0"/>
        <v>200</v>
      </c>
    </row>
    <row r="69" spans="1:13" x14ac:dyDescent="0.25">
      <c r="A69" s="98">
        <v>11</v>
      </c>
      <c r="B69" s="58" t="s">
        <v>742</v>
      </c>
      <c r="C69" s="25" t="s">
        <v>40</v>
      </c>
      <c r="D69" s="25" t="s">
        <v>183</v>
      </c>
      <c r="E69" s="25" t="s">
        <v>55</v>
      </c>
      <c r="F69" s="165"/>
      <c r="G69" s="218" t="s">
        <v>42</v>
      </c>
      <c r="H69" s="219">
        <v>1000</v>
      </c>
      <c r="I69" s="220">
        <v>200</v>
      </c>
      <c r="J69" s="25" t="s">
        <v>43</v>
      </c>
      <c r="K69" s="25" t="s">
        <v>44</v>
      </c>
      <c r="M69">
        <f t="shared" si="0"/>
        <v>200</v>
      </c>
    </row>
    <row r="70" spans="1:13" x14ac:dyDescent="0.25">
      <c r="A70" s="98">
        <v>11</v>
      </c>
      <c r="B70" s="58" t="s">
        <v>743</v>
      </c>
      <c r="C70" s="25" t="s">
        <v>40</v>
      </c>
      <c r="D70" s="25" t="s">
        <v>744</v>
      </c>
      <c r="E70" s="25" t="s">
        <v>48</v>
      </c>
      <c r="F70" s="165"/>
      <c r="G70" s="218" t="s">
        <v>42</v>
      </c>
      <c r="H70" s="219">
        <v>1000</v>
      </c>
      <c r="I70" s="220">
        <v>200</v>
      </c>
      <c r="J70" s="25" t="s">
        <v>43</v>
      </c>
      <c r="K70" s="25" t="s">
        <v>44</v>
      </c>
      <c r="M70">
        <f t="shared" si="0"/>
        <v>200</v>
      </c>
    </row>
    <row r="71" spans="1:13" x14ac:dyDescent="0.25">
      <c r="A71" s="98">
        <v>11</v>
      </c>
      <c r="B71" s="58" t="s">
        <v>301</v>
      </c>
      <c r="C71" s="25" t="s">
        <v>40</v>
      </c>
      <c r="D71" s="25" t="s">
        <v>215</v>
      </c>
      <c r="E71" s="25" t="s">
        <v>67</v>
      </c>
      <c r="F71" s="165"/>
      <c r="G71" s="218" t="s">
        <v>42</v>
      </c>
      <c r="H71" s="219">
        <v>1000</v>
      </c>
      <c r="I71" s="220">
        <v>200</v>
      </c>
      <c r="J71" s="25" t="s">
        <v>43</v>
      </c>
      <c r="K71" s="25" t="s">
        <v>44</v>
      </c>
      <c r="M71">
        <f t="shared" si="0"/>
        <v>200</v>
      </c>
    </row>
    <row r="72" spans="1:13" x14ac:dyDescent="0.25">
      <c r="A72" s="98">
        <v>11</v>
      </c>
      <c r="B72" s="58" t="s">
        <v>745</v>
      </c>
      <c r="C72" s="25" t="s">
        <v>40</v>
      </c>
      <c r="D72" s="25" t="s">
        <v>183</v>
      </c>
      <c r="E72" s="25" t="s">
        <v>55</v>
      </c>
      <c r="F72" s="165" t="s">
        <v>746</v>
      </c>
      <c r="G72" s="218" t="s">
        <v>42</v>
      </c>
      <c r="H72" s="219">
        <v>2000</v>
      </c>
      <c r="I72" s="220">
        <v>600</v>
      </c>
      <c r="J72" s="25" t="s">
        <v>43</v>
      </c>
      <c r="K72" s="25" t="s">
        <v>44</v>
      </c>
      <c r="M72">
        <f t="shared" si="0"/>
        <v>400</v>
      </c>
    </row>
    <row r="73" spans="1:13" x14ac:dyDescent="0.25">
      <c r="A73" s="98">
        <v>11</v>
      </c>
      <c r="B73" s="58" t="s">
        <v>747</v>
      </c>
      <c r="C73" s="25" t="s">
        <v>50</v>
      </c>
      <c r="D73" s="25" t="s">
        <v>259</v>
      </c>
      <c r="E73" s="25" t="s">
        <v>69</v>
      </c>
      <c r="F73" s="165" t="s">
        <v>748</v>
      </c>
      <c r="G73" s="218" t="s">
        <v>42</v>
      </c>
      <c r="H73" s="219">
        <v>2000</v>
      </c>
      <c r="I73" s="220">
        <v>600</v>
      </c>
      <c r="J73" s="25" t="s">
        <v>43</v>
      </c>
      <c r="K73" s="25" t="s">
        <v>44</v>
      </c>
      <c r="M73">
        <f t="shared" si="0"/>
        <v>400</v>
      </c>
    </row>
    <row r="74" spans="1:13" x14ac:dyDescent="0.25">
      <c r="A74" s="98">
        <v>11</v>
      </c>
      <c r="B74" s="58" t="s">
        <v>749</v>
      </c>
      <c r="C74" s="25" t="s">
        <v>40</v>
      </c>
      <c r="D74" s="25" t="s">
        <v>183</v>
      </c>
      <c r="E74" s="25" t="s">
        <v>55</v>
      </c>
      <c r="F74" s="165" t="s">
        <v>750</v>
      </c>
      <c r="G74" s="218" t="s">
        <v>42</v>
      </c>
      <c r="H74" s="219">
        <v>2000</v>
      </c>
      <c r="I74" s="220">
        <v>600</v>
      </c>
      <c r="J74" s="25" t="s">
        <v>43</v>
      </c>
      <c r="K74" s="25" t="s">
        <v>44</v>
      </c>
      <c r="M74">
        <f t="shared" si="0"/>
        <v>400</v>
      </c>
    </row>
    <row r="75" spans="1:13" x14ac:dyDescent="0.25">
      <c r="A75" s="98">
        <v>11</v>
      </c>
      <c r="B75" s="58" t="s">
        <v>751</v>
      </c>
      <c r="C75" s="25" t="s">
        <v>40</v>
      </c>
      <c r="D75" s="25" t="s">
        <v>286</v>
      </c>
      <c r="E75" s="25" t="s">
        <v>45</v>
      </c>
      <c r="F75" s="165"/>
      <c r="G75" s="218" t="s">
        <v>42</v>
      </c>
      <c r="H75" s="219">
        <v>6000</v>
      </c>
      <c r="I75" s="220">
        <v>1200</v>
      </c>
      <c r="J75" s="25" t="s">
        <v>43</v>
      </c>
      <c r="K75" s="25" t="s">
        <v>44</v>
      </c>
      <c r="M75">
        <f t="shared" si="0"/>
        <v>1200</v>
      </c>
    </row>
    <row r="76" spans="1:13" x14ac:dyDescent="0.25">
      <c r="A76" s="98">
        <v>11</v>
      </c>
      <c r="B76" s="58" t="s">
        <v>363</v>
      </c>
      <c r="C76" s="25" t="s">
        <v>40</v>
      </c>
      <c r="D76" s="25" t="s">
        <v>232</v>
      </c>
      <c r="E76" s="25" t="s">
        <v>45</v>
      </c>
      <c r="F76" s="165"/>
      <c r="G76" s="261" t="s">
        <v>42</v>
      </c>
      <c r="H76" s="262">
        <v>500</v>
      </c>
      <c r="I76" s="263" t="s">
        <v>77</v>
      </c>
      <c r="J76" s="25" t="s">
        <v>43</v>
      </c>
      <c r="K76" s="25" t="s">
        <v>44</v>
      </c>
      <c r="M76">
        <f t="shared" si="0"/>
        <v>100</v>
      </c>
    </row>
    <row r="77" spans="1:13" x14ac:dyDescent="0.25">
      <c r="A77" s="98">
        <v>11</v>
      </c>
      <c r="B77" s="58" t="s">
        <v>752</v>
      </c>
      <c r="C77" s="25" t="s">
        <v>40</v>
      </c>
      <c r="D77" s="25" t="s">
        <v>232</v>
      </c>
      <c r="E77" s="25" t="s">
        <v>45</v>
      </c>
      <c r="F77" s="165"/>
      <c r="G77" s="261" t="s">
        <v>42</v>
      </c>
      <c r="H77" s="262">
        <v>500</v>
      </c>
      <c r="I77" s="263" t="s">
        <v>77</v>
      </c>
      <c r="J77" s="25" t="s">
        <v>43</v>
      </c>
      <c r="K77" s="25" t="s">
        <v>44</v>
      </c>
      <c r="M77">
        <f t="shared" ref="M77:M99" si="1">H77/5</f>
        <v>100</v>
      </c>
    </row>
    <row r="78" spans="1:13" x14ac:dyDescent="0.25">
      <c r="A78" s="98">
        <v>12</v>
      </c>
      <c r="B78" s="58" t="s">
        <v>753</v>
      </c>
      <c r="C78" s="25" t="s">
        <v>40</v>
      </c>
      <c r="D78" s="25" t="s">
        <v>286</v>
      </c>
      <c r="E78" s="25" t="s">
        <v>45</v>
      </c>
      <c r="F78" s="165" t="s">
        <v>754</v>
      </c>
      <c r="G78" s="261" t="s">
        <v>42</v>
      </c>
      <c r="H78" s="262">
        <v>500</v>
      </c>
      <c r="I78" s="263" t="s">
        <v>77</v>
      </c>
      <c r="J78" s="25" t="s">
        <v>43</v>
      </c>
      <c r="K78" s="25" t="s">
        <v>44</v>
      </c>
      <c r="M78">
        <f t="shared" si="1"/>
        <v>100</v>
      </c>
    </row>
    <row r="79" spans="1:13" x14ac:dyDescent="0.25">
      <c r="A79" s="98">
        <v>12</v>
      </c>
      <c r="B79" s="58" t="s">
        <v>753</v>
      </c>
      <c r="C79" s="25" t="s">
        <v>40</v>
      </c>
      <c r="D79" s="25" t="s">
        <v>286</v>
      </c>
      <c r="E79" s="25" t="s">
        <v>45</v>
      </c>
      <c r="F79" s="165"/>
      <c r="G79" s="218" t="s">
        <v>42</v>
      </c>
      <c r="H79" s="219">
        <v>2000</v>
      </c>
      <c r="I79" s="220">
        <v>600</v>
      </c>
      <c r="J79" s="25" t="s">
        <v>43</v>
      </c>
      <c r="K79" s="25" t="s">
        <v>44</v>
      </c>
      <c r="M79">
        <f t="shared" si="1"/>
        <v>400</v>
      </c>
    </row>
    <row r="80" spans="1:13" x14ac:dyDescent="0.25">
      <c r="A80" s="98">
        <v>12</v>
      </c>
      <c r="B80" s="94" t="s">
        <v>755</v>
      </c>
      <c r="C80" s="25" t="s">
        <v>40</v>
      </c>
      <c r="D80" s="25" t="s">
        <v>320</v>
      </c>
      <c r="E80" s="25" t="s">
        <v>45</v>
      </c>
      <c r="F80" s="165"/>
      <c r="G80" s="218" t="s">
        <v>42</v>
      </c>
      <c r="H80" s="219">
        <v>2500</v>
      </c>
      <c r="I80" s="220">
        <v>500</v>
      </c>
      <c r="J80" s="25" t="s">
        <v>43</v>
      </c>
      <c r="K80" s="25" t="s">
        <v>44</v>
      </c>
      <c r="M80">
        <f t="shared" si="1"/>
        <v>500</v>
      </c>
    </row>
    <row r="81" spans="1:17" x14ac:dyDescent="0.25">
      <c r="A81" s="98">
        <v>12</v>
      </c>
      <c r="B81" s="94" t="s">
        <v>756</v>
      </c>
      <c r="C81" s="25" t="s">
        <v>50</v>
      </c>
      <c r="D81" s="25" t="s">
        <v>592</v>
      </c>
      <c r="E81" s="25" t="s">
        <v>61</v>
      </c>
      <c r="F81" s="165"/>
      <c r="G81" s="261" t="s">
        <v>42</v>
      </c>
      <c r="H81" s="262">
        <v>500</v>
      </c>
      <c r="I81" s="263" t="s">
        <v>77</v>
      </c>
      <c r="J81" s="25" t="s">
        <v>43</v>
      </c>
      <c r="K81" s="25" t="s">
        <v>44</v>
      </c>
      <c r="M81">
        <f t="shared" si="1"/>
        <v>100</v>
      </c>
    </row>
    <row r="82" spans="1:17" x14ac:dyDescent="0.25">
      <c r="A82" s="98">
        <v>12</v>
      </c>
      <c r="B82" s="94" t="s">
        <v>756</v>
      </c>
      <c r="C82" s="25" t="s">
        <v>50</v>
      </c>
      <c r="D82" s="25" t="s">
        <v>592</v>
      </c>
      <c r="E82" s="25" t="s">
        <v>61</v>
      </c>
      <c r="F82" s="165"/>
      <c r="G82" s="218" t="s">
        <v>42</v>
      </c>
      <c r="H82" s="219">
        <v>500</v>
      </c>
      <c r="I82" s="220">
        <v>100</v>
      </c>
      <c r="J82" s="25" t="s">
        <v>43</v>
      </c>
      <c r="K82" s="25" t="s">
        <v>44</v>
      </c>
      <c r="M82">
        <f t="shared" si="1"/>
        <v>100</v>
      </c>
    </row>
    <row r="83" spans="1:17" x14ac:dyDescent="0.25">
      <c r="A83" s="98">
        <v>12</v>
      </c>
      <c r="B83" s="94" t="s">
        <v>757</v>
      </c>
      <c r="C83" s="25" t="s">
        <v>50</v>
      </c>
      <c r="D83" s="25" t="s">
        <v>308</v>
      </c>
      <c r="E83" s="25" t="s">
        <v>61</v>
      </c>
      <c r="F83" s="165" t="s">
        <v>758</v>
      </c>
      <c r="G83" s="218" t="s">
        <v>42</v>
      </c>
      <c r="H83" s="219">
        <v>500</v>
      </c>
      <c r="I83" s="220">
        <v>100</v>
      </c>
      <c r="J83" s="25" t="s">
        <v>43</v>
      </c>
      <c r="K83" s="25" t="s">
        <v>44</v>
      </c>
      <c r="M83">
        <f t="shared" si="1"/>
        <v>100</v>
      </c>
    </row>
    <row r="84" spans="1:17" x14ac:dyDescent="0.25">
      <c r="A84" s="98">
        <v>12</v>
      </c>
      <c r="B84" s="94" t="s">
        <v>759</v>
      </c>
      <c r="C84" s="25" t="s">
        <v>40</v>
      </c>
      <c r="D84" s="25" t="s">
        <v>183</v>
      </c>
      <c r="E84" s="25" t="s">
        <v>55</v>
      </c>
      <c r="F84" s="165"/>
      <c r="G84" s="218" t="s">
        <v>42</v>
      </c>
      <c r="H84" s="219">
        <v>1500</v>
      </c>
      <c r="I84" s="220">
        <v>300</v>
      </c>
      <c r="J84" s="25" t="s">
        <v>43</v>
      </c>
      <c r="K84" s="25" t="s">
        <v>44</v>
      </c>
      <c r="M84">
        <f t="shared" si="1"/>
        <v>300</v>
      </c>
    </row>
    <row r="85" spans="1:17" x14ac:dyDescent="0.25">
      <c r="A85" s="98">
        <v>12</v>
      </c>
      <c r="B85" s="94" t="s">
        <v>760</v>
      </c>
      <c r="C85" s="25" t="s">
        <v>40</v>
      </c>
      <c r="D85" s="25" t="s">
        <v>761</v>
      </c>
      <c r="E85" s="25" t="s">
        <v>61</v>
      </c>
      <c r="F85" s="165" t="s">
        <v>762</v>
      </c>
      <c r="G85" s="218" t="s">
        <v>42</v>
      </c>
      <c r="H85" s="219">
        <v>250</v>
      </c>
      <c r="I85" s="220">
        <v>50</v>
      </c>
      <c r="J85" s="25" t="s">
        <v>43</v>
      </c>
      <c r="K85" s="25" t="s">
        <v>44</v>
      </c>
      <c r="M85">
        <f t="shared" si="1"/>
        <v>50</v>
      </c>
    </row>
    <row r="86" spans="1:17" x14ac:dyDescent="0.25">
      <c r="A86" s="98">
        <v>12</v>
      </c>
      <c r="B86" s="94" t="s">
        <v>763</v>
      </c>
      <c r="C86" s="25" t="s">
        <v>50</v>
      </c>
      <c r="D86" s="25" t="s">
        <v>198</v>
      </c>
      <c r="E86" s="25" t="s">
        <v>74</v>
      </c>
      <c r="F86" s="165" t="s">
        <v>764</v>
      </c>
      <c r="G86" s="218" t="s">
        <v>42</v>
      </c>
      <c r="H86" s="219">
        <v>3000</v>
      </c>
      <c r="I86" s="220">
        <v>900</v>
      </c>
      <c r="J86" s="25" t="s">
        <v>43</v>
      </c>
      <c r="K86" s="25" t="s">
        <v>44</v>
      </c>
      <c r="M86">
        <f t="shared" si="1"/>
        <v>600</v>
      </c>
    </row>
    <row r="87" spans="1:17" x14ac:dyDescent="0.25">
      <c r="A87" s="224">
        <v>22</v>
      </c>
      <c r="B87" s="227" t="s">
        <v>772</v>
      </c>
      <c r="C87" s="218" t="s">
        <v>40</v>
      </c>
      <c r="D87" s="218" t="s">
        <v>308</v>
      </c>
      <c r="E87" s="218" t="s">
        <v>61</v>
      </c>
      <c r="F87" s="222"/>
      <c r="G87" s="218" t="s">
        <v>42</v>
      </c>
      <c r="H87" s="219">
        <v>1000</v>
      </c>
      <c r="I87" s="220">
        <v>200</v>
      </c>
      <c r="J87" s="25" t="s">
        <v>43</v>
      </c>
      <c r="K87" s="25" t="s">
        <v>44</v>
      </c>
      <c r="M87">
        <f t="shared" si="1"/>
        <v>200</v>
      </c>
    </row>
    <row r="88" spans="1:17" x14ac:dyDescent="0.25">
      <c r="A88" s="224">
        <v>22</v>
      </c>
      <c r="B88" s="227" t="s">
        <v>772</v>
      </c>
      <c r="C88" s="218" t="s">
        <v>40</v>
      </c>
      <c r="D88" s="218" t="s">
        <v>308</v>
      </c>
      <c r="E88" s="218" t="s">
        <v>61</v>
      </c>
      <c r="F88" s="222"/>
      <c r="G88" s="218" t="s">
        <v>42</v>
      </c>
      <c r="H88" s="219">
        <v>500</v>
      </c>
      <c r="I88" s="220" t="s">
        <v>77</v>
      </c>
      <c r="J88" s="25" t="s">
        <v>43</v>
      </c>
      <c r="K88" s="25" t="s">
        <v>44</v>
      </c>
      <c r="M88">
        <f t="shared" si="1"/>
        <v>100</v>
      </c>
    </row>
    <row r="89" spans="1:17" x14ac:dyDescent="0.25">
      <c r="A89" s="224">
        <v>22</v>
      </c>
      <c r="B89" s="227" t="s">
        <v>773</v>
      </c>
      <c r="C89" s="218" t="s">
        <v>40</v>
      </c>
      <c r="D89" s="218" t="s">
        <v>55</v>
      </c>
      <c r="E89" s="218" t="s">
        <v>65</v>
      </c>
      <c r="F89" s="222"/>
      <c r="G89" s="218" t="s">
        <v>42</v>
      </c>
      <c r="H89" s="219">
        <v>500</v>
      </c>
      <c r="I89" s="220">
        <v>100</v>
      </c>
      <c r="J89" s="25" t="s">
        <v>43</v>
      </c>
      <c r="K89" s="25" t="s">
        <v>44</v>
      </c>
      <c r="M89">
        <f t="shared" si="1"/>
        <v>100</v>
      </c>
      <c r="Q89" s="67">
        <f>SUM(H87,H89,H91:H95)</f>
        <v>22700</v>
      </c>
    </row>
    <row r="90" spans="1:17" x14ac:dyDescent="0.25">
      <c r="A90" s="224">
        <v>22</v>
      </c>
      <c r="B90" s="227" t="s">
        <v>773</v>
      </c>
      <c r="C90" s="218" t="s">
        <v>40</v>
      </c>
      <c r="D90" s="218" t="s">
        <v>55</v>
      </c>
      <c r="E90" s="218" t="s">
        <v>65</v>
      </c>
      <c r="F90" s="222"/>
      <c r="G90" s="218" t="s">
        <v>42</v>
      </c>
      <c r="H90" s="219">
        <v>500</v>
      </c>
      <c r="I90" s="220" t="s">
        <v>77</v>
      </c>
      <c r="J90" s="25" t="s">
        <v>43</v>
      </c>
      <c r="K90" s="25" t="s">
        <v>44</v>
      </c>
      <c r="M90">
        <f t="shared" si="1"/>
        <v>100</v>
      </c>
    </row>
    <row r="91" spans="1:17" x14ac:dyDescent="0.25">
      <c r="A91" s="224">
        <v>22</v>
      </c>
      <c r="B91" s="227" t="s">
        <v>407</v>
      </c>
      <c r="C91" s="218" t="s">
        <v>40</v>
      </c>
      <c r="D91" s="218" t="s">
        <v>291</v>
      </c>
      <c r="E91" s="218" t="s">
        <v>46</v>
      </c>
      <c r="F91" s="222" t="s">
        <v>774</v>
      </c>
      <c r="G91" s="218" t="s">
        <v>42</v>
      </c>
      <c r="H91" s="219">
        <v>2000</v>
      </c>
      <c r="I91" s="220">
        <v>400</v>
      </c>
      <c r="J91" s="25" t="s">
        <v>43</v>
      </c>
      <c r="K91" s="25" t="s">
        <v>44</v>
      </c>
      <c r="M91">
        <f t="shared" si="1"/>
        <v>400</v>
      </c>
    </row>
    <row r="92" spans="1:17" x14ac:dyDescent="0.25">
      <c r="A92" s="224">
        <v>25</v>
      </c>
      <c r="B92" s="227" t="s">
        <v>775</v>
      </c>
      <c r="C92" s="218" t="s">
        <v>40</v>
      </c>
      <c r="D92" s="218" t="s">
        <v>237</v>
      </c>
      <c r="E92" s="218" t="s">
        <v>776</v>
      </c>
      <c r="F92" s="222"/>
      <c r="G92" s="218" t="s">
        <v>42</v>
      </c>
      <c r="H92" s="219">
        <v>300</v>
      </c>
      <c r="I92" s="220">
        <v>60</v>
      </c>
      <c r="J92" s="25" t="s">
        <v>43</v>
      </c>
      <c r="K92" s="25" t="s">
        <v>44</v>
      </c>
      <c r="M92">
        <f t="shared" si="1"/>
        <v>60</v>
      </c>
    </row>
    <row r="93" spans="1:17" x14ac:dyDescent="0.25">
      <c r="A93" s="224">
        <v>25</v>
      </c>
      <c r="B93" s="227" t="s">
        <v>306</v>
      </c>
      <c r="C93" s="218" t="s">
        <v>40</v>
      </c>
      <c r="D93" s="218" t="s">
        <v>175</v>
      </c>
      <c r="E93" s="218" t="s">
        <v>61</v>
      </c>
      <c r="F93" s="222"/>
      <c r="G93" s="218" t="s">
        <v>42</v>
      </c>
      <c r="H93" s="219">
        <v>5000</v>
      </c>
      <c r="I93" s="220">
        <v>1000</v>
      </c>
      <c r="J93" s="25" t="s">
        <v>43</v>
      </c>
      <c r="K93" s="25" t="s">
        <v>44</v>
      </c>
      <c r="M93">
        <f t="shared" si="1"/>
        <v>1000</v>
      </c>
    </row>
    <row r="94" spans="1:17" x14ac:dyDescent="0.25">
      <c r="A94" s="224">
        <v>25</v>
      </c>
      <c r="B94" s="227" t="s">
        <v>413</v>
      </c>
      <c r="C94" s="218" t="s">
        <v>40</v>
      </c>
      <c r="D94" s="218" t="s">
        <v>240</v>
      </c>
      <c r="E94" s="218" t="s">
        <v>63</v>
      </c>
      <c r="F94" s="222" t="s">
        <v>777</v>
      </c>
      <c r="G94" s="218" t="s">
        <v>42</v>
      </c>
      <c r="H94" s="219">
        <v>1300</v>
      </c>
      <c r="I94" s="220">
        <v>260</v>
      </c>
      <c r="J94" s="25" t="s">
        <v>43</v>
      </c>
      <c r="K94" s="25" t="s">
        <v>44</v>
      </c>
      <c r="M94">
        <f t="shared" si="1"/>
        <v>260</v>
      </c>
    </row>
    <row r="95" spans="1:17" x14ac:dyDescent="0.25">
      <c r="A95" s="224">
        <v>25</v>
      </c>
      <c r="B95" s="227" t="s">
        <v>778</v>
      </c>
      <c r="C95" s="218" t="s">
        <v>50</v>
      </c>
      <c r="D95" s="218" t="s">
        <v>178</v>
      </c>
      <c r="E95" s="218" t="s">
        <v>46</v>
      </c>
      <c r="F95" s="222" t="s">
        <v>396</v>
      </c>
      <c r="G95" s="218" t="s">
        <v>42</v>
      </c>
      <c r="H95" s="219">
        <v>12600</v>
      </c>
      <c r="I95" s="220">
        <v>2520</v>
      </c>
      <c r="J95" s="25" t="s">
        <v>43</v>
      </c>
      <c r="K95" s="25" t="s">
        <v>44</v>
      </c>
      <c r="M95">
        <f t="shared" si="1"/>
        <v>2520</v>
      </c>
    </row>
    <row r="96" spans="1:17" x14ac:dyDescent="0.25">
      <c r="A96" s="98">
        <v>26</v>
      </c>
      <c r="B96" s="94" t="s">
        <v>789</v>
      </c>
      <c r="C96" s="25" t="s">
        <v>50</v>
      </c>
      <c r="D96" s="25" t="s">
        <v>178</v>
      </c>
      <c r="E96" s="25" t="s">
        <v>46</v>
      </c>
      <c r="F96" s="165"/>
      <c r="G96" s="218" t="s">
        <v>42</v>
      </c>
      <c r="H96" s="219">
        <v>11000</v>
      </c>
      <c r="I96" s="220">
        <v>2200</v>
      </c>
      <c r="J96" s="25" t="s">
        <v>43</v>
      </c>
      <c r="K96" s="25" t="s">
        <v>44</v>
      </c>
      <c r="M96">
        <f t="shared" si="1"/>
        <v>2200</v>
      </c>
    </row>
    <row r="97" spans="1:13" x14ac:dyDescent="0.25">
      <c r="A97" s="98">
        <v>26</v>
      </c>
      <c r="B97" s="94" t="s">
        <v>304</v>
      </c>
      <c r="C97" s="25" t="s">
        <v>50</v>
      </c>
      <c r="D97" s="25" t="s">
        <v>178</v>
      </c>
      <c r="E97" s="25" t="s">
        <v>46</v>
      </c>
      <c r="F97" s="165"/>
      <c r="G97" s="218" t="s">
        <v>42</v>
      </c>
      <c r="H97" s="219">
        <v>13000</v>
      </c>
      <c r="I97" s="220">
        <v>2600</v>
      </c>
      <c r="J97" s="25" t="s">
        <v>43</v>
      </c>
      <c r="K97" s="25" t="s">
        <v>44</v>
      </c>
      <c r="M97">
        <f t="shared" si="1"/>
        <v>2600</v>
      </c>
    </row>
    <row r="98" spans="1:13" x14ac:dyDescent="0.25">
      <c r="A98" s="224">
        <v>26</v>
      </c>
      <c r="B98" s="227" t="s">
        <v>790</v>
      </c>
      <c r="C98" s="218" t="s">
        <v>40</v>
      </c>
      <c r="D98" s="218" t="s">
        <v>85</v>
      </c>
      <c r="E98" s="218" t="s">
        <v>45</v>
      </c>
      <c r="F98" s="222" t="s">
        <v>324</v>
      </c>
      <c r="G98" s="218" t="s">
        <v>42</v>
      </c>
      <c r="H98" s="219">
        <v>2500</v>
      </c>
      <c r="I98" s="220">
        <v>500</v>
      </c>
      <c r="J98" s="25" t="s">
        <v>43</v>
      </c>
      <c r="K98" s="25" t="s">
        <v>44</v>
      </c>
      <c r="M98">
        <f t="shared" si="1"/>
        <v>500</v>
      </c>
    </row>
    <row r="99" spans="1:13" x14ac:dyDescent="0.25">
      <c r="A99" s="224"/>
      <c r="B99" s="227"/>
      <c r="C99" s="218"/>
      <c r="D99" s="218"/>
      <c r="E99" s="218"/>
      <c r="F99" s="222"/>
      <c r="G99" s="218"/>
      <c r="H99" s="219"/>
      <c r="I99" s="220"/>
      <c r="J99" s="25"/>
      <c r="K99" s="25"/>
      <c r="M99">
        <f t="shared" si="1"/>
        <v>0</v>
      </c>
    </row>
    <row r="100" spans="1:13" x14ac:dyDescent="0.25">
      <c r="A100" s="98"/>
      <c r="B100" s="94"/>
      <c r="C100" s="25"/>
      <c r="D100" s="25"/>
      <c r="E100" s="25"/>
      <c r="F100" s="165"/>
      <c r="G100" s="218"/>
      <c r="H100" s="219"/>
      <c r="I100" s="220"/>
      <c r="J100" s="25"/>
      <c r="K100" s="25"/>
    </row>
    <row r="101" spans="1:13" x14ac:dyDescent="0.25">
      <c r="A101" s="97"/>
      <c r="B101" s="94"/>
      <c r="C101" s="25"/>
      <c r="D101" s="25"/>
      <c r="E101" s="25"/>
      <c r="F101" s="165"/>
      <c r="G101" s="25"/>
      <c r="H101" s="93"/>
      <c r="I101" s="73"/>
      <c r="J101" s="25"/>
      <c r="K101" s="25"/>
      <c r="M101">
        <f>SUM(M12:M99)</f>
        <v>40236.400000000001</v>
      </c>
    </row>
    <row r="102" spans="1:13" x14ac:dyDescent="0.25">
      <c r="H102" s="29"/>
      <c r="I102" s="108"/>
    </row>
    <row r="104" spans="1:13" x14ac:dyDescent="0.25">
      <c r="I104" s="110" t="s">
        <v>19</v>
      </c>
      <c r="J104" s="30"/>
    </row>
    <row r="105" spans="1:13" ht="16.5" customHeight="1" x14ac:dyDescent="0.25">
      <c r="B105" t="s">
        <v>20</v>
      </c>
      <c r="E105" t="s">
        <v>21</v>
      </c>
      <c r="I105" s="100" t="s">
        <v>136</v>
      </c>
      <c r="J105" s="115" t="s">
        <v>630</v>
      </c>
    </row>
    <row r="106" spans="1:13" x14ac:dyDescent="0.25">
      <c r="I106" s="100" t="s">
        <v>137</v>
      </c>
      <c r="J106" s="115" t="s">
        <v>631</v>
      </c>
      <c r="K106" s="67"/>
    </row>
    <row r="107" spans="1:13" x14ac:dyDescent="0.25">
      <c r="I107" s="100"/>
      <c r="J107" s="115" t="s">
        <v>629</v>
      </c>
      <c r="K107" s="67" t="s">
        <v>288</v>
      </c>
    </row>
    <row r="108" spans="1:13" x14ac:dyDescent="0.25">
      <c r="I108" s="100" t="s">
        <v>138</v>
      </c>
      <c r="J108" s="115">
        <v>0</v>
      </c>
    </row>
    <row r="109" spans="1:13" x14ac:dyDescent="0.25">
      <c r="B109" s="111" t="s">
        <v>98</v>
      </c>
      <c r="E109" s="455" t="s">
        <v>22</v>
      </c>
      <c r="F109" s="455"/>
      <c r="G109" s="455"/>
      <c r="H109" s="455"/>
      <c r="I109" s="100" t="s">
        <v>139</v>
      </c>
      <c r="J109" s="115">
        <v>0</v>
      </c>
    </row>
    <row r="110" spans="1:13" x14ac:dyDescent="0.25">
      <c r="B110" t="s">
        <v>115</v>
      </c>
      <c r="E110" s="444" t="s">
        <v>163</v>
      </c>
      <c r="F110" s="444"/>
      <c r="G110" s="444"/>
      <c r="H110" s="444"/>
      <c r="I110" s="100" t="s">
        <v>143</v>
      </c>
      <c r="J110" s="115">
        <v>0</v>
      </c>
    </row>
    <row r="111" spans="1:13" x14ac:dyDescent="0.25">
      <c r="I111" s="112" t="s">
        <v>135</v>
      </c>
      <c r="J111" s="115">
        <v>0</v>
      </c>
    </row>
    <row r="112" spans="1:13" x14ac:dyDescent="0.25">
      <c r="I112" s="100" t="s">
        <v>23</v>
      </c>
      <c r="J112" s="117"/>
    </row>
    <row r="113" spans="2:10" x14ac:dyDescent="0.25">
      <c r="I113" s="113" t="s">
        <v>133</v>
      </c>
      <c r="J113" s="118" t="s">
        <v>628</v>
      </c>
    </row>
    <row r="114" spans="2:10" x14ac:dyDescent="0.25">
      <c r="I114" s="113" t="s">
        <v>134</v>
      </c>
      <c r="J114" s="69"/>
    </row>
    <row r="115" spans="2:10" x14ac:dyDescent="0.25">
      <c r="B115" s="31"/>
      <c r="E115" s="31"/>
      <c r="F115" s="31"/>
      <c r="G115" s="31"/>
      <c r="I115" s="100"/>
      <c r="J115" s="30"/>
    </row>
    <row r="116" spans="2:10" x14ac:dyDescent="0.25">
      <c r="I116" s="100"/>
      <c r="J116" s="30"/>
    </row>
    <row r="117" spans="2:10" x14ac:dyDescent="0.25">
      <c r="I117" s="100"/>
      <c r="J117" s="30"/>
    </row>
    <row r="118" spans="2:10" x14ac:dyDescent="0.25">
      <c r="I118" s="100"/>
      <c r="J118" s="69"/>
    </row>
    <row r="119" spans="2:10" x14ac:dyDescent="0.25">
      <c r="I119" s="100"/>
      <c r="J119" s="69"/>
    </row>
    <row r="139" spans="12:12" x14ac:dyDescent="0.25">
      <c r="L139" s="29"/>
    </row>
    <row r="162" spans="12:12" x14ac:dyDescent="0.25">
      <c r="L162" s="29"/>
    </row>
    <row r="289" spans="12:12" x14ac:dyDescent="0.25">
      <c r="L289" s="29"/>
    </row>
  </sheetData>
  <mergeCells count="8">
    <mergeCell ref="E109:H109"/>
    <mergeCell ref="E110:H110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39997558519241921"/>
  </sheetPr>
  <dimension ref="A1:O32"/>
  <sheetViews>
    <sheetView view="pageBreakPreview" zoomScale="96" zoomScaleNormal="100" zoomScaleSheetLayoutView="96" workbookViewId="0">
      <selection activeCell="L13" sqref="L13:L15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58" t="s">
        <v>642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217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2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1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ht="15" customHeight="1" x14ac:dyDescent="0.25">
      <c r="A12" s="98">
        <v>7</v>
      </c>
      <c r="B12" s="221" t="s">
        <v>716</v>
      </c>
      <c r="C12" s="25"/>
      <c r="D12" s="25"/>
      <c r="E12" s="25" t="s">
        <v>93</v>
      </c>
      <c r="F12" s="222"/>
      <c r="G12" s="55" t="s">
        <v>730</v>
      </c>
      <c r="H12" s="225" t="s">
        <v>42</v>
      </c>
      <c r="I12" s="93">
        <v>16000</v>
      </c>
      <c r="J12" s="57" t="s">
        <v>77</v>
      </c>
      <c r="K12" s="94" t="s">
        <v>409</v>
      </c>
      <c r="L12" s="25" t="s">
        <v>44</v>
      </c>
      <c r="M12" s="173"/>
    </row>
    <row r="13" spans="1:15" ht="29.25" customHeight="1" x14ac:dyDescent="0.25">
      <c r="A13" s="98">
        <v>7</v>
      </c>
      <c r="B13" s="94" t="s">
        <v>283</v>
      </c>
      <c r="C13" s="25"/>
      <c r="D13" s="94"/>
      <c r="E13" s="94" t="s">
        <v>106</v>
      </c>
      <c r="F13" s="165" t="s">
        <v>731</v>
      </c>
      <c r="G13" s="94" t="s">
        <v>284</v>
      </c>
      <c r="H13" s="226" t="s">
        <v>42</v>
      </c>
      <c r="I13" s="93">
        <v>3000</v>
      </c>
      <c r="J13" s="57" t="s">
        <v>77</v>
      </c>
      <c r="K13" s="94"/>
      <c r="L13" s="25" t="s">
        <v>44</v>
      </c>
      <c r="M13" s="173"/>
      <c r="O13" s="67"/>
    </row>
    <row r="14" spans="1:15" ht="29.25" customHeight="1" x14ac:dyDescent="0.25">
      <c r="A14" s="268">
        <v>22</v>
      </c>
      <c r="B14" s="271" t="s">
        <v>767</v>
      </c>
      <c r="C14" s="272"/>
      <c r="D14" s="269"/>
      <c r="E14" s="269" t="s">
        <v>768</v>
      </c>
      <c r="F14" s="270" t="s">
        <v>769</v>
      </c>
      <c r="G14" s="269" t="s">
        <v>770</v>
      </c>
      <c r="H14" s="274" t="s">
        <v>771</v>
      </c>
      <c r="I14" s="275">
        <v>12000</v>
      </c>
      <c r="J14" s="276" t="s">
        <v>77</v>
      </c>
      <c r="K14" s="94"/>
      <c r="L14" s="25" t="s">
        <v>44</v>
      </c>
      <c r="O14" s="67"/>
    </row>
    <row r="15" spans="1:15" ht="16.5" customHeight="1" x14ac:dyDescent="0.25">
      <c r="A15" s="273">
        <v>22</v>
      </c>
      <c r="B15" s="271" t="s">
        <v>767</v>
      </c>
      <c r="C15" s="272"/>
      <c r="D15" s="269"/>
      <c r="E15" s="269" t="s">
        <v>768</v>
      </c>
      <c r="F15" s="270" t="s">
        <v>769</v>
      </c>
      <c r="G15" s="269" t="s">
        <v>770</v>
      </c>
      <c r="H15" s="277" t="s">
        <v>351</v>
      </c>
      <c r="I15" s="262">
        <v>22</v>
      </c>
      <c r="J15" s="278" t="s">
        <v>77</v>
      </c>
      <c r="K15" s="94"/>
      <c r="L15" s="25" t="s">
        <v>44</v>
      </c>
      <c r="O15" s="67"/>
    </row>
    <row r="16" spans="1:15" ht="16.5" customHeight="1" x14ac:dyDescent="0.25">
      <c r="A16" s="72"/>
      <c r="B16" s="94"/>
      <c r="C16" s="25"/>
      <c r="D16" s="94"/>
      <c r="E16" s="94"/>
      <c r="F16" s="165"/>
      <c r="G16" s="94"/>
      <c r="H16" s="223"/>
      <c r="I16" s="93"/>
      <c r="J16" s="57"/>
      <c r="K16" s="94"/>
      <c r="L16" s="94"/>
      <c r="O16" s="67"/>
    </row>
    <row r="17" spans="1:15" ht="16.5" customHeight="1" x14ac:dyDescent="0.25">
      <c r="A17" s="72"/>
      <c r="B17" s="94"/>
      <c r="C17" s="25"/>
      <c r="D17" s="94"/>
      <c r="E17" s="94"/>
      <c r="F17" s="165"/>
      <c r="G17" s="94"/>
      <c r="H17" s="223"/>
      <c r="I17" s="93"/>
      <c r="J17" s="57"/>
      <c r="K17" s="94"/>
      <c r="L17" s="94"/>
      <c r="O17" s="67"/>
    </row>
    <row r="18" spans="1:15" ht="16.5" customHeight="1" x14ac:dyDescent="0.25">
      <c r="A18" s="72"/>
      <c r="B18" s="94"/>
      <c r="C18" s="25"/>
      <c r="D18" s="94"/>
      <c r="E18" s="94"/>
      <c r="F18" s="165"/>
      <c r="G18" s="94"/>
      <c r="H18" s="223"/>
      <c r="I18" s="93"/>
      <c r="J18" s="57"/>
      <c r="K18" s="94"/>
      <c r="L18" s="94"/>
      <c r="O18" s="67"/>
    </row>
    <row r="19" spans="1:15" ht="16.5" customHeight="1" x14ac:dyDescent="0.25">
      <c r="A19" s="72"/>
      <c r="B19" s="94"/>
      <c r="C19" s="25"/>
      <c r="D19" s="94"/>
      <c r="E19" s="94"/>
      <c r="F19" s="165"/>
      <c r="G19" s="94"/>
      <c r="H19" s="223"/>
      <c r="I19" s="93"/>
      <c r="J19" s="57"/>
      <c r="K19" s="94"/>
      <c r="L19" s="94"/>
      <c r="O19" s="67"/>
    </row>
    <row r="20" spans="1:15" x14ac:dyDescent="0.25">
      <c r="A20" s="72"/>
      <c r="B20" s="94"/>
      <c r="C20" s="25"/>
      <c r="D20" s="94"/>
      <c r="E20" s="94"/>
      <c r="F20" s="165"/>
      <c r="G20" s="94"/>
      <c r="H20" s="130"/>
      <c r="I20" s="93"/>
      <c r="J20" s="25"/>
      <c r="K20" s="94"/>
      <c r="L20" s="94"/>
      <c r="O20" s="67"/>
    </row>
    <row r="21" spans="1:15" x14ac:dyDescent="0.25">
      <c r="I21" s="30"/>
      <c r="J21" s="30"/>
    </row>
    <row r="22" spans="1:15" x14ac:dyDescent="0.25">
      <c r="I22" s="59" t="s">
        <v>19</v>
      </c>
      <c r="J22" s="30"/>
    </row>
    <row r="23" spans="1:15" x14ac:dyDescent="0.25">
      <c r="I23" s="30" t="s">
        <v>136</v>
      </c>
      <c r="J23" s="30"/>
    </row>
    <row r="24" spans="1:15" x14ac:dyDescent="0.25">
      <c r="B24" t="s">
        <v>20</v>
      </c>
      <c r="E24" t="s">
        <v>21</v>
      </c>
      <c r="I24" s="30" t="s">
        <v>137</v>
      </c>
      <c r="J24" s="118" t="s">
        <v>626</v>
      </c>
    </row>
    <row r="25" spans="1:15" x14ac:dyDescent="0.25">
      <c r="I25" s="30"/>
      <c r="J25" s="118" t="s">
        <v>627</v>
      </c>
      <c r="K25" t="s">
        <v>288</v>
      </c>
    </row>
    <row r="26" spans="1:15" x14ac:dyDescent="0.25">
      <c r="I26" s="30" t="s">
        <v>138</v>
      </c>
      <c r="J26" s="115">
        <v>0</v>
      </c>
    </row>
    <row r="27" spans="1:15" x14ac:dyDescent="0.25">
      <c r="I27" s="30" t="s">
        <v>142</v>
      </c>
      <c r="J27" s="115">
        <v>0</v>
      </c>
    </row>
    <row r="28" spans="1:15" x14ac:dyDescent="0.25">
      <c r="B28" s="31" t="s">
        <v>98</v>
      </c>
      <c r="E28" s="443" t="s">
        <v>22</v>
      </c>
      <c r="F28" s="443"/>
      <c r="G28" s="443"/>
      <c r="H28" s="443"/>
      <c r="I28" s="30" t="s">
        <v>143</v>
      </c>
      <c r="J28" s="115">
        <v>0</v>
      </c>
      <c r="L28" s="67"/>
    </row>
    <row r="29" spans="1:15" x14ac:dyDescent="0.25">
      <c r="B29" t="s">
        <v>115</v>
      </c>
      <c r="E29" s="444" t="s">
        <v>163</v>
      </c>
      <c r="F29" s="444"/>
      <c r="G29" s="444"/>
      <c r="H29" s="444"/>
      <c r="I29" s="30" t="s">
        <v>144</v>
      </c>
      <c r="J29" s="115">
        <v>0</v>
      </c>
      <c r="L29" s="67"/>
    </row>
    <row r="30" spans="1:15" x14ac:dyDescent="0.25">
      <c r="I30" s="30" t="s">
        <v>23</v>
      </c>
      <c r="J30" s="117"/>
    </row>
    <row r="31" spans="1:15" x14ac:dyDescent="0.25">
      <c r="I31" s="4" t="s">
        <v>145</v>
      </c>
      <c r="J31" s="118"/>
    </row>
    <row r="32" spans="1:15" x14ac:dyDescent="0.25">
      <c r="I32" s="4" t="s">
        <v>108</v>
      </c>
      <c r="J32" s="118"/>
    </row>
  </sheetData>
  <mergeCells count="9">
    <mergeCell ref="A8:B8"/>
    <mergeCell ref="E28:H28"/>
    <mergeCell ref="E29:H29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Q294"/>
  <sheetViews>
    <sheetView view="pageBreakPreview" topLeftCell="A88" zoomScale="106" zoomScaleNormal="100" zoomScaleSheetLayoutView="106" workbookViewId="0">
      <selection activeCell="J98" sqref="J98:K104"/>
    </sheetView>
  </sheetViews>
  <sheetFormatPr defaultRowHeight="15" x14ac:dyDescent="0.25"/>
  <cols>
    <col min="1" max="1" width="4.7109375" style="184" customWidth="1"/>
    <col min="2" max="2" width="25" style="183" customWidth="1"/>
    <col min="3" max="3" width="7.28515625" style="183" customWidth="1"/>
    <col min="4" max="4" width="17.7109375" style="183" customWidth="1"/>
    <col min="5" max="5" width="14.5703125" style="183" customWidth="1"/>
    <col min="6" max="6" width="14.28515625" style="183" customWidth="1"/>
    <col min="7" max="7" width="14" style="183" customWidth="1"/>
    <col min="8" max="8" width="16.42578125" style="183" customWidth="1"/>
    <col min="9" max="9" width="16.85546875" style="198" customWidth="1"/>
    <col min="10" max="10" width="11.42578125" style="183" customWidth="1"/>
    <col min="11" max="11" width="17.85546875" style="183" customWidth="1"/>
  </cols>
  <sheetData>
    <row r="1" spans="1:17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7" ht="18" x14ac:dyDescent="0.25">
      <c r="A2" s="458" t="s">
        <v>473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7" x14ac:dyDescent="0.25">
      <c r="B3" s="185"/>
      <c r="C3" s="4"/>
      <c r="D3" s="185"/>
      <c r="E3" s="185"/>
      <c r="G3" s="4"/>
      <c r="H3" s="80"/>
      <c r="I3" s="100"/>
      <c r="J3" s="101" t="s">
        <v>666</v>
      </c>
      <c r="K3" s="102"/>
    </row>
    <row r="4" spans="1:17" x14ac:dyDescent="0.25">
      <c r="B4" s="185"/>
      <c r="C4" s="4"/>
      <c r="D4" s="185"/>
      <c r="E4" s="185"/>
      <c r="G4" s="4"/>
      <c r="H4" s="80"/>
      <c r="I4" s="103"/>
      <c r="J4" s="89" t="s">
        <v>111</v>
      </c>
      <c r="K4" s="239">
        <v>72</v>
      </c>
    </row>
    <row r="5" spans="1:17" x14ac:dyDescent="0.25">
      <c r="B5" s="185"/>
      <c r="C5" s="4"/>
      <c r="D5" s="185"/>
      <c r="E5" s="185"/>
      <c r="G5" s="4"/>
      <c r="H5" s="80"/>
      <c r="I5" s="103"/>
      <c r="J5" s="89" t="s">
        <v>114</v>
      </c>
      <c r="K5" s="239">
        <v>20</v>
      </c>
    </row>
    <row r="6" spans="1:17" x14ac:dyDescent="0.25">
      <c r="A6" s="456" t="s">
        <v>147</v>
      </c>
      <c r="B6" s="456"/>
      <c r="C6" s="4"/>
      <c r="D6" s="185"/>
      <c r="E6" s="186"/>
      <c r="G6" s="4"/>
      <c r="H6" s="80"/>
      <c r="I6" s="100"/>
      <c r="J6" s="96" t="s">
        <v>667</v>
      </c>
      <c r="K6" s="104"/>
      <c r="Q6" s="29">
        <f>SUM(H13:H102)</f>
        <v>334900</v>
      </c>
    </row>
    <row r="7" spans="1:17" x14ac:dyDescent="0.25">
      <c r="A7" s="187"/>
      <c r="B7" s="188"/>
      <c r="C7" s="77"/>
      <c r="D7" s="189"/>
      <c r="E7" s="189"/>
      <c r="F7" s="451" t="s">
        <v>1</v>
      </c>
      <c r="G7" s="457"/>
      <c r="H7" s="452"/>
      <c r="I7" s="105"/>
      <c r="J7" s="453" t="s">
        <v>2</v>
      </c>
      <c r="K7" s="454"/>
      <c r="Q7">
        <v>500</v>
      </c>
    </row>
    <row r="8" spans="1:17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240"/>
      <c r="Q8" s="341">
        <f>SUM(Q6:Q7)</f>
        <v>335400</v>
      </c>
    </row>
    <row r="9" spans="1:17" x14ac:dyDescent="0.25">
      <c r="A9" s="190"/>
      <c r="B9" s="191"/>
      <c r="C9" s="78"/>
      <c r="D9" s="192"/>
      <c r="E9" s="191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</row>
    <row r="10" spans="1:17" x14ac:dyDescent="0.25">
      <c r="A10" s="193"/>
      <c r="B10" s="194"/>
      <c r="C10" s="79"/>
      <c r="D10" s="195"/>
      <c r="E10" s="195"/>
      <c r="F10" s="23"/>
      <c r="G10" s="81"/>
      <c r="H10" s="82" t="s">
        <v>15</v>
      </c>
      <c r="I10" s="107"/>
      <c r="J10" s="23"/>
      <c r="K10" s="24" t="s">
        <v>16</v>
      </c>
    </row>
    <row r="11" spans="1:17" x14ac:dyDescent="0.25">
      <c r="A11" s="51" t="s">
        <v>17</v>
      </c>
      <c r="B11" s="58"/>
      <c r="C11" s="58"/>
      <c r="D11" s="58"/>
      <c r="E11" s="58"/>
      <c r="F11" s="58"/>
      <c r="G11" s="58"/>
      <c r="H11" s="58"/>
      <c r="I11" s="74"/>
      <c r="J11" s="58"/>
      <c r="K11" s="58"/>
    </row>
    <row r="12" spans="1:17" x14ac:dyDescent="0.25">
      <c r="A12" s="132">
        <v>2</v>
      </c>
      <c r="B12" s="58" t="s">
        <v>474</v>
      </c>
      <c r="C12" s="58" t="s">
        <v>40</v>
      </c>
      <c r="D12" s="58" t="s">
        <v>175</v>
      </c>
      <c r="E12" s="58" t="s">
        <v>61</v>
      </c>
      <c r="F12" s="196"/>
      <c r="G12" s="247" t="s">
        <v>475</v>
      </c>
      <c r="H12" s="138">
        <v>2000</v>
      </c>
      <c r="I12" s="177" t="s">
        <v>77</v>
      </c>
      <c r="J12" s="58"/>
      <c r="K12" s="58" t="s">
        <v>44</v>
      </c>
      <c r="M12">
        <f>H12/5</f>
        <v>400</v>
      </c>
    </row>
    <row r="13" spans="1:17" x14ac:dyDescent="0.25">
      <c r="A13" s="132">
        <v>4</v>
      </c>
      <c r="B13" s="58" t="s">
        <v>477</v>
      </c>
      <c r="C13" s="58" t="s">
        <v>40</v>
      </c>
      <c r="D13" s="58" t="s">
        <v>360</v>
      </c>
      <c r="E13" s="58" t="s">
        <v>46</v>
      </c>
      <c r="F13" s="196" t="s">
        <v>478</v>
      </c>
      <c r="G13" s="58" t="s">
        <v>42</v>
      </c>
      <c r="H13" s="65">
        <v>22500</v>
      </c>
      <c r="I13" s="74">
        <v>4500</v>
      </c>
      <c r="J13" s="58" t="s">
        <v>43</v>
      </c>
      <c r="K13" s="58" t="s">
        <v>44</v>
      </c>
      <c r="M13">
        <f t="shared" ref="M13:M15" si="0">H13/5</f>
        <v>4500</v>
      </c>
    </row>
    <row r="14" spans="1:17" x14ac:dyDescent="0.25">
      <c r="A14" s="132">
        <v>4</v>
      </c>
      <c r="B14" s="58" t="s">
        <v>479</v>
      </c>
      <c r="C14" s="58" t="s">
        <v>40</v>
      </c>
      <c r="D14" s="58" t="s">
        <v>178</v>
      </c>
      <c r="E14" s="58" t="s">
        <v>46</v>
      </c>
      <c r="F14" s="196"/>
      <c r="G14" s="58" t="s">
        <v>42</v>
      </c>
      <c r="H14" s="65">
        <v>1000</v>
      </c>
      <c r="I14" s="74">
        <v>200</v>
      </c>
      <c r="J14" s="58" t="s">
        <v>43</v>
      </c>
      <c r="K14" s="58" t="s">
        <v>44</v>
      </c>
      <c r="M14">
        <f t="shared" si="0"/>
        <v>200</v>
      </c>
    </row>
    <row r="15" spans="1:17" x14ac:dyDescent="0.25">
      <c r="A15" s="132">
        <v>4</v>
      </c>
      <c r="B15" s="58" t="s">
        <v>367</v>
      </c>
      <c r="C15" s="58" t="s">
        <v>40</v>
      </c>
      <c r="D15" s="58" t="s">
        <v>207</v>
      </c>
      <c r="E15" s="58" t="s">
        <v>45</v>
      </c>
      <c r="F15" s="196" t="s">
        <v>368</v>
      </c>
      <c r="G15" s="58" t="s">
        <v>42</v>
      </c>
      <c r="H15" s="65">
        <v>10000</v>
      </c>
      <c r="I15" s="74">
        <v>2000</v>
      </c>
      <c r="J15" s="58" t="s">
        <v>43</v>
      </c>
      <c r="K15" s="58" t="s">
        <v>44</v>
      </c>
      <c r="M15">
        <f t="shared" si="0"/>
        <v>2000</v>
      </c>
    </row>
    <row r="16" spans="1:17" x14ac:dyDescent="0.25">
      <c r="A16" s="132">
        <v>7</v>
      </c>
      <c r="B16" s="58" t="s">
        <v>280</v>
      </c>
      <c r="C16" s="58" t="s">
        <v>40</v>
      </c>
      <c r="D16" s="58" t="s">
        <v>242</v>
      </c>
      <c r="E16" s="58" t="s">
        <v>88</v>
      </c>
      <c r="F16" s="196" t="s">
        <v>325</v>
      </c>
      <c r="G16" s="58" t="s">
        <v>42</v>
      </c>
      <c r="H16" s="65">
        <v>500</v>
      </c>
      <c r="I16" s="74">
        <v>100</v>
      </c>
      <c r="J16" s="58" t="s">
        <v>43</v>
      </c>
      <c r="K16" s="58" t="s">
        <v>44</v>
      </c>
      <c r="M16">
        <f t="shared" ref="M16:M104" si="1">H16/5</f>
        <v>100</v>
      </c>
    </row>
    <row r="17" spans="1:13" x14ac:dyDescent="0.25">
      <c r="A17" s="132">
        <v>7</v>
      </c>
      <c r="B17" s="58" t="s">
        <v>483</v>
      </c>
      <c r="C17" s="58" t="s">
        <v>50</v>
      </c>
      <c r="D17" s="58" t="s">
        <v>89</v>
      </c>
      <c r="E17" s="58" t="s">
        <v>45</v>
      </c>
      <c r="F17" s="196" t="s">
        <v>390</v>
      </c>
      <c r="G17" s="58" t="s">
        <v>42</v>
      </c>
      <c r="H17" s="65">
        <v>2000</v>
      </c>
      <c r="I17" s="74">
        <v>400</v>
      </c>
      <c r="J17" s="58" t="s">
        <v>43</v>
      </c>
      <c r="K17" s="58" t="s">
        <v>44</v>
      </c>
      <c r="M17">
        <f t="shared" si="1"/>
        <v>400</v>
      </c>
    </row>
    <row r="18" spans="1:13" x14ac:dyDescent="0.25">
      <c r="A18" s="132">
        <v>7</v>
      </c>
      <c r="B18" s="58" t="s">
        <v>484</v>
      </c>
      <c r="C18" s="58" t="s">
        <v>40</v>
      </c>
      <c r="D18" s="58" t="s">
        <v>239</v>
      </c>
      <c r="E18" s="58" t="s">
        <v>64</v>
      </c>
      <c r="F18" s="196" t="s">
        <v>485</v>
      </c>
      <c r="G18" s="58" t="s">
        <v>42</v>
      </c>
      <c r="H18" s="65">
        <v>3000</v>
      </c>
      <c r="I18" s="74">
        <v>600</v>
      </c>
      <c r="J18" s="58" t="s">
        <v>43</v>
      </c>
      <c r="K18" s="58" t="s">
        <v>44</v>
      </c>
      <c r="M18">
        <f t="shared" si="1"/>
        <v>600</v>
      </c>
    </row>
    <row r="19" spans="1:13" x14ac:dyDescent="0.25">
      <c r="A19" s="132">
        <v>7</v>
      </c>
      <c r="B19" s="58" t="s">
        <v>486</v>
      </c>
      <c r="C19" s="58" t="s">
        <v>50</v>
      </c>
      <c r="D19" s="58" t="s">
        <v>189</v>
      </c>
      <c r="E19" s="58" t="s">
        <v>46</v>
      </c>
      <c r="F19" s="196" t="s">
        <v>487</v>
      </c>
      <c r="G19" s="58" t="s">
        <v>42</v>
      </c>
      <c r="H19" s="65">
        <v>200</v>
      </c>
      <c r="I19" s="74">
        <v>40</v>
      </c>
      <c r="J19" s="58" t="s">
        <v>43</v>
      </c>
      <c r="K19" s="58" t="s">
        <v>44</v>
      </c>
      <c r="M19">
        <f t="shared" si="1"/>
        <v>40</v>
      </c>
    </row>
    <row r="20" spans="1:13" x14ac:dyDescent="0.25">
      <c r="A20" s="132">
        <v>7</v>
      </c>
      <c r="B20" s="58" t="s">
        <v>488</v>
      </c>
      <c r="C20" s="58" t="s">
        <v>40</v>
      </c>
      <c r="D20" s="58" t="s">
        <v>171</v>
      </c>
      <c r="E20" s="58" t="s">
        <v>61</v>
      </c>
      <c r="F20" s="196" t="s">
        <v>489</v>
      </c>
      <c r="G20" s="58" t="s">
        <v>42</v>
      </c>
      <c r="H20" s="65">
        <v>500</v>
      </c>
      <c r="I20" s="74">
        <v>100</v>
      </c>
      <c r="J20" s="58" t="s">
        <v>43</v>
      </c>
      <c r="K20" s="58" t="s">
        <v>44</v>
      </c>
      <c r="M20">
        <f t="shared" si="1"/>
        <v>100</v>
      </c>
    </row>
    <row r="21" spans="1:13" x14ac:dyDescent="0.25">
      <c r="A21" s="132">
        <v>7</v>
      </c>
      <c r="B21" s="58" t="s">
        <v>490</v>
      </c>
      <c r="C21" s="58" t="s">
        <v>40</v>
      </c>
      <c r="D21" s="58" t="s">
        <v>78</v>
      </c>
      <c r="E21" s="58" t="s">
        <v>56</v>
      </c>
      <c r="F21" s="196" t="s">
        <v>491</v>
      </c>
      <c r="G21" s="58" t="s">
        <v>42</v>
      </c>
      <c r="H21" s="65">
        <v>5000</v>
      </c>
      <c r="I21" s="74">
        <v>1000</v>
      </c>
      <c r="J21" s="58" t="s">
        <v>43</v>
      </c>
      <c r="K21" s="58" t="s">
        <v>44</v>
      </c>
      <c r="M21">
        <f t="shared" si="1"/>
        <v>1000</v>
      </c>
    </row>
    <row r="22" spans="1:13" x14ac:dyDescent="0.25">
      <c r="A22" s="132">
        <v>7</v>
      </c>
      <c r="B22" s="58" t="s">
        <v>492</v>
      </c>
      <c r="C22" s="58" t="s">
        <v>50</v>
      </c>
      <c r="D22" s="58" t="s">
        <v>263</v>
      </c>
      <c r="E22" s="58" t="s">
        <v>53</v>
      </c>
      <c r="F22" s="196" t="s">
        <v>493</v>
      </c>
      <c r="G22" s="58" t="s">
        <v>42</v>
      </c>
      <c r="H22" s="65">
        <v>2000</v>
      </c>
      <c r="I22" s="74">
        <v>400</v>
      </c>
      <c r="J22" s="58" t="s">
        <v>43</v>
      </c>
      <c r="K22" s="58" t="s">
        <v>44</v>
      </c>
      <c r="M22">
        <f t="shared" si="1"/>
        <v>400</v>
      </c>
    </row>
    <row r="23" spans="1:13" x14ac:dyDescent="0.25">
      <c r="A23" s="132">
        <v>7</v>
      </c>
      <c r="B23" s="58" t="s">
        <v>494</v>
      </c>
      <c r="C23" s="58" t="s">
        <v>40</v>
      </c>
      <c r="D23" s="58" t="s">
        <v>278</v>
      </c>
      <c r="E23" s="58" t="s">
        <v>45</v>
      </c>
      <c r="F23" s="196" t="s">
        <v>495</v>
      </c>
      <c r="G23" s="58" t="s">
        <v>42</v>
      </c>
      <c r="H23" s="65">
        <v>2000</v>
      </c>
      <c r="I23" s="74">
        <v>400</v>
      </c>
      <c r="J23" s="58" t="s">
        <v>43</v>
      </c>
      <c r="K23" s="58" t="s">
        <v>44</v>
      </c>
      <c r="M23">
        <f t="shared" si="1"/>
        <v>400</v>
      </c>
    </row>
    <row r="24" spans="1:13" x14ac:dyDescent="0.25">
      <c r="A24" s="132">
        <v>8</v>
      </c>
      <c r="B24" s="58" t="s">
        <v>500</v>
      </c>
      <c r="C24" s="58" t="s">
        <v>40</v>
      </c>
      <c r="D24" s="58" t="s">
        <v>64</v>
      </c>
      <c r="E24" s="58" t="s">
        <v>53</v>
      </c>
      <c r="F24" s="196" t="s">
        <v>501</v>
      </c>
      <c r="G24" s="58" t="s">
        <v>42</v>
      </c>
      <c r="H24" s="65">
        <v>400</v>
      </c>
      <c r="I24" s="74">
        <v>80</v>
      </c>
      <c r="J24" s="58" t="s">
        <v>43</v>
      </c>
      <c r="K24" s="58" t="s">
        <v>44</v>
      </c>
      <c r="M24">
        <f t="shared" si="1"/>
        <v>80</v>
      </c>
    </row>
    <row r="25" spans="1:13" x14ac:dyDescent="0.25">
      <c r="A25" s="132">
        <v>8</v>
      </c>
      <c r="B25" s="58" t="s">
        <v>502</v>
      </c>
      <c r="C25" s="58" t="s">
        <v>40</v>
      </c>
      <c r="D25" s="58" t="s">
        <v>250</v>
      </c>
      <c r="E25" s="58" t="s">
        <v>56</v>
      </c>
      <c r="F25" s="196" t="s">
        <v>503</v>
      </c>
      <c r="G25" s="58" t="s">
        <v>42</v>
      </c>
      <c r="H25" s="65">
        <v>5000</v>
      </c>
      <c r="I25" s="74">
        <v>1000</v>
      </c>
      <c r="J25" s="58" t="s">
        <v>43</v>
      </c>
      <c r="K25" s="58" t="s">
        <v>44</v>
      </c>
      <c r="M25">
        <f t="shared" si="1"/>
        <v>1000</v>
      </c>
    </row>
    <row r="26" spans="1:13" x14ac:dyDescent="0.25">
      <c r="A26" s="132">
        <v>9</v>
      </c>
      <c r="B26" s="58" t="s">
        <v>504</v>
      </c>
      <c r="C26" s="58" t="s">
        <v>40</v>
      </c>
      <c r="D26" s="58" t="s">
        <v>67</v>
      </c>
      <c r="E26" s="58" t="s">
        <v>61</v>
      </c>
      <c r="F26" s="196"/>
      <c r="G26" s="58" t="s">
        <v>42</v>
      </c>
      <c r="H26" s="65">
        <v>1500</v>
      </c>
      <c r="I26" s="74">
        <v>300</v>
      </c>
      <c r="J26" s="58" t="s">
        <v>43</v>
      </c>
      <c r="K26" s="58" t="s">
        <v>44</v>
      </c>
      <c r="M26">
        <f t="shared" si="1"/>
        <v>300</v>
      </c>
    </row>
    <row r="27" spans="1:13" x14ac:dyDescent="0.25">
      <c r="A27" s="132">
        <v>9</v>
      </c>
      <c r="B27" s="58" t="s">
        <v>505</v>
      </c>
      <c r="C27" s="58" t="s">
        <v>40</v>
      </c>
      <c r="D27" s="58" t="s">
        <v>194</v>
      </c>
      <c r="E27" s="58" t="s">
        <v>45</v>
      </c>
      <c r="F27" s="196" t="s">
        <v>506</v>
      </c>
      <c r="G27" s="58" t="s">
        <v>42</v>
      </c>
      <c r="H27" s="65">
        <v>5000</v>
      </c>
      <c r="I27" s="74">
        <v>1000</v>
      </c>
      <c r="J27" s="58" t="s">
        <v>43</v>
      </c>
      <c r="K27" s="58" t="s">
        <v>44</v>
      </c>
      <c r="M27">
        <f t="shared" si="1"/>
        <v>1000</v>
      </c>
    </row>
    <row r="28" spans="1:13" x14ac:dyDescent="0.25">
      <c r="A28" s="132">
        <v>14</v>
      </c>
      <c r="B28" s="58" t="s">
        <v>508</v>
      </c>
      <c r="C28" s="58" t="s">
        <v>40</v>
      </c>
      <c r="D28" s="58" t="s">
        <v>237</v>
      </c>
      <c r="E28" s="58" t="s">
        <v>61</v>
      </c>
      <c r="F28" s="196" t="s">
        <v>509</v>
      </c>
      <c r="G28" s="58" t="s">
        <v>42</v>
      </c>
      <c r="H28" s="65">
        <v>1000</v>
      </c>
      <c r="I28" s="74">
        <v>200</v>
      </c>
      <c r="J28" s="58" t="s">
        <v>43</v>
      </c>
      <c r="K28" s="58" t="s">
        <v>44</v>
      </c>
      <c r="M28">
        <f t="shared" si="1"/>
        <v>200</v>
      </c>
    </row>
    <row r="29" spans="1:13" x14ac:dyDescent="0.25">
      <c r="A29" s="132">
        <v>14</v>
      </c>
      <c r="B29" s="58" t="s">
        <v>510</v>
      </c>
      <c r="C29" s="58" t="s">
        <v>40</v>
      </c>
      <c r="D29" s="58" t="s">
        <v>237</v>
      </c>
      <c r="E29" s="58" t="s">
        <v>61</v>
      </c>
      <c r="F29" s="196" t="s">
        <v>511</v>
      </c>
      <c r="G29" s="58" t="s">
        <v>42</v>
      </c>
      <c r="H29" s="65">
        <v>1000</v>
      </c>
      <c r="I29" s="74">
        <v>200</v>
      </c>
      <c r="J29" s="58" t="s">
        <v>43</v>
      </c>
      <c r="K29" s="58" t="s">
        <v>44</v>
      </c>
      <c r="M29">
        <f t="shared" si="1"/>
        <v>200</v>
      </c>
    </row>
    <row r="30" spans="1:13" x14ac:dyDescent="0.25">
      <c r="A30" s="132">
        <v>14</v>
      </c>
      <c r="B30" s="58" t="s">
        <v>512</v>
      </c>
      <c r="C30" s="58" t="s">
        <v>40</v>
      </c>
      <c r="D30" s="58" t="s">
        <v>184</v>
      </c>
      <c r="E30" s="58" t="s">
        <v>55</v>
      </c>
      <c r="F30" s="196" t="s">
        <v>377</v>
      </c>
      <c r="G30" s="58" t="s">
        <v>42</v>
      </c>
      <c r="H30" s="65">
        <v>2500</v>
      </c>
      <c r="I30" s="74">
        <v>500</v>
      </c>
      <c r="J30" s="58" t="s">
        <v>43</v>
      </c>
      <c r="K30" s="58" t="s">
        <v>44</v>
      </c>
      <c r="M30">
        <f t="shared" si="1"/>
        <v>500</v>
      </c>
    </row>
    <row r="31" spans="1:13" x14ac:dyDescent="0.25">
      <c r="A31" s="132">
        <v>14</v>
      </c>
      <c r="B31" s="58" t="s">
        <v>513</v>
      </c>
      <c r="C31" s="58" t="s">
        <v>40</v>
      </c>
      <c r="D31" s="58" t="s">
        <v>95</v>
      </c>
      <c r="E31" s="58" t="s">
        <v>51</v>
      </c>
      <c r="F31" s="196" t="s">
        <v>514</v>
      </c>
      <c r="G31" s="58" t="s">
        <v>42</v>
      </c>
      <c r="H31" s="65">
        <v>4000</v>
      </c>
      <c r="I31" s="74">
        <v>800</v>
      </c>
      <c r="J31" s="58" t="s">
        <v>43</v>
      </c>
      <c r="K31" s="58" t="s">
        <v>44</v>
      </c>
      <c r="M31">
        <f t="shared" si="1"/>
        <v>800</v>
      </c>
    </row>
    <row r="32" spans="1:13" x14ac:dyDescent="0.25">
      <c r="A32" s="132">
        <v>14</v>
      </c>
      <c r="B32" s="58" t="s">
        <v>515</v>
      </c>
      <c r="C32" s="58" t="s">
        <v>50</v>
      </c>
      <c r="D32" s="58" t="s">
        <v>237</v>
      </c>
      <c r="E32" s="58" t="s">
        <v>61</v>
      </c>
      <c r="F32" s="196" t="s">
        <v>516</v>
      </c>
      <c r="G32" s="58" t="s">
        <v>42</v>
      </c>
      <c r="H32" s="164">
        <v>1000</v>
      </c>
      <c r="I32" s="74">
        <v>200</v>
      </c>
      <c r="J32" s="58" t="s">
        <v>43</v>
      </c>
      <c r="K32" s="58" t="s">
        <v>44</v>
      </c>
      <c r="M32">
        <f t="shared" si="1"/>
        <v>200</v>
      </c>
    </row>
    <row r="33" spans="1:16" x14ac:dyDescent="0.25">
      <c r="A33" s="132">
        <v>14</v>
      </c>
      <c r="B33" s="58" t="s">
        <v>517</v>
      </c>
      <c r="C33" s="58" t="s">
        <v>40</v>
      </c>
      <c r="D33" s="58" t="s">
        <v>183</v>
      </c>
      <c r="E33" s="58" t="s">
        <v>55</v>
      </c>
      <c r="F33" s="196" t="s">
        <v>377</v>
      </c>
      <c r="G33" s="58" t="s">
        <v>42</v>
      </c>
      <c r="H33" s="164">
        <v>1000</v>
      </c>
      <c r="I33" s="74">
        <v>200</v>
      </c>
      <c r="J33" s="58" t="s">
        <v>43</v>
      </c>
      <c r="K33" s="58" t="s">
        <v>44</v>
      </c>
      <c r="M33">
        <f t="shared" si="1"/>
        <v>200</v>
      </c>
    </row>
    <row r="34" spans="1:16" x14ac:dyDescent="0.25">
      <c r="A34" s="132">
        <v>14</v>
      </c>
      <c r="B34" s="58" t="s">
        <v>403</v>
      </c>
      <c r="C34" s="58" t="s">
        <v>40</v>
      </c>
      <c r="D34" s="58" t="s">
        <v>67</v>
      </c>
      <c r="E34" s="58" t="s">
        <v>60</v>
      </c>
      <c r="F34" s="196" t="s">
        <v>334</v>
      </c>
      <c r="G34" s="58" t="s">
        <v>42</v>
      </c>
      <c r="H34" s="164">
        <v>14000</v>
      </c>
      <c r="I34" s="74">
        <v>2800</v>
      </c>
      <c r="J34" s="58" t="s">
        <v>43</v>
      </c>
      <c r="K34" s="58" t="s">
        <v>44</v>
      </c>
      <c r="M34">
        <f t="shared" si="1"/>
        <v>2800</v>
      </c>
      <c r="P34" s="29">
        <f>SUM(H28,H36,H51)</f>
        <v>8000</v>
      </c>
    </row>
    <row r="35" spans="1:16" x14ac:dyDescent="0.25">
      <c r="A35" s="132">
        <v>14</v>
      </c>
      <c r="B35" s="58" t="s">
        <v>518</v>
      </c>
      <c r="C35" s="58" t="s">
        <v>40</v>
      </c>
      <c r="D35" s="58" t="s">
        <v>67</v>
      </c>
      <c r="E35" s="58" t="s">
        <v>61</v>
      </c>
      <c r="F35" s="196" t="s">
        <v>377</v>
      </c>
      <c r="G35" s="58" t="s">
        <v>42</v>
      </c>
      <c r="H35" s="164">
        <v>1000</v>
      </c>
      <c r="I35" s="74">
        <v>200</v>
      </c>
      <c r="J35" s="58" t="s">
        <v>43</v>
      </c>
      <c r="K35" s="58" t="s">
        <v>44</v>
      </c>
      <c r="M35">
        <f t="shared" si="1"/>
        <v>200</v>
      </c>
      <c r="P35" s="29">
        <f>SUM(H26:H27,H29:H35,H37:H50,H52)</f>
        <v>81500</v>
      </c>
    </row>
    <row r="36" spans="1:16" x14ac:dyDescent="0.25">
      <c r="A36" s="132">
        <v>14</v>
      </c>
      <c r="B36" s="58" t="s">
        <v>519</v>
      </c>
      <c r="C36" s="58" t="s">
        <v>40</v>
      </c>
      <c r="D36" s="58" t="s">
        <v>168</v>
      </c>
      <c r="E36" s="58" t="s">
        <v>46</v>
      </c>
      <c r="F36" s="196" t="s">
        <v>520</v>
      </c>
      <c r="G36" s="58" t="s">
        <v>42</v>
      </c>
      <c r="H36" s="164">
        <v>2000</v>
      </c>
      <c r="I36" s="74">
        <v>400</v>
      </c>
      <c r="J36" s="58" t="s">
        <v>43</v>
      </c>
      <c r="K36" s="58" t="s">
        <v>44</v>
      </c>
      <c r="M36">
        <f t="shared" si="1"/>
        <v>400</v>
      </c>
      <c r="P36" s="29">
        <f>SUM(P34:P35)</f>
        <v>89500</v>
      </c>
    </row>
    <row r="37" spans="1:16" x14ac:dyDescent="0.25">
      <c r="A37" s="132">
        <v>14</v>
      </c>
      <c r="B37" s="58" t="s">
        <v>243</v>
      </c>
      <c r="C37" s="58" t="s">
        <v>40</v>
      </c>
      <c r="D37" s="58" t="s">
        <v>244</v>
      </c>
      <c r="E37" s="58" t="s">
        <v>66</v>
      </c>
      <c r="F37" s="196" t="s">
        <v>315</v>
      </c>
      <c r="G37" s="58" t="s">
        <v>42</v>
      </c>
      <c r="H37" s="164">
        <v>10000</v>
      </c>
      <c r="I37" s="74">
        <v>2000</v>
      </c>
      <c r="J37" s="58" t="s">
        <v>43</v>
      </c>
      <c r="K37" s="58" t="s">
        <v>44</v>
      </c>
      <c r="M37">
        <f t="shared" si="1"/>
        <v>2000</v>
      </c>
      <c r="P37">
        <f>P36*0.2</f>
        <v>17900</v>
      </c>
    </row>
    <row r="38" spans="1:16" x14ac:dyDescent="0.25">
      <c r="A38" s="132">
        <v>15</v>
      </c>
      <c r="B38" s="58" t="s">
        <v>343</v>
      </c>
      <c r="C38" s="58" t="s">
        <v>40</v>
      </c>
      <c r="D38" s="58" t="s">
        <v>296</v>
      </c>
      <c r="E38" s="58" t="s">
        <v>75</v>
      </c>
      <c r="F38" s="196" t="s">
        <v>521</v>
      </c>
      <c r="G38" s="58" t="s">
        <v>42</v>
      </c>
      <c r="H38" s="164">
        <v>500</v>
      </c>
      <c r="I38" s="74">
        <v>100</v>
      </c>
      <c r="J38" s="58" t="s">
        <v>43</v>
      </c>
      <c r="K38" s="58" t="s">
        <v>44</v>
      </c>
      <c r="M38">
        <f t="shared" si="1"/>
        <v>100</v>
      </c>
      <c r="P38" s="29">
        <f>SUM(P36:P37)</f>
        <v>107400</v>
      </c>
    </row>
    <row r="39" spans="1:16" x14ac:dyDescent="0.25">
      <c r="A39" s="132">
        <v>15</v>
      </c>
      <c r="B39" s="58" t="s">
        <v>522</v>
      </c>
      <c r="C39" s="58" t="s">
        <v>40</v>
      </c>
      <c r="D39" s="58" t="s">
        <v>523</v>
      </c>
      <c r="E39" s="58" t="s">
        <v>67</v>
      </c>
      <c r="F39" s="196" t="s">
        <v>377</v>
      </c>
      <c r="G39" s="58" t="s">
        <v>42</v>
      </c>
      <c r="H39" s="164">
        <v>500</v>
      </c>
      <c r="I39" s="74">
        <v>100</v>
      </c>
      <c r="J39" s="58" t="s">
        <v>43</v>
      </c>
      <c r="K39" s="58" t="s">
        <v>44</v>
      </c>
      <c r="M39">
        <f t="shared" si="1"/>
        <v>100</v>
      </c>
    </row>
    <row r="40" spans="1:16" x14ac:dyDescent="0.25">
      <c r="A40" s="132">
        <v>15</v>
      </c>
      <c r="B40" s="58" t="s">
        <v>524</v>
      </c>
      <c r="C40" s="58" t="s">
        <v>40</v>
      </c>
      <c r="D40" s="58" t="s">
        <v>200</v>
      </c>
      <c r="E40" s="58" t="s">
        <v>73</v>
      </c>
      <c r="F40" s="196" t="s">
        <v>525</v>
      </c>
      <c r="G40" s="58" t="s">
        <v>42</v>
      </c>
      <c r="H40" s="164">
        <v>1500</v>
      </c>
      <c r="I40" s="74">
        <v>300</v>
      </c>
      <c r="J40" s="58" t="s">
        <v>43</v>
      </c>
      <c r="K40" s="58" t="s">
        <v>44</v>
      </c>
      <c r="M40">
        <f t="shared" si="1"/>
        <v>300</v>
      </c>
    </row>
    <row r="41" spans="1:16" x14ac:dyDescent="0.25">
      <c r="A41" s="132">
        <v>15</v>
      </c>
      <c r="B41" s="58" t="s">
        <v>526</v>
      </c>
      <c r="C41" s="58" t="s">
        <v>40</v>
      </c>
      <c r="D41" s="58" t="s">
        <v>168</v>
      </c>
      <c r="E41" s="58" t="s">
        <v>46</v>
      </c>
      <c r="F41" s="196" t="s">
        <v>377</v>
      </c>
      <c r="G41" s="58" t="s">
        <v>42</v>
      </c>
      <c r="H41" s="164">
        <v>2000</v>
      </c>
      <c r="I41" s="74">
        <v>400</v>
      </c>
      <c r="J41" s="58" t="s">
        <v>43</v>
      </c>
      <c r="K41" s="58" t="s">
        <v>44</v>
      </c>
      <c r="M41">
        <f t="shared" si="1"/>
        <v>400</v>
      </c>
    </row>
    <row r="42" spans="1:16" x14ac:dyDescent="0.25">
      <c r="A42" s="132">
        <v>15</v>
      </c>
      <c r="B42" s="58" t="s">
        <v>527</v>
      </c>
      <c r="C42" s="58" t="s">
        <v>40</v>
      </c>
      <c r="D42" s="58" t="s">
        <v>183</v>
      </c>
      <c r="E42" s="58" t="s">
        <v>55</v>
      </c>
      <c r="F42" s="196" t="s">
        <v>528</v>
      </c>
      <c r="G42" s="58" t="s">
        <v>42</v>
      </c>
      <c r="H42" s="164">
        <v>10000</v>
      </c>
      <c r="I42" s="74">
        <v>2000</v>
      </c>
      <c r="J42" s="58" t="s">
        <v>43</v>
      </c>
      <c r="K42" s="58" t="s">
        <v>44</v>
      </c>
      <c r="M42">
        <f t="shared" si="1"/>
        <v>2000</v>
      </c>
    </row>
    <row r="43" spans="1:16" x14ac:dyDescent="0.25">
      <c r="A43" s="132">
        <v>15</v>
      </c>
      <c r="B43" s="58" t="s">
        <v>529</v>
      </c>
      <c r="C43" s="58" t="s">
        <v>50</v>
      </c>
      <c r="D43" s="58" t="s">
        <v>194</v>
      </c>
      <c r="E43" s="58" t="s">
        <v>45</v>
      </c>
      <c r="F43" s="196" t="s">
        <v>530</v>
      </c>
      <c r="G43" s="58" t="s">
        <v>42</v>
      </c>
      <c r="H43" s="164">
        <v>4000</v>
      </c>
      <c r="I43" s="74">
        <v>800</v>
      </c>
      <c r="J43" s="58" t="s">
        <v>43</v>
      </c>
      <c r="K43" s="58" t="s">
        <v>44</v>
      </c>
      <c r="M43">
        <f t="shared" si="1"/>
        <v>800</v>
      </c>
    </row>
    <row r="44" spans="1:16" x14ac:dyDescent="0.25">
      <c r="A44" s="132">
        <v>15</v>
      </c>
      <c r="B44" s="58" t="s">
        <v>531</v>
      </c>
      <c r="C44" s="58" t="s">
        <v>40</v>
      </c>
      <c r="D44" s="58" t="s">
        <v>200</v>
      </c>
      <c r="E44" s="58" t="s">
        <v>73</v>
      </c>
      <c r="F44" s="196" t="s">
        <v>532</v>
      </c>
      <c r="G44" s="58" t="s">
        <v>42</v>
      </c>
      <c r="H44" s="164">
        <v>6000</v>
      </c>
      <c r="I44" s="74">
        <v>1200</v>
      </c>
      <c r="J44" s="58" t="s">
        <v>43</v>
      </c>
      <c r="K44" s="58" t="s">
        <v>44</v>
      </c>
      <c r="M44">
        <f t="shared" si="1"/>
        <v>1200</v>
      </c>
    </row>
    <row r="45" spans="1:16" x14ac:dyDescent="0.25">
      <c r="A45" s="132">
        <v>15</v>
      </c>
      <c r="B45" s="58" t="s">
        <v>533</v>
      </c>
      <c r="C45" s="58" t="s">
        <v>40</v>
      </c>
      <c r="D45" s="58" t="s">
        <v>175</v>
      </c>
      <c r="E45" s="58" t="s">
        <v>62</v>
      </c>
      <c r="F45" s="196" t="s">
        <v>534</v>
      </c>
      <c r="G45" s="58" t="s">
        <v>42</v>
      </c>
      <c r="H45" s="164">
        <v>300</v>
      </c>
      <c r="I45" s="74">
        <v>60</v>
      </c>
      <c r="J45" s="58" t="s">
        <v>43</v>
      </c>
      <c r="K45" s="58" t="s">
        <v>44</v>
      </c>
      <c r="M45">
        <f t="shared" si="1"/>
        <v>60</v>
      </c>
    </row>
    <row r="46" spans="1:16" x14ac:dyDescent="0.25">
      <c r="A46" s="132">
        <v>15</v>
      </c>
      <c r="B46" s="58" t="s">
        <v>519</v>
      </c>
      <c r="C46" s="58" t="s">
        <v>40</v>
      </c>
      <c r="D46" s="58" t="s">
        <v>168</v>
      </c>
      <c r="E46" s="58" t="s">
        <v>46</v>
      </c>
      <c r="F46" s="196" t="s">
        <v>520</v>
      </c>
      <c r="G46" s="58" t="s">
        <v>42</v>
      </c>
      <c r="H46" s="164">
        <v>2000</v>
      </c>
      <c r="I46" s="74">
        <v>400</v>
      </c>
      <c r="J46" s="58" t="s">
        <v>43</v>
      </c>
      <c r="K46" s="58" t="s">
        <v>44</v>
      </c>
      <c r="M46">
        <f t="shared" si="1"/>
        <v>400</v>
      </c>
    </row>
    <row r="47" spans="1:16" x14ac:dyDescent="0.25">
      <c r="A47" s="132">
        <v>15</v>
      </c>
      <c r="B47" s="58" t="s">
        <v>535</v>
      </c>
      <c r="C47" s="58" t="s">
        <v>50</v>
      </c>
      <c r="D47" s="58" t="s">
        <v>71</v>
      </c>
      <c r="E47" s="58" t="s">
        <v>61</v>
      </c>
      <c r="F47" s="196" t="s">
        <v>378</v>
      </c>
      <c r="G47" s="58" t="s">
        <v>42</v>
      </c>
      <c r="H47" s="164">
        <v>500</v>
      </c>
      <c r="I47" s="74" t="s">
        <v>77</v>
      </c>
      <c r="J47" s="58" t="s">
        <v>43</v>
      </c>
      <c r="K47" s="58" t="s">
        <v>44</v>
      </c>
      <c r="M47">
        <f t="shared" si="1"/>
        <v>100</v>
      </c>
    </row>
    <row r="48" spans="1:16" x14ac:dyDescent="0.25">
      <c r="A48" s="132">
        <v>16</v>
      </c>
      <c r="B48" s="58" t="s">
        <v>387</v>
      </c>
      <c r="C48" s="58" t="s">
        <v>50</v>
      </c>
      <c r="D48" s="58" t="s">
        <v>180</v>
      </c>
      <c r="E48" s="58" t="s">
        <v>47</v>
      </c>
      <c r="F48" s="196" t="s">
        <v>388</v>
      </c>
      <c r="G48" s="58" t="s">
        <v>42</v>
      </c>
      <c r="H48" s="164">
        <v>10000</v>
      </c>
      <c r="I48" s="74">
        <v>2000</v>
      </c>
      <c r="J48" s="58" t="s">
        <v>43</v>
      </c>
      <c r="K48" s="58" t="s">
        <v>44</v>
      </c>
      <c r="M48">
        <f t="shared" si="1"/>
        <v>2000</v>
      </c>
    </row>
    <row r="49" spans="1:17" x14ac:dyDescent="0.25">
      <c r="A49" s="132">
        <v>16</v>
      </c>
      <c r="B49" s="58" t="s">
        <v>541</v>
      </c>
      <c r="C49" s="58" t="s">
        <v>40</v>
      </c>
      <c r="D49" s="58" t="s">
        <v>175</v>
      </c>
      <c r="E49" s="58" t="s">
        <v>67</v>
      </c>
      <c r="F49" s="196"/>
      <c r="G49" s="58" t="s">
        <v>42</v>
      </c>
      <c r="H49" s="164">
        <v>200</v>
      </c>
      <c r="I49" s="74">
        <v>40</v>
      </c>
      <c r="J49" s="58" t="s">
        <v>43</v>
      </c>
      <c r="K49" s="58" t="s">
        <v>44</v>
      </c>
      <c r="M49">
        <f t="shared" si="1"/>
        <v>40</v>
      </c>
    </row>
    <row r="50" spans="1:17" x14ac:dyDescent="0.25">
      <c r="A50" s="132">
        <v>16</v>
      </c>
      <c r="B50" s="58" t="s">
        <v>542</v>
      </c>
      <c r="C50" s="58" t="s">
        <v>40</v>
      </c>
      <c r="D50" s="58" t="s">
        <v>177</v>
      </c>
      <c r="E50" s="58" t="s">
        <v>53</v>
      </c>
      <c r="F50" s="196"/>
      <c r="G50" s="58" t="s">
        <v>42</v>
      </c>
      <c r="H50" s="164">
        <v>1500</v>
      </c>
      <c r="I50" s="74">
        <v>450</v>
      </c>
      <c r="J50" s="58" t="s">
        <v>43</v>
      </c>
      <c r="K50" s="58" t="s">
        <v>44</v>
      </c>
      <c r="M50">
        <f t="shared" si="1"/>
        <v>300</v>
      </c>
    </row>
    <row r="51" spans="1:17" x14ac:dyDescent="0.25">
      <c r="A51" s="132">
        <v>16</v>
      </c>
      <c r="B51" s="58" t="s">
        <v>543</v>
      </c>
      <c r="C51" s="58" t="s">
        <v>40</v>
      </c>
      <c r="D51" s="58" t="s">
        <v>85</v>
      </c>
      <c r="E51" s="58" t="s">
        <v>45</v>
      </c>
      <c r="F51" s="196"/>
      <c r="G51" s="58" t="s">
        <v>42</v>
      </c>
      <c r="H51" s="164">
        <v>5000</v>
      </c>
      <c r="I51" s="74">
        <v>1000</v>
      </c>
      <c r="J51" s="58" t="s">
        <v>43</v>
      </c>
      <c r="K51" s="58" t="s">
        <v>44</v>
      </c>
      <c r="M51">
        <f t="shared" si="1"/>
        <v>1000</v>
      </c>
    </row>
    <row r="52" spans="1:17" x14ac:dyDescent="0.25">
      <c r="A52" s="132">
        <v>16</v>
      </c>
      <c r="B52" s="58" t="s">
        <v>544</v>
      </c>
      <c r="C52" s="58" t="s">
        <v>40</v>
      </c>
      <c r="D52" s="58" t="s">
        <v>206</v>
      </c>
      <c r="E52" s="58" t="s">
        <v>63</v>
      </c>
      <c r="F52" s="196" t="s">
        <v>546</v>
      </c>
      <c r="G52" s="58" t="s">
        <v>42</v>
      </c>
      <c r="H52" s="58">
        <v>1500</v>
      </c>
      <c r="I52" s="58">
        <v>450</v>
      </c>
      <c r="J52" s="58" t="s">
        <v>43</v>
      </c>
      <c r="K52" s="58" t="s">
        <v>44</v>
      </c>
      <c r="M52">
        <f t="shared" si="1"/>
        <v>300</v>
      </c>
    </row>
    <row r="53" spans="1:17" x14ac:dyDescent="0.25">
      <c r="A53" s="132">
        <v>16</v>
      </c>
      <c r="B53" s="58" t="s">
        <v>545</v>
      </c>
      <c r="C53" s="58" t="s">
        <v>40</v>
      </c>
      <c r="D53" s="58" t="s">
        <v>277</v>
      </c>
      <c r="E53" s="58" t="s">
        <v>51</v>
      </c>
      <c r="F53" s="196" t="s">
        <v>547</v>
      </c>
      <c r="G53" s="58" t="s">
        <v>42</v>
      </c>
      <c r="H53" s="164">
        <v>2500</v>
      </c>
      <c r="I53" s="74">
        <v>750</v>
      </c>
      <c r="J53" s="58" t="s">
        <v>43</v>
      </c>
      <c r="K53" s="58" t="s">
        <v>44</v>
      </c>
      <c r="M53">
        <f t="shared" si="1"/>
        <v>500</v>
      </c>
    </row>
    <row r="54" spans="1:17" x14ac:dyDescent="0.25">
      <c r="A54" s="132">
        <v>16</v>
      </c>
      <c r="B54" s="58" t="s">
        <v>548</v>
      </c>
      <c r="C54" s="58" t="s">
        <v>40</v>
      </c>
      <c r="D54" s="58" t="s">
        <v>312</v>
      </c>
      <c r="E54" s="58" t="s">
        <v>82</v>
      </c>
      <c r="F54" s="196" t="s">
        <v>549</v>
      </c>
      <c r="G54" s="58" t="s">
        <v>42</v>
      </c>
      <c r="H54" s="164">
        <v>500</v>
      </c>
      <c r="I54" s="74">
        <v>100</v>
      </c>
      <c r="J54" s="58" t="s">
        <v>43</v>
      </c>
      <c r="K54" s="58" t="s">
        <v>44</v>
      </c>
      <c r="M54">
        <f t="shared" si="1"/>
        <v>100</v>
      </c>
      <c r="Q54" s="67"/>
    </row>
    <row r="55" spans="1:17" x14ac:dyDescent="0.25">
      <c r="A55" s="132">
        <v>16</v>
      </c>
      <c r="B55" s="58" t="s">
        <v>507</v>
      </c>
      <c r="C55" s="58" t="s">
        <v>40</v>
      </c>
      <c r="D55" s="58" t="s">
        <v>237</v>
      </c>
      <c r="E55" s="58" t="s">
        <v>61</v>
      </c>
      <c r="F55" s="196"/>
      <c r="G55" s="58" t="s">
        <v>42</v>
      </c>
      <c r="H55" s="164">
        <v>500</v>
      </c>
      <c r="I55" s="74">
        <v>100</v>
      </c>
      <c r="J55" s="58" t="s">
        <v>43</v>
      </c>
      <c r="K55" s="58" t="s">
        <v>44</v>
      </c>
      <c r="M55">
        <f t="shared" si="1"/>
        <v>100</v>
      </c>
    </row>
    <row r="56" spans="1:17" x14ac:dyDescent="0.25">
      <c r="A56" s="132">
        <v>16</v>
      </c>
      <c r="B56" s="58" t="s">
        <v>550</v>
      </c>
      <c r="C56" s="58" t="s">
        <v>40</v>
      </c>
      <c r="D56" s="58" t="s">
        <v>551</v>
      </c>
      <c r="E56" s="58" t="s">
        <v>63</v>
      </c>
      <c r="F56" s="196"/>
      <c r="G56" s="58" t="s">
        <v>42</v>
      </c>
      <c r="H56" s="164">
        <v>500</v>
      </c>
      <c r="I56" s="74" t="s">
        <v>77</v>
      </c>
      <c r="J56" s="58" t="s">
        <v>43</v>
      </c>
      <c r="K56" s="58" t="s">
        <v>44</v>
      </c>
      <c r="M56">
        <f t="shared" si="1"/>
        <v>100</v>
      </c>
    </row>
    <row r="57" spans="1:17" x14ac:dyDescent="0.25">
      <c r="A57" s="132">
        <v>17</v>
      </c>
      <c r="B57" s="58" t="s">
        <v>552</v>
      </c>
      <c r="C57" s="58" t="s">
        <v>40</v>
      </c>
      <c r="D57" s="58" t="s">
        <v>178</v>
      </c>
      <c r="E57" s="58" t="s">
        <v>46</v>
      </c>
      <c r="F57" s="196"/>
      <c r="G57" s="58" t="s">
        <v>42</v>
      </c>
      <c r="H57" s="164">
        <v>5000</v>
      </c>
      <c r="I57" s="74">
        <v>1000</v>
      </c>
      <c r="J57" s="58" t="s">
        <v>43</v>
      </c>
      <c r="K57" s="58" t="s">
        <v>44</v>
      </c>
      <c r="M57">
        <f t="shared" si="1"/>
        <v>1000</v>
      </c>
    </row>
    <row r="58" spans="1:17" x14ac:dyDescent="0.25">
      <c r="A58" s="132">
        <v>17</v>
      </c>
      <c r="B58" s="58" t="s">
        <v>553</v>
      </c>
      <c r="C58" s="58" t="s">
        <v>40</v>
      </c>
      <c r="D58" s="58" t="s">
        <v>257</v>
      </c>
      <c r="E58" s="58" t="s">
        <v>82</v>
      </c>
      <c r="F58" s="196" t="s">
        <v>554</v>
      </c>
      <c r="G58" s="58" t="s">
        <v>42</v>
      </c>
      <c r="H58" s="164">
        <v>10000</v>
      </c>
      <c r="I58" s="74">
        <v>2000</v>
      </c>
      <c r="J58" s="58" t="s">
        <v>43</v>
      </c>
      <c r="K58" s="58" t="s">
        <v>44</v>
      </c>
      <c r="M58">
        <f t="shared" si="1"/>
        <v>2000</v>
      </c>
    </row>
    <row r="59" spans="1:17" x14ac:dyDescent="0.25">
      <c r="A59" s="132">
        <v>17</v>
      </c>
      <c r="B59" s="58" t="s">
        <v>555</v>
      </c>
      <c r="C59" s="58" t="s">
        <v>40</v>
      </c>
      <c r="D59" s="58" t="s">
        <v>556</v>
      </c>
      <c r="E59" s="58" t="s">
        <v>53</v>
      </c>
      <c r="F59" s="196" t="s">
        <v>557</v>
      </c>
      <c r="G59" s="58" t="s">
        <v>42</v>
      </c>
      <c r="H59" s="164">
        <v>1000</v>
      </c>
      <c r="I59" s="74">
        <v>200</v>
      </c>
      <c r="J59" s="58" t="s">
        <v>43</v>
      </c>
      <c r="K59" s="58" t="s">
        <v>44</v>
      </c>
      <c r="M59">
        <f t="shared" si="1"/>
        <v>200</v>
      </c>
    </row>
    <row r="60" spans="1:17" x14ac:dyDescent="0.25">
      <c r="A60" s="132">
        <v>17</v>
      </c>
      <c r="B60" s="58" t="s">
        <v>558</v>
      </c>
      <c r="C60" s="58" t="s">
        <v>40</v>
      </c>
      <c r="D60" s="58" t="s">
        <v>559</v>
      </c>
      <c r="E60" s="58" t="s">
        <v>63</v>
      </c>
      <c r="F60" s="196" t="s">
        <v>560</v>
      </c>
      <c r="G60" s="58" t="s">
        <v>42</v>
      </c>
      <c r="H60" s="164">
        <v>600</v>
      </c>
      <c r="I60" s="74">
        <v>180</v>
      </c>
      <c r="J60" s="58" t="s">
        <v>43</v>
      </c>
      <c r="K60" s="58" t="s">
        <v>44</v>
      </c>
      <c r="M60">
        <f t="shared" si="1"/>
        <v>120</v>
      </c>
    </row>
    <row r="61" spans="1:17" x14ac:dyDescent="0.25">
      <c r="A61" s="132">
        <v>17</v>
      </c>
      <c r="B61" s="58" t="s">
        <v>561</v>
      </c>
      <c r="C61" s="58" t="s">
        <v>40</v>
      </c>
      <c r="D61" s="58" t="s">
        <v>260</v>
      </c>
      <c r="E61" s="58" t="s">
        <v>48</v>
      </c>
      <c r="F61" s="196" t="s">
        <v>374</v>
      </c>
      <c r="G61" s="58" t="s">
        <v>42</v>
      </c>
      <c r="H61" s="164">
        <v>20000</v>
      </c>
      <c r="I61" s="74">
        <v>4000</v>
      </c>
      <c r="J61" s="58" t="s">
        <v>43</v>
      </c>
      <c r="K61" s="58" t="s">
        <v>44</v>
      </c>
      <c r="M61">
        <f t="shared" si="1"/>
        <v>4000</v>
      </c>
    </row>
    <row r="62" spans="1:17" x14ac:dyDescent="0.25">
      <c r="A62" s="132">
        <v>17</v>
      </c>
      <c r="B62" s="58" t="s">
        <v>561</v>
      </c>
      <c r="C62" s="58" t="s">
        <v>40</v>
      </c>
      <c r="D62" s="58" t="s">
        <v>260</v>
      </c>
      <c r="E62" s="58" t="s">
        <v>48</v>
      </c>
      <c r="F62" s="196" t="s">
        <v>374</v>
      </c>
      <c r="G62" s="58" t="s">
        <v>42</v>
      </c>
      <c r="H62" s="164">
        <v>500</v>
      </c>
      <c r="I62" s="74" t="s">
        <v>77</v>
      </c>
      <c r="J62" s="58" t="s">
        <v>43</v>
      </c>
      <c r="K62" s="58" t="s">
        <v>44</v>
      </c>
      <c r="M62">
        <f t="shared" si="1"/>
        <v>100</v>
      </c>
    </row>
    <row r="63" spans="1:17" x14ac:dyDescent="0.25">
      <c r="A63" s="132">
        <v>17</v>
      </c>
      <c r="B63" s="58" t="s">
        <v>562</v>
      </c>
      <c r="C63" s="58" t="s">
        <v>40</v>
      </c>
      <c r="D63" s="58" t="s">
        <v>260</v>
      </c>
      <c r="E63" s="58" t="s">
        <v>48</v>
      </c>
      <c r="F63" s="196" t="s">
        <v>563</v>
      </c>
      <c r="G63" s="58" t="s">
        <v>42</v>
      </c>
      <c r="H63" s="164">
        <v>500</v>
      </c>
      <c r="I63" s="74" t="s">
        <v>77</v>
      </c>
      <c r="J63" s="58" t="s">
        <v>43</v>
      </c>
      <c r="K63" s="58" t="s">
        <v>44</v>
      </c>
      <c r="M63">
        <f t="shared" si="1"/>
        <v>100</v>
      </c>
    </row>
    <row r="64" spans="1:17" x14ac:dyDescent="0.25">
      <c r="A64" s="132">
        <v>17</v>
      </c>
      <c r="B64" s="58" t="s">
        <v>564</v>
      </c>
      <c r="C64" s="58" t="s">
        <v>40</v>
      </c>
      <c r="D64" s="58" t="s">
        <v>260</v>
      </c>
      <c r="E64" s="58" t="s">
        <v>48</v>
      </c>
      <c r="F64" s="196" t="s">
        <v>565</v>
      </c>
      <c r="G64" s="58" t="s">
        <v>42</v>
      </c>
      <c r="H64" s="164">
        <v>500</v>
      </c>
      <c r="I64" s="74" t="s">
        <v>77</v>
      </c>
      <c r="J64" s="58" t="s">
        <v>43</v>
      </c>
      <c r="K64" s="58" t="s">
        <v>44</v>
      </c>
      <c r="M64">
        <f t="shared" si="1"/>
        <v>100</v>
      </c>
    </row>
    <row r="65" spans="1:13" x14ac:dyDescent="0.25">
      <c r="A65" s="132">
        <v>17</v>
      </c>
      <c r="B65" s="58" t="s">
        <v>566</v>
      </c>
      <c r="C65" s="58" t="s">
        <v>40</v>
      </c>
      <c r="D65" s="58" t="s">
        <v>567</v>
      </c>
      <c r="E65" s="58" t="s">
        <v>54</v>
      </c>
      <c r="F65" s="196" t="s">
        <v>568</v>
      </c>
      <c r="G65" s="58" t="s">
        <v>42</v>
      </c>
      <c r="H65" s="164">
        <v>5000</v>
      </c>
      <c r="I65" s="74">
        <v>1000</v>
      </c>
      <c r="J65" s="58" t="s">
        <v>43</v>
      </c>
      <c r="K65" s="58" t="s">
        <v>44</v>
      </c>
      <c r="M65">
        <f t="shared" si="1"/>
        <v>1000</v>
      </c>
    </row>
    <row r="66" spans="1:13" x14ac:dyDescent="0.25">
      <c r="A66" s="132">
        <v>17</v>
      </c>
      <c r="B66" s="58" t="s">
        <v>569</v>
      </c>
      <c r="C66" s="58" t="s">
        <v>40</v>
      </c>
      <c r="D66" s="58" t="s">
        <v>382</v>
      </c>
      <c r="E66" s="58" t="s">
        <v>53</v>
      </c>
      <c r="F66" s="196" t="s">
        <v>570</v>
      </c>
      <c r="G66" s="58" t="s">
        <v>42</v>
      </c>
      <c r="H66" s="164">
        <v>500</v>
      </c>
      <c r="I66" s="74">
        <v>100</v>
      </c>
      <c r="J66" s="58" t="s">
        <v>43</v>
      </c>
      <c r="K66" s="58" t="s">
        <v>44</v>
      </c>
      <c r="M66">
        <f t="shared" si="1"/>
        <v>100</v>
      </c>
    </row>
    <row r="67" spans="1:13" x14ac:dyDescent="0.25">
      <c r="A67" s="132">
        <v>17</v>
      </c>
      <c r="B67" s="58" t="s">
        <v>571</v>
      </c>
      <c r="C67" s="58" t="s">
        <v>40</v>
      </c>
      <c r="D67" s="58" t="s">
        <v>572</v>
      </c>
      <c r="E67" s="58" t="s">
        <v>47</v>
      </c>
      <c r="F67" s="196"/>
      <c r="G67" s="58" t="s">
        <v>42</v>
      </c>
      <c r="H67" s="164">
        <v>2000</v>
      </c>
      <c r="I67" s="74">
        <v>400</v>
      </c>
      <c r="J67" s="58" t="s">
        <v>43</v>
      </c>
      <c r="K67" s="58" t="s">
        <v>44</v>
      </c>
      <c r="M67">
        <f t="shared" si="1"/>
        <v>400</v>
      </c>
    </row>
    <row r="68" spans="1:13" x14ac:dyDescent="0.25">
      <c r="A68" s="132">
        <v>18</v>
      </c>
      <c r="B68" s="58" t="s">
        <v>573</v>
      </c>
      <c r="C68" s="58" t="s">
        <v>40</v>
      </c>
      <c r="D68" s="58" t="s">
        <v>574</v>
      </c>
      <c r="E68" s="58" t="s">
        <v>73</v>
      </c>
      <c r="F68" s="196" t="s">
        <v>575</v>
      </c>
      <c r="G68" s="58" t="s">
        <v>42</v>
      </c>
      <c r="H68" s="164">
        <v>7000</v>
      </c>
      <c r="I68" s="74">
        <v>1400</v>
      </c>
      <c r="J68" s="58" t="s">
        <v>43</v>
      </c>
      <c r="K68" s="58" t="s">
        <v>44</v>
      </c>
      <c r="M68">
        <f t="shared" si="1"/>
        <v>1400</v>
      </c>
    </row>
    <row r="69" spans="1:13" x14ac:dyDescent="0.25">
      <c r="A69" s="132">
        <v>18</v>
      </c>
      <c r="B69" s="58" t="s">
        <v>576</v>
      </c>
      <c r="C69" s="58" t="s">
        <v>40</v>
      </c>
      <c r="D69" s="58" t="s">
        <v>574</v>
      </c>
      <c r="E69" s="58" t="s">
        <v>73</v>
      </c>
      <c r="F69" s="196" t="s">
        <v>577</v>
      </c>
      <c r="G69" s="58" t="s">
        <v>42</v>
      </c>
      <c r="H69" s="164">
        <v>6000</v>
      </c>
      <c r="I69" s="74">
        <v>1200</v>
      </c>
      <c r="J69" s="58" t="s">
        <v>43</v>
      </c>
      <c r="K69" s="58" t="s">
        <v>44</v>
      </c>
      <c r="M69">
        <f t="shared" si="1"/>
        <v>1200</v>
      </c>
    </row>
    <row r="70" spans="1:13" x14ac:dyDescent="0.25">
      <c r="A70" s="132">
        <v>18</v>
      </c>
      <c r="B70" s="58" t="s">
        <v>578</v>
      </c>
      <c r="C70" s="58" t="s">
        <v>40</v>
      </c>
      <c r="D70" s="58" t="s">
        <v>270</v>
      </c>
      <c r="E70" s="58" t="s">
        <v>73</v>
      </c>
      <c r="F70" s="196" t="s">
        <v>579</v>
      </c>
      <c r="G70" s="58" t="s">
        <v>42</v>
      </c>
      <c r="H70" s="164">
        <v>5000</v>
      </c>
      <c r="I70" s="74">
        <v>1000</v>
      </c>
      <c r="J70" s="58" t="s">
        <v>43</v>
      </c>
      <c r="K70" s="58" t="s">
        <v>44</v>
      </c>
      <c r="M70">
        <f t="shared" si="1"/>
        <v>1000</v>
      </c>
    </row>
    <row r="71" spans="1:13" x14ac:dyDescent="0.25">
      <c r="A71" s="132">
        <v>18</v>
      </c>
      <c r="B71" s="58" t="s">
        <v>580</v>
      </c>
      <c r="C71" s="58" t="s">
        <v>40</v>
      </c>
      <c r="D71" s="58" t="s">
        <v>178</v>
      </c>
      <c r="E71" s="58" t="s">
        <v>46</v>
      </c>
      <c r="F71" s="196"/>
      <c r="G71" s="58" t="s">
        <v>42</v>
      </c>
      <c r="H71" s="164">
        <v>8000</v>
      </c>
      <c r="I71" s="74">
        <v>1600</v>
      </c>
      <c r="J71" s="58" t="s">
        <v>43</v>
      </c>
      <c r="K71" s="58" t="s">
        <v>44</v>
      </c>
      <c r="M71">
        <f t="shared" si="1"/>
        <v>1600</v>
      </c>
    </row>
    <row r="72" spans="1:13" x14ac:dyDescent="0.25">
      <c r="A72" s="132">
        <v>18</v>
      </c>
      <c r="B72" s="58" t="s">
        <v>581</v>
      </c>
      <c r="C72" s="58" t="s">
        <v>40</v>
      </c>
      <c r="D72" s="58" t="s">
        <v>236</v>
      </c>
      <c r="E72" s="58" t="s">
        <v>45</v>
      </c>
      <c r="F72" s="196"/>
      <c r="G72" s="58" t="s">
        <v>42</v>
      </c>
      <c r="H72" s="164">
        <v>2000</v>
      </c>
      <c r="I72" s="74">
        <v>400</v>
      </c>
      <c r="J72" s="58" t="s">
        <v>43</v>
      </c>
      <c r="K72" s="58" t="s">
        <v>44</v>
      </c>
      <c r="M72">
        <f t="shared" si="1"/>
        <v>400</v>
      </c>
    </row>
    <row r="73" spans="1:13" x14ac:dyDescent="0.25">
      <c r="A73" s="132">
        <v>18</v>
      </c>
      <c r="B73" s="58" t="s">
        <v>582</v>
      </c>
      <c r="C73" s="58" t="s">
        <v>40</v>
      </c>
      <c r="D73" s="58" t="s">
        <v>574</v>
      </c>
      <c r="E73" s="58" t="s">
        <v>73</v>
      </c>
      <c r="F73" s="196" t="s">
        <v>583</v>
      </c>
      <c r="G73" s="58" t="s">
        <v>42</v>
      </c>
      <c r="H73" s="164">
        <v>3000</v>
      </c>
      <c r="I73" s="74">
        <v>600</v>
      </c>
      <c r="J73" s="58" t="s">
        <v>43</v>
      </c>
      <c r="K73" s="58" t="s">
        <v>44</v>
      </c>
      <c r="M73">
        <f t="shared" si="1"/>
        <v>600</v>
      </c>
    </row>
    <row r="74" spans="1:13" x14ac:dyDescent="0.25">
      <c r="A74" s="132">
        <v>18</v>
      </c>
      <c r="B74" s="58" t="s">
        <v>584</v>
      </c>
      <c r="C74" s="58" t="s">
        <v>40</v>
      </c>
      <c r="D74" s="58" t="s">
        <v>585</v>
      </c>
      <c r="E74" s="58" t="s">
        <v>66</v>
      </c>
      <c r="F74" s="196" t="s">
        <v>586</v>
      </c>
      <c r="G74" s="58" t="s">
        <v>42</v>
      </c>
      <c r="H74" s="164">
        <v>20000</v>
      </c>
      <c r="I74" s="74">
        <v>4000</v>
      </c>
      <c r="J74" s="58" t="s">
        <v>43</v>
      </c>
      <c r="K74" s="58" t="s">
        <v>44</v>
      </c>
      <c r="M74">
        <f t="shared" si="1"/>
        <v>4000</v>
      </c>
    </row>
    <row r="75" spans="1:13" x14ac:dyDescent="0.25">
      <c r="A75" s="132">
        <v>18</v>
      </c>
      <c r="B75" s="58" t="s">
        <v>587</v>
      </c>
      <c r="C75" s="58" t="s">
        <v>50</v>
      </c>
      <c r="D75" s="58" t="s">
        <v>588</v>
      </c>
      <c r="E75" s="58" t="s">
        <v>45</v>
      </c>
      <c r="F75" s="196" t="s">
        <v>589</v>
      </c>
      <c r="G75" s="58" t="s">
        <v>42</v>
      </c>
      <c r="H75" s="164">
        <v>5000</v>
      </c>
      <c r="I75" s="74">
        <v>1000</v>
      </c>
      <c r="J75" s="58" t="s">
        <v>43</v>
      </c>
      <c r="K75" s="58" t="s">
        <v>44</v>
      </c>
      <c r="M75">
        <f t="shared" si="1"/>
        <v>1000</v>
      </c>
    </row>
    <row r="76" spans="1:13" x14ac:dyDescent="0.25">
      <c r="A76" s="132">
        <v>18</v>
      </c>
      <c r="B76" s="58" t="s">
        <v>281</v>
      </c>
      <c r="C76" s="58" t="s">
        <v>50</v>
      </c>
      <c r="D76" s="58" t="s">
        <v>252</v>
      </c>
      <c r="E76" s="58" t="s">
        <v>110</v>
      </c>
      <c r="F76" s="196" t="s">
        <v>590</v>
      </c>
      <c r="G76" s="58" t="s">
        <v>42</v>
      </c>
      <c r="H76" s="164">
        <v>4100</v>
      </c>
      <c r="I76" s="74">
        <v>820</v>
      </c>
      <c r="J76" s="58" t="s">
        <v>43</v>
      </c>
      <c r="K76" s="58" t="s">
        <v>44</v>
      </c>
      <c r="M76">
        <f t="shared" si="1"/>
        <v>820</v>
      </c>
    </row>
    <row r="77" spans="1:13" x14ac:dyDescent="0.25">
      <c r="A77" s="132">
        <v>18</v>
      </c>
      <c r="B77" s="58" t="s">
        <v>591</v>
      </c>
      <c r="C77" s="58" t="s">
        <v>40</v>
      </c>
      <c r="D77" s="58" t="s">
        <v>592</v>
      </c>
      <c r="E77" s="58" t="s">
        <v>61</v>
      </c>
      <c r="F77" s="196"/>
      <c r="G77" s="58" t="s">
        <v>42</v>
      </c>
      <c r="H77" s="164">
        <v>500</v>
      </c>
      <c r="I77" s="74">
        <v>100</v>
      </c>
      <c r="J77" s="58" t="s">
        <v>43</v>
      </c>
      <c r="K77" s="58" t="s">
        <v>44</v>
      </c>
      <c r="M77">
        <f t="shared" si="1"/>
        <v>100</v>
      </c>
    </row>
    <row r="78" spans="1:13" x14ac:dyDescent="0.25">
      <c r="A78" s="132">
        <v>18</v>
      </c>
      <c r="B78" s="58" t="s">
        <v>591</v>
      </c>
      <c r="C78" s="58" t="s">
        <v>40</v>
      </c>
      <c r="D78" s="58" t="s">
        <v>592</v>
      </c>
      <c r="E78" s="58" t="s">
        <v>61</v>
      </c>
      <c r="F78" s="196"/>
      <c r="G78" s="58" t="s">
        <v>42</v>
      </c>
      <c r="H78" s="164">
        <v>500</v>
      </c>
      <c r="I78" s="74" t="s">
        <v>77</v>
      </c>
      <c r="J78" s="58" t="s">
        <v>43</v>
      </c>
      <c r="K78" s="58" t="s">
        <v>44</v>
      </c>
      <c r="M78">
        <f t="shared" si="1"/>
        <v>100</v>
      </c>
    </row>
    <row r="79" spans="1:13" x14ac:dyDescent="0.25">
      <c r="A79" s="132">
        <v>18</v>
      </c>
      <c r="B79" s="58" t="s">
        <v>593</v>
      </c>
      <c r="C79" s="58" t="s">
        <v>50</v>
      </c>
      <c r="D79" s="58" t="s">
        <v>592</v>
      </c>
      <c r="E79" s="58" t="s">
        <v>61</v>
      </c>
      <c r="F79" s="196"/>
      <c r="G79" s="58" t="s">
        <v>42</v>
      </c>
      <c r="H79" s="164">
        <v>500</v>
      </c>
      <c r="I79" s="74" t="s">
        <v>77</v>
      </c>
      <c r="J79" s="58" t="s">
        <v>43</v>
      </c>
      <c r="K79" s="58" t="s">
        <v>44</v>
      </c>
      <c r="M79">
        <f t="shared" si="1"/>
        <v>100</v>
      </c>
    </row>
    <row r="80" spans="1:13" x14ac:dyDescent="0.25">
      <c r="A80" s="132">
        <v>21</v>
      </c>
      <c r="B80" s="94" t="s">
        <v>352</v>
      </c>
      <c r="C80" s="58" t="s">
        <v>40</v>
      </c>
      <c r="D80" s="58" t="s">
        <v>322</v>
      </c>
      <c r="E80" s="58" t="s">
        <v>62</v>
      </c>
      <c r="F80" s="196" t="s">
        <v>318</v>
      </c>
      <c r="G80" s="58" t="s">
        <v>42</v>
      </c>
      <c r="H80" s="164">
        <v>2000</v>
      </c>
      <c r="I80" s="74">
        <v>400</v>
      </c>
      <c r="J80" s="58" t="s">
        <v>43</v>
      </c>
      <c r="K80" s="58" t="s">
        <v>44</v>
      </c>
      <c r="M80">
        <f t="shared" si="1"/>
        <v>400</v>
      </c>
    </row>
    <row r="81" spans="1:16" x14ac:dyDescent="0.25">
      <c r="A81" s="132">
        <v>21</v>
      </c>
      <c r="B81" s="94" t="s">
        <v>594</v>
      </c>
      <c r="C81" s="58" t="s">
        <v>50</v>
      </c>
      <c r="D81" s="58" t="s">
        <v>410</v>
      </c>
      <c r="E81" s="58" t="s">
        <v>94</v>
      </c>
      <c r="F81" s="196" t="s">
        <v>318</v>
      </c>
      <c r="G81" s="58" t="s">
        <v>42</v>
      </c>
      <c r="H81" s="164">
        <v>500</v>
      </c>
      <c r="I81" s="74">
        <v>100</v>
      </c>
      <c r="J81" s="58" t="s">
        <v>43</v>
      </c>
      <c r="K81" s="58" t="s">
        <v>44</v>
      </c>
      <c r="M81">
        <f t="shared" si="1"/>
        <v>100</v>
      </c>
    </row>
    <row r="82" spans="1:16" x14ac:dyDescent="0.25">
      <c r="A82" s="132">
        <v>21</v>
      </c>
      <c r="B82" s="94" t="s">
        <v>542</v>
      </c>
      <c r="C82" s="58" t="s">
        <v>40</v>
      </c>
      <c r="D82" s="58" t="s">
        <v>177</v>
      </c>
      <c r="E82" s="58" t="s">
        <v>53</v>
      </c>
      <c r="F82" s="196" t="s">
        <v>318</v>
      </c>
      <c r="G82" s="58" t="s">
        <v>42</v>
      </c>
      <c r="H82" s="164">
        <v>1500</v>
      </c>
      <c r="I82" s="74">
        <v>300</v>
      </c>
      <c r="J82" s="58" t="s">
        <v>43</v>
      </c>
      <c r="K82" s="58" t="s">
        <v>44</v>
      </c>
      <c r="M82">
        <f t="shared" si="1"/>
        <v>300</v>
      </c>
    </row>
    <row r="83" spans="1:16" x14ac:dyDescent="0.25">
      <c r="A83" s="132">
        <v>21</v>
      </c>
      <c r="B83" s="94" t="s">
        <v>595</v>
      </c>
      <c r="C83" s="58" t="s">
        <v>40</v>
      </c>
      <c r="D83" s="58" t="s">
        <v>596</v>
      </c>
      <c r="E83" s="58" t="s">
        <v>54</v>
      </c>
      <c r="F83" s="196" t="s">
        <v>318</v>
      </c>
      <c r="G83" s="58" t="s">
        <v>42</v>
      </c>
      <c r="H83" s="164">
        <v>2000</v>
      </c>
      <c r="I83" s="74">
        <v>400</v>
      </c>
      <c r="J83" s="58" t="s">
        <v>43</v>
      </c>
      <c r="K83" s="58" t="s">
        <v>44</v>
      </c>
      <c r="M83">
        <f t="shared" si="1"/>
        <v>400</v>
      </c>
    </row>
    <row r="84" spans="1:16" ht="15.75" x14ac:dyDescent="0.25">
      <c r="A84" s="132">
        <v>21</v>
      </c>
      <c r="B84" s="94" t="s">
        <v>245</v>
      </c>
      <c r="C84" s="58" t="s">
        <v>40</v>
      </c>
      <c r="D84" s="58" t="s">
        <v>663</v>
      </c>
      <c r="E84" s="58" t="s">
        <v>60</v>
      </c>
      <c r="F84" s="196" t="s">
        <v>597</v>
      </c>
      <c r="G84" s="58" t="s">
        <v>42</v>
      </c>
      <c r="H84" s="164">
        <v>15000</v>
      </c>
      <c r="I84" s="74">
        <v>3000</v>
      </c>
      <c r="J84" s="58" t="s">
        <v>43</v>
      </c>
      <c r="K84" s="58" t="s">
        <v>44</v>
      </c>
      <c r="M84">
        <f t="shared" si="1"/>
        <v>3000</v>
      </c>
    </row>
    <row r="85" spans="1:16" x14ac:dyDescent="0.25">
      <c r="A85" s="132">
        <v>21</v>
      </c>
      <c r="B85" s="94" t="s">
        <v>598</v>
      </c>
      <c r="C85" s="58" t="s">
        <v>40</v>
      </c>
      <c r="D85" s="58" t="s">
        <v>171</v>
      </c>
      <c r="E85" s="58" t="s">
        <v>53</v>
      </c>
      <c r="F85" s="196" t="s">
        <v>318</v>
      </c>
      <c r="G85" s="58" t="s">
        <v>42</v>
      </c>
      <c r="H85" s="164">
        <v>600</v>
      </c>
      <c r="I85" s="74">
        <v>120</v>
      </c>
      <c r="J85" s="58" t="s">
        <v>43</v>
      </c>
      <c r="K85" s="58" t="s">
        <v>44</v>
      </c>
      <c r="M85">
        <f t="shared" si="1"/>
        <v>120</v>
      </c>
    </row>
    <row r="86" spans="1:16" x14ac:dyDescent="0.25">
      <c r="A86" s="132">
        <v>21</v>
      </c>
      <c r="B86" s="94" t="s">
        <v>599</v>
      </c>
      <c r="C86" s="58" t="s">
        <v>50</v>
      </c>
      <c r="D86" s="58" t="s">
        <v>216</v>
      </c>
      <c r="E86" s="58" t="s">
        <v>45</v>
      </c>
      <c r="F86" s="196" t="s">
        <v>600</v>
      </c>
      <c r="G86" s="58" t="s">
        <v>42</v>
      </c>
      <c r="H86" s="164">
        <v>2000</v>
      </c>
      <c r="I86" s="74">
        <v>400</v>
      </c>
      <c r="J86" s="58" t="s">
        <v>43</v>
      </c>
      <c r="K86" s="58" t="s">
        <v>44</v>
      </c>
      <c r="M86">
        <f t="shared" si="1"/>
        <v>400</v>
      </c>
    </row>
    <row r="87" spans="1:16" x14ac:dyDescent="0.25">
      <c r="A87" s="132">
        <v>21</v>
      </c>
      <c r="B87" s="94" t="s">
        <v>601</v>
      </c>
      <c r="C87" s="58" t="s">
        <v>50</v>
      </c>
      <c r="D87" s="58" t="s">
        <v>308</v>
      </c>
      <c r="E87" s="58" t="s">
        <v>61</v>
      </c>
      <c r="F87" s="196" t="s">
        <v>602</v>
      </c>
      <c r="G87" s="58" t="s">
        <v>42</v>
      </c>
      <c r="H87" s="164">
        <v>2000</v>
      </c>
      <c r="I87" s="74">
        <v>400</v>
      </c>
      <c r="J87" s="58" t="s">
        <v>43</v>
      </c>
      <c r="K87" s="58" t="s">
        <v>44</v>
      </c>
      <c r="M87">
        <f t="shared" si="1"/>
        <v>400</v>
      </c>
    </row>
    <row r="88" spans="1:16" x14ac:dyDescent="0.25">
      <c r="A88" s="132">
        <v>21</v>
      </c>
      <c r="B88" s="94" t="s">
        <v>603</v>
      </c>
      <c r="C88" s="58" t="s">
        <v>40</v>
      </c>
      <c r="D88" s="58" t="s">
        <v>574</v>
      </c>
      <c r="E88" s="58" t="s">
        <v>73</v>
      </c>
      <c r="F88" s="196" t="s">
        <v>604</v>
      </c>
      <c r="G88" s="58" t="s">
        <v>42</v>
      </c>
      <c r="H88" s="164">
        <v>10000</v>
      </c>
      <c r="I88" s="74">
        <v>2000</v>
      </c>
      <c r="J88" s="58" t="s">
        <v>43</v>
      </c>
      <c r="K88" s="58" t="s">
        <v>44</v>
      </c>
      <c r="M88">
        <f t="shared" si="1"/>
        <v>2000</v>
      </c>
    </row>
    <row r="89" spans="1:16" x14ac:dyDescent="0.25">
      <c r="A89" s="132">
        <v>22</v>
      </c>
      <c r="B89" s="94" t="s">
        <v>605</v>
      </c>
      <c r="C89" s="58" t="s">
        <v>40</v>
      </c>
      <c r="D89" s="58" t="s">
        <v>181</v>
      </c>
      <c r="E89" s="58" t="s">
        <v>60</v>
      </c>
      <c r="F89" s="196" t="s">
        <v>606</v>
      </c>
      <c r="G89" s="58" t="s">
        <v>42</v>
      </c>
      <c r="H89" s="164">
        <v>1000</v>
      </c>
      <c r="I89" s="74">
        <v>200</v>
      </c>
      <c r="J89" s="58" t="s">
        <v>43</v>
      </c>
      <c r="K89" s="58" t="s">
        <v>44</v>
      </c>
      <c r="M89">
        <f t="shared" si="1"/>
        <v>200</v>
      </c>
    </row>
    <row r="90" spans="1:16" x14ac:dyDescent="0.25">
      <c r="A90" s="132">
        <v>23</v>
      </c>
      <c r="B90" s="94" t="s">
        <v>609</v>
      </c>
      <c r="C90" s="58" t="s">
        <v>50</v>
      </c>
      <c r="D90" s="58" t="s">
        <v>344</v>
      </c>
      <c r="E90" s="58" t="s">
        <v>60</v>
      </c>
      <c r="F90" s="196" t="s">
        <v>318</v>
      </c>
      <c r="G90" s="58" t="s">
        <v>42</v>
      </c>
      <c r="H90" s="164">
        <v>10000</v>
      </c>
      <c r="I90" s="74">
        <v>2000</v>
      </c>
      <c r="J90" s="58" t="s">
        <v>43</v>
      </c>
      <c r="K90" s="58" t="s">
        <v>44</v>
      </c>
      <c r="M90">
        <f t="shared" si="1"/>
        <v>2000</v>
      </c>
    </row>
    <row r="91" spans="1:16" x14ac:dyDescent="0.25">
      <c r="A91" s="132">
        <v>23</v>
      </c>
      <c r="B91" s="94" t="s">
        <v>610</v>
      </c>
      <c r="C91" s="58" t="s">
        <v>40</v>
      </c>
      <c r="D91" s="58" t="s">
        <v>175</v>
      </c>
      <c r="E91" s="58" t="s">
        <v>48</v>
      </c>
      <c r="F91" s="196" t="s">
        <v>318</v>
      </c>
      <c r="G91" s="58" t="s">
        <v>42</v>
      </c>
      <c r="H91" s="164">
        <v>2000</v>
      </c>
      <c r="I91" s="74">
        <v>400</v>
      </c>
      <c r="J91" s="58" t="s">
        <v>43</v>
      </c>
      <c r="K91" s="58" t="s">
        <v>44</v>
      </c>
      <c r="M91">
        <f t="shared" si="1"/>
        <v>400</v>
      </c>
    </row>
    <row r="92" spans="1:16" x14ac:dyDescent="0.25">
      <c r="A92" s="132">
        <v>23</v>
      </c>
      <c r="B92" s="94" t="s">
        <v>362</v>
      </c>
      <c r="C92" s="58" t="s">
        <v>40</v>
      </c>
      <c r="D92" s="58" t="s">
        <v>611</v>
      </c>
      <c r="E92" s="58" t="s">
        <v>55</v>
      </c>
      <c r="F92" s="196" t="s">
        <v>318</v>
      </c>
      <c r="G92" s="58" t="s">
        <v>42</v>
      </c>
      <c r="H92" s="164">
        <v>1500</v>
      </c>
      <c r="I92" s="74">
        <v>300</v>
      </c>
      <c r="J92" s="58" t="s">
        <v>43</v>
      </c>
      <c r="K92" s="58" t="s">
        <v>44</v>
      </c>
      <c r="M92">
        <f t="shared" si="1"/>
        <v>300</v>
      </c>
    </row>
    <row r="93" spans="1:16" x14ac:dyDescent="0.25">
      <c r="A93" s="132">
        <v>23</v>
      </c>
      <c r="B93" s="94" t="s">
        <v>612</v>
      </c>
      <c r="C93" s="58" t="s">
        <v>50</v>
      </c>
      <c r="D93" s="58" t="s">
        <v>613</v>
      </c>
      <c r="E93" s="58" t="s">
        <v>96</v>
      </c>
      <c r="F93" s="196" t="s">
        <v>318</v>
      </c>
      <c r="G93" s="58" t="s">
        <v>42</v>
      </c>
      <c r="H93" s="164">
        <v>6000</v>
      </c>
      <c r="I93" s="74">
        <v>1200</v>
      </c>
      <c r="J93" s="58" t="s">
        <v>43</v>
      </c>
      <c r="K93" s="58" t="s">
        <v>44</v>
      </c>
      <c r="M93">
        <f t="shared" si="1"/>
        <v>1200</v>
      </c>
      <c r="P93" s="67"/>
    </row>
    <row r="94" spans="1:16" x14ac:dyDescent="0.25">
      <c r="A94" s="132">
        <v>23</v>
      </c>
      <c r="B94" s="94" t="s">
        <v>614</v>
      </c>
      <c r="C94" s="58" t="s">
        <v>50</v>
      </c>
      <c r="D94" s="58" t="s">
        <v>308</v>
      </c>
      <c r="E94" s="58" t="s">
        <v>61</v>
      </c>
      <c r="F94" s="196" t="s">
        <v>615</v>
      </c>
      <c r="G94" s="58" t="s">
        <v>42</v>
      </c>
      <c r="H94" s="164">
        <v>3000</v>
      </c>
      <c r="I94" s="74">
        <v>600</v>
      </c>
      <c r="J94" s="58" t="s">
        <v>43</v>
      </c>
      <c r="K94" s="58" t="s">
        <v>44</v>
      </c>
      <c r="M94">
        <f t="shared" si="1"/>
        <v>600</v>
      </c>
    </row>
    <row r="95" spans="1:16" x14ac:dyDescent="0.25">
      <c r="A95" s="132">
        <v>23</v>
      </c>
      <c r="B95" s="94" t="s">
        <v>616</v>
      </c>
      <c r="C95" s="58" t="s">
        <v>50</v>
      </c>
      <c r="D95" s="58" t="s">
        <v>260</v>
      </c>
      <c r="E95" s="58" t="s">
        <v>60</v>
      </c>
      <c r="F95" s="196" t="s">
        <v>617</v>
      </c>
      <c r="G95" s="58" t="s">
        <v>42</v>
      </c>
      <c r="H95" s="164">
        <v>5000</v>
      </c>
      <c r="I95" s="74">
        <v>1000</v>
      </c>
      <c r="J95" s="58" t="s">
        <v>43</v>
      </c>
      <c r="K95" s="58" t="s">
        <v>44</v>
      </c>
      <c r="M95">
        <f t="shared" si="1"/>
        <v>1000</v>
      </c>
    </row>
    <row r="96" spans="1:16" x14ac:dyDescent="0.25">
      <c r="A96" s="132">
        <v>23</v>
      </c>
      <c r="B96" s="94" t="s">
        <v>618</v>
      </c>
      <c r="C96" s="58" t="s">
        <v>40</v>
      </c>
      <c r="D96" s="58" t="s">
        <v>59</v>
      </c>
      <c r="E96" s="58" t="s">
        <v>60</v>
      </c>
      <c r="F96" s="196" t="s">
        <v>619</v>
      </c>
      <c r="G96" s="58" t="s">
        <v>42</v>
      </c>
      <c r="H96" s="164">
        <v>10000</v>
      </c>
      <c r="I96" s="74">
        <v>2000</v>
      </c>
      <c r="J96" s="58" t="s">
        <v>43</v>
      </c>
      <c r="K96" s="58" t="s">
        <v>44</v>
      </c>
      <c r="M96">
        <f t="shared" si="1"/>
        <v>2000</v>
      </c>
    </row>
    <row r="97" spans="1:15" x14ac:dyDescent="0.25">
      <c r="A97" s="132">
        <v>23</v>
      </c>
      <c r="B97" s="94" t="s">
        <v>622</v>
      </c>
      <c r="C97" s="58" t="s">
        <v>40</v>
      </c>
      <c r="D97" s="58" t="s">
        <v>71</v>
      </c>
      <c r="E97" s="58" t="s">
        <v>45</v>
      </c>
      <c r="F97" s="196" t="s">
        <v>623</v>
      </c>
      <c r="G97" s="58" t="s">
        <v>42</v>
      </c>
      <c r="H97" s="164">
        <v>1500</v>
      </c>
      <c r="I97" s="74" t="s">
        <v>77</v>
      </c>
      <c r="J97" s="58" t="s">
        <v>43</v>
      </c>
      <c r="K97" s="58" t="s">
        <v>44</v>
      </c>
      <c r="M97">
        <f t="shared" si="1"/>
        <v>300</v>
      </c>
    </row>
    <row r="98" spans="1:15" x14ac:dyDescent="0.25">
      <c r="A98" s="132">
        <v>24</v>
      </c>
      <c r="B98" s="94" t="s">
        <v>624</v>
      </c>
      <c r="C98" s="58" t="s">
        <v>40</v>
      </c>
      <c r="D98" s="58" t="s">
        <v>67</v>
      </c>
      <c r="E98" s="58" t="s">
        <v>61</v>
      </c>
      <c r="F98" s="196" t="s">
        <v>318</v>
      </c>
      <c r="G98" s="58" t="s">
        <v>42</v>
      </c>
      <c r="H98" s="164">
        <v>500</v>
      </c>
      <c r="I98" s="74">
        <v>100</v>
      </c>
      <c r="J98" s="58" t="s">
        <v>43</v>
      </c>
      <c r="K98" s="58" t="s">
        <v>44</v>
      </c>
      <c r="M98">
        <f t="shared" si="1"/>
        <v>100</v>
      </c>
    </row>
    <row r="99" spans="1:15" x14ac:dyDescent="0.25">
      <c r="A99" s="132">
        <v>28</v>
      </c>
      <c r="B99" s="94" t="s">
        <v>632</v>
      </c>
      <c r="C99" s="58" t="s">
        <v>50</v>
      </c>
      <c r="D99" s="58" t="s">
        <v>633</v>
      </c>
      <c r="E99" s="58" t="s">
        <v>48</v>
      </c>
      <c r="F99" s="196"/>
      <c r="G99" s="58" t="s">
        <v>42</v>
      </c>
      <c r="H99" s="164">
        <v>500</v>
      </c>
      <c r="I99" s="74" t="s">
        <v>77</v>
      </c>
      <c r="J99" s="58" t="s">
        <v>43</v>
      </c>
      <c r="K99" s="58" t="s">
        <v>44</v>
      </c>
      <c r="M99">
        <f t="shared" si="1"/>
        <v>100</v>
      </c>
    </row>
    <row r="100" spans="1:15" x14ac:dyDescent="0.25">
      <c r="A100" s="132">
        <v>28</v>
      </c>
      <c r="B100" s="94" t="s">
        <v>634</v>
      </c>
      <c r="C100" s="58" t="s">
        <v>40</v>
      </c>
      <c r="D100" s="58" t="s">
        <v>633</v>
      </c>
      <c r="E100" s="58" t="s">
        <v>48</v>
      </c>
      <c r="F100" s="196"/>
      <c r="G100" s="58" t="s">
        <v>42</v>
      </c>
      <c r="H100" s="164">
        <v>500</v>
      </c>
      <c r="I100" s="74" t="s">
        <v>77</v>
      </c>
      <c r="J100" s="58" t="s">
        <v>43</v>
      </c>
      <c r="K100" s="58" t="s">
        <v>44</v>
      </c>
      <c r="M100">
        <f t="shared" si="1"/>
        <v>100</v>
      </c>
    </row>
    <row r="101" spans="1:15" x14ac:dyDescent="0.25">
      <c r="A101" s="132">
        <v>29</v>
      </c>
      <c r="B101" s="94" t="s">
        <v>636</v>
      </c>
      <c r="C101" s="58" t="s">
        <v>40</v>
      </c>
      <c r="D101" s="58" t="s">
        <v>236</v>
      </c>
      <c r="E101" s="58" t="s">
        <v>45</v>
      </c>
      <c r="F101" s="196"/>
      <c r="G101" s="58" t="s">
        <v>42</v>
      </c>
      <c r="H101" s="164">
        <v>1500</v>
      </c>
      <c r="I101" s="74" t="s">
        <v>77</v>
      </c>
      <c r="J101" s="58" t="s">
        <v>43</v>
      </c>
      <c r="K101" s="58" t="s">
        <v>44</v>
      </c>
      <c r="M101">
        <f t="shared" si="1"/>
        <v>300</v>
      </c>
    </row>
    <row r="102" spans="1:15" x14ac:dyDescent="0.25">
      <c r="A102" s="132">
        <v>29</v>
      </c>
      <c r="B102" s="94" t="s">
        <v>637</v>
      </c>
      <c r="C102" s="58" t="s">
        <v>50</v>
      </c>
      <c r="D102" s="58" t="s">
        <v>89</v>
      </c>
      <c r="E102" s="58" t="s">
        <v>45</v>
      </c>
      <c r="F102" s="196"/>
      <c r="G102" s="58" t="s">
        <v>42</v>
      </c>
      <c r="H102" s="164">
        <v>1500</v>
      </c>
      <c r="I102" s="74" t="s">
        <v>77</v>
      </c>
      <c r="J102" s="58" t="s">
        <v>43</v>
      </c>
      <c r="K102" s="58" t="s">
        <v>44</v>
      </c>
      <c r="M102">
        <f t="shared" si="1"/>
        <v>300</v>
      </c>
    </row>
    <row r="103" spans="1:15" x14ac:dyDescent="0.25">
      <c r="A103" s="132">
        <v>29</v>
      </c>
      <c r="B103" s="94" t="s">
        <v>637</v>
      </c>
      <c r="C103" s="58" t="s">
        <v>50</v>
      </c>
      <c r="D103" s="58" t="s">
        <v>89</v>
      </c>
      <c r="E103" s="58" t="s">
        <v>45</v>
      </c>
      <c r="F103" s="196"/>
      <c r="G103" s="137" t="s">
        <v>351</v>
      </c>
      <c r="H103" s="246">
        <v>14</v>
      </c>
      <c r="I103" s="177" t="s">
        <v>77</v>
      </c>
      <c r="J103" s="58" t="s">
        <v>43</v>
      </c>
      <c r="K103" s="58" t="s">
        <v>44</v>
      </c>
      <c r="M103">
        <f t="shared" si="1"/>
        <v>2.8</v>
      </c>
    </row>
    <row r="104" spans="1:15" x14ac:dyDescent="0.25">
      <c r="A104" s="132">
        <v>30</v>
      </c>
      <c r="B104" s="94" t="s">
        <v>638</v>
      </c>
      <c r="C104" s="58" t="s">
        <v>40</v>
      </c>
      <c r="D104" s="58" t="s">
        <v>308</v>
      </c>
      <c r="E104" s="58" t="s">
        <v>61</v>
      </c>
      <c r="F104" s="196" t="s">
        <v>615</v>
      </c>
      <c r="G104" s="58" t="s">
        <v>42</v>
      </c>
      <c r="H104" s="164">
        <v>500</v>
      </c>
      <c r="I104" s="74" t="s">
        <v>77</v>
      </c>
      <c r="J104" s="58" t="s">
        <v>43</v>
      </c>
      <c r="K104" s="58" t="s">
        <v>44</v>
      </c>
      <c r="M104">
        <f t="shared" si="1"/>
        <v>100</v>
      </c>
    </row>
    <row r="105" spans="1:15" x14ac:dyDescent="0.25">
      <c r="A105" s="132"/>
      <c r="B105" s="94"/>
      <c r="C105" s="58"/>
      <c r="D105" s="58"/>
      <c r="E105" s="58"/>
      <c r="F105" s="196"/>
      <c r="G105" s="58"/>
      <c r="H105" s="164"/>
      <c r="I105" s="74"/>
      <c r="J105" s="58"/>
      <c r="K105" s="58"/>
    </row>
    <row r="106" spans="1:15" x14ac:dyDescent="0.25">
      <c r="A106" s="241"/>
      <c r="B106" s="94"/>
      <c r="C106" s="58"/>
      <c r="D106" s="58"/>
      <c r="E106" s="58"/>
      <c r="F106" s="196"/>
      <c r="G106" s="58"/>
      <c r="H106" s="164"/>
      <c r="I106" s="74"/>
      <c r="J106" s="58"/>
      <c r="K106" s="58"/>
    </row>
    <row r="107" spans="1:15" x14ac:dyDescent="0.25">
      <c r="H107" s="197"/>
      <c r="I107" s="242"/>
    </row>
    <row r="109" spans="1:15" x14ac:dyDescent="0.25">
      <c r="I109" s="110" t="s">
        <v>19</v>
      </c>
      <c r="J109" s="30"/>
    </row>
    <row r="110" spans="1:15" ht="16.5" customHeight="1" x14ac:dyDescent="0.25">
      <c r="B110" s="183" t="s">
        <v>20</v>
      </c>
      <c r="E110" s="183" t="s">
        <v>21</v>
      </c>
      <c r="I110" s="100" t="s">
        <v>136</v>
      </c>
      <c r="J110" s="243" t="s">
        <v>630</v>
      </c>
    </row>
    <row r="111" spans="1:15" x14ac:dyDescent="0.25">
      <c r="I111" s="100" t="s">
        <v>137</v>
      </c>
      <c r="J111" s="243" t="s">
        <v>665</v>
      </c>
      <c r="K111" s="244"/>
      <c r="O111" s="29"/>
    </row>
    <row r="112" spans="1:15" x14ac:dyDescent="0.25">
      <c r="I112" s="100"/>
      <c r="J112" s="243" t="s">
        <v>629</v>
      </c>
      <c r="K112" s="248" t="s">
        <v>288</v>
      </c>
      <c r="O112" s="67"/>
    </row>
    <row r="113" spans="2:15" x14ac:dyDescent="0.25">
      <c r="I113" s="100" t="s">
        <v>138</v>
      </c>
      <c r="J113" s="243">
        <v>0</v>
      </c>
      <c r="O113" s="29"/>
    </row>
    <row r="114" spans="2:15" x14ac:dyDescent="0.25">
      <c r="B114" s="111" t="s">
        <v>98</v>
      </c>
      <c r="E114" s="455" t="s">
        <v>22</v>
      </c>
      <c r="F114" s="455"/>
      <c r="G114" s="455"/>
      <c r="H114" s="455"/>
      <c r="I114" s="100" t="s">
        <v>139</v>
      </c>
      <c r="J114" s="243" t="s">
        <v>664</v>
      </c>
    </row>
    <row r="115" spans="2:15" x14ac:dyDescent="0.25">
      <c r="B115" s="183" t="s">
        <v>115</v>
      </c>
      <c r="E115" s="460" t="s">
        <v>163</v>
      </c>
      <c r="F115" s="460"/>
      <c r="G115" s="460"/>
      <c r="H115" s="460"/>
      <c r="I115" s="100" t="s">
        <v>143</v>
      </c>
      <c r="J115" s="243">
        <v>0</v>
      </c>
    </row>
    <row r="116" spans="2:15" x14ac:dyDescent="0.25">
      <c r="I116" s="112" t="s">
        <v>135</v>
      </c>
      <c r="J116" s="243">
        <v>0</v>
      </c>
    </row>
    <row r="117" spans="2:15" x14ac:dyDescent="0.25">
      <c r="I117" s="100" t="s">
        <v>23</v>
      </c>
      <c r="J117" s="30"/>
    </row>
    <row r="118" spans="2:15" x14ac:dyDescent="0.25">
      <c r="I118" s="113" t="s">
        <v>133</v>
      </c>
      <c r="J118" s="245" t="s">
        <v>628</v>
      </c>
      <c r="O118" s="67"/>
    </row>
    <row r="119" spans="2:15" x14ac:dyDescent="0.25">
      <c r="I119" s="113" t="s">
        <v>134</v>
      </c>
      <c r="J119" s="69"/>
    </row>
    <row r="120" spans="2:15" x14ac:dyDescent="0.25">
      <c r="B120" s="31"/>
      <c r="E120" s="31"/>
      <c r="F120" s="31"/>
      <c r="G120" s="31"/>
      <c r="I120" s="100"/>
      <c r="J120" s="30"/>
    </row>
    <row r="121" spans="2:15" x14ac:dyDescent="0.25">
      <c r="I121" s="100"/>
      <c r="J121" s="30"/>
    </row>
    <row r="122" spans="2:15" x14ac:dyDescent="0.25">
      <c r="I122" s="100"/>
      <c r="J122" s="30"/>
    </row>
    <row r="123" spans="2:15" x14ac:dyDescent="0.25">
      <c r="I123" s="100"/>
      <c r="J123" s="69"/>
    </row>
    <row r="124" spans="2:15" x14ac:dyDescent="0.25">
      <c r="I124" s="100"/>
      <c r="J124" s="69"/>
    </row>
    <row r="144" spans="12:12" x14ac:dyDescent="0.25">
      <c r="L144" s="29"/>
    </row>
    <row r="167" spans="12:12" x14ac:dyDescent="0.25">
      <c r="L167" s="29"/>
    </row>
    <row r="294" spans="12:12" x14ac:dyDescent="0.25">
      <c r="L294" s="29"/>
    </row>
  </sheetData>
  <mergeCells count="8">
    <mergeCell ref="E114:H114"/>
    <mergeCell ref="E115:H115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N31"/>
  <sheetViews>
    <sheetView view="pageBreakPreview" topLeftCell="A7" zoomScale="96" zoomScaleNormal="100" zoomScaleSheetLayoutView="96" workbookViewId="0">
      <selection activeCell="B19" sqref="B19:L19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6.85546875" customWidth="1"/>
    <col min="7" max="7" width="22.140625" customWidth="1"/>
    <col min="8" max="8" width="18.42578125" customWidth="1"/>
    <col min="9" max="9" width="14.85546875" customWidth="1"/>
    <col min="10" max="10" width="12.28515625" customWidth="1"/>
    <col min="11" max="11" width="8.28515625" customWidth="1"/>
    <col min="12" max="12" width="17.5703125" customWidth="1"/>
  </cols>
  <sheetData>
    <row r="1" spans="1:14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4" ht="18" x14ac:dyDescent="0.25">
      <c r="A2" s="458" t="s">
        <v>473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4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217</v>
      </c>
      <c r="L3" s="449"/>
    </row>
    <row r="4" spans="1:14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2</v>
      </c>
    </row>
    <row r="5" spans="1:14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1</v>
      </c>
    </row>
    <row r="6" spans="1:14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4" ht="28.5" customHeight="1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61" t="s">
        <v>2</v>
      </c>
      <c r="L7" s="462"/>
    </row>
    <row r="8" spans="1:14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4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4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4" x14ac:dyDescent="0.25">
      <c r="A11" s="51" t="s">
        <v>17</v>
      </c>
      <c r="B11" s="52"/>
      <c r="C11" s="53"/>
      <c r="D11" s="228"/>
      <c r="E11" s="52"/>
      <c r="F11" s="25"/>
      <c r="G11" s="52"/>
      <c r="H11" s="53"/>
      <c r="I11" s="28"/>
      <c r="J11" s="54"/>
      <c r="K11" s="25"/>
      <c r="L11" s="25"/>
    </row>
    <row r="12" spans="1:14" ht="31.5" customHeight="1" x14ac:dyDescent="0.25">
      <c r="A12" s="72">
        <v>3</v>
      </c>
      <c r="B12" s="234" t="s">
        <v>496</v>
      </c>
      <c r="C12" s="25"/>
      <c r="D12" s="133" t="s">
        <v>180</v>
      </c>
      <c r="E12" s="133" t="s">
        <v>47</v>
      </c>
      <c r="F12" s="235" t="s">
        <v>476</v>
      </c>
      <c r="G12" s="236" t="s">
        <v>497</v>
      </c>
      <c r="H12" s="229" t="s">
        <v>212</v>
      </c>
      <c r="I12" s="230">
        <v>115</v>
      </c>
      <c r="J12" s="237" t="s">
        <v>77</v>
      </c>
      <c r="K12" s="236"/>
      <c r="L12" s="133" t="s">
        <v>44</v>
      </c>
    </row>
    <row r="13" spans="1:14" ht="29.25" customHeight="1" x14ac:dyDescent="0.25">
      <c r="A13" s="72">
        <v>4</v>
      </c>
      <c r="B13" s="236" t="s">
        <v>498</v>
      </c>
      <c r="C13" s="25"/>
      <c r="D13" s="236" t="s">
        <v>480</v>
      </c>
      <c r="E13" s="236" t="s">
        <v>66</v>
      </c>
      <c r="F13" s="133"/>
      <c r="G13" s="236" t="s">
        <v>499</v>
      </c>
      <c r="H13" s="231" t="s">
        <v>481</v>
      </c>
      <c r="I13" s="230">
        <v>3000</v>
      </c>
      <c r="J13" s="237" t="s">
        <v>77</v>
      </c>
      <c r="K13" s="236"/>
      <c r="L13" s="133" t="s">
        <v>44</v>
      </c>
      <c r="N13" s="67"/>
    </row>
    <row r="14" spans="1:14" ht="29.25" customHeight="1" x14ac:dyDescent="0.25">
      <c r="A14" s="162">
        <v>4</v>
      </c>
      <c r="B14" s="236" t="s">
        <v>498</v>
      </c>
      <c r="C14" s="163"/>
      <c r="D14" s="236" t="s">
        <v>480</v>
      </c>
      <c r="E14" s="236" t="s">
        <v>66</v>
      </c>
      <c r="F14" s="133"/>
      <c r="G14" s="236" t="s">
        <v>499</v>
      </c>
      <c r="H14" s="232" t="s">
        <v>482</v>
      </c>
      <c r="I14" s="230">
        <v>2000</v>
      </c>
      <c r="J14" s="237" t="s">
        <v>77</v>
      </c>
      <c r="K14" s="236"/>
      <c r="L14" s="236" t="s">
        <v>44</v>
      </c>
      <c r="N14" s="67"/>
    </row>
    <row r="15" spans="1:14" ht="16.5" customHeight="1" x14ac:dyDescent="0.25">
      <c r="A15" s="72">
        <v>15</v>
      </c>
      <c r="B15" s="236" t="s">
        <v>537</v>
      </c>
      <c r="C15" s="25"/>
      <c r="D15" s="236" t="s">
        <v>538</v>
      </c>
      <c r="E15" s="236" t="s">
        <v>94</v>
      </c>
      <c r="F15" s="238" t="s">
        <v>539</v>
      </c>
      <c r="G15" s="236" t="s">
        <v>540</v>
      </c>
      <c r="H15" s="233" t="s">
        <v>42</v>
      </c>
      <c r="I15" s="230">
        <v>40000</v>
      </c>
      <c r="J15" s="237" t="s">
        <v>77</v>
      </c>
      <c r="K15" s="236"/>
      <c r="L15" s="236" t="s">
        <v>44</v>
      </c>
      <c r="N15" s="67"/>
    </row>
    <row r="16" spans="1:14" ht="16.5" customHeight="1" x14ac:dyDescent="0.25">
      <c r="A16" s="72">
        <v>22</v>
      </c>
      <c r="B16" s="236" t="s">
        <v>607</v>
      </c>
      <c r="C16" s="25"/>
      <c r="D16" s="236" t="s">
        <v>233</v>
      </c>
      <c r="E16" s="236" t="s">
        <v>45</v>
      </c>
      <c r="F16" s="238"/>
      <c r="G16" s="236" t="s">
        <v>608</v>
      </c>
      <c r="H16" s="233" t="s">
        <v>42</v>
      </c>
      <c r="I16" s="230">
        <v>36000</v>
      </c>
      <c r="J16" s="237" t="s">
        <v>77</v>
      </c>
      <c r="K16" s="236"/>
      <c r="L16" s="236" t="s">
        <v>44</v>
      </c>
      <c r="N16" s="67"/>
    </row>
    <row r="17" spans="1:14" ht="16.5" customHeight="1" x14ac:dyDescent="0.25">
      <c r="A17" s="72">
        <v>23</v>
      </c>
      <c r="B17" s="236" t="s">
        <v>620</v>
      </c>
      <c r="C17" s="25"/>
      <c r="D17" s="236" t="s">
        <v>175</v>
      </c>
      <c r="E17" s="236" t="s">
        <v>63</v>
      </c>
      <c r="F17" s="238" t="s">
        <v>621</v>
      </c>
      <c r="G17" s="236" t="s">
        <v>247</v>
      </c>
      <c r="H17" s="233" t="s">
        <v>42</v>
      </c>
      <c r="I17" s="230">
        <v>47500</v>
      </c>
      <c r="J17" s="237" t="s">
        <v>77</v>
      </c>
      <c r="K17" s="236"/>
      <c r="L17" s="236" t="s">
        <v>44</v>
      </c>
      <c r="N17" s="67"/>
    </row>
    <row r="18" spans="1:14" ht="16.5" customHeight="1" x14ac:dyDescent="0.25">
      <c r="A18" s="72">
        <v>29</v>
      </c>
      <c r="B18" s="236" t="s">
        <v>635</v>
      </c>
      <c r="C18" s="25"/>
      <c r="D18" s="236"/>
      <c r="E18" s="236" t="s">
        <v>41</v>
      </c>
      <c r="F18" s="238" t="s">
        <v>340</v>
      </c>
      <c r="G18" s="236" t="s">
        <v>339</v>
      </c>
      <c r="H18" s="233" t="s">
        <v>42</v>
      </c>
      <c r="I18" s="230">
        <v>9070</v>
      </c>
      <c r="J18" s="237" t="s">
        <v>77</v>
      </c>
      <c r="K18" s="236"/>
      <c r="L18" s="236" t="s">
        <v>44</v>
      </c>
      <c r="N18" s="67"/>
    </row>
    <row r="19" spans="1:14" ht="16.5" customHeight="1" x14ac:dyDescent="0.25">
      <c r="A19" s="72">
        <v>30</v>
      </c>
      <c r="B19" s="236" t="s">
        <v>639</v>
      </c>
      <c r="C19" s="25"/>
      <c r="D19" s="236"/>
      <c r="E19" s="236"/>
      <c r="F19" s="238" t="s">
        <v>640</v>
      </c>
      <c r="G19" s="236" t="s">
        <v>421</v>
      </c>
      <c r="H19" s="233" t="s">
        <v>42</v>
      </c>
      <c r="I19" s="230">
        <v>50000</v>
      </c>
      <c r="J19" s="237" t="s">
        <v>77</v>
      </c>
      <c r="K19" s="236" t="s">
        <v>662</v>
      </c>
      <c r="L19" s="236" t="s">
        <v>44</v>
      </c>
      <c r="N19" s="67"/>
    </row>
    <row r="20" spans="1:14" x14ac:dyDescent="0.25">
      <c r="I20" s="30"/>
      <c r="J20" s="30"/>
      <c r="N20" s="67"/>
    </row>
    <row r="21" spans="1:14" x14ac:dyDescent="0.25">
      <c r="I21" s="59" t="s">
        <v>19</v>
      </c>
      <c r="J21" s="30"/>
    </row>
    <row r="22" spans="1:14" x14ac:dyDescent="0.25">
      <c r="I22" s="30" t="s">
        <v>136</v>
      </c>
      <c r="J22" s="30"/>
    </row>
    <row r="23" spans="1:14" x14ac:dyDescent="0.25">
      <c r="B23" t="s">
        <v>20</v>
      </c>
      <c r="E23" t="s">
        <v>21</v>
      </c>
      <c r="I23" s="30" t="s">
        <v>137</v>
      </c>
      <c r="J23" s="118" t="s">
        <v>661</v>
      </c>
    </row>
    <row r="24" spans="1:14" x14ac:dyDescent="0.25">
      <c r="I24" s="30"/>
      <c r="J24" s="118" t="s">
        <v>627</v>
      </c>
      <c r="K24" s="176" t="s">
        <v>288</v>
      </c>
    </row>
    <row r="25" spans="1:14" x14ac:dyDescent="0.25">
      <c r="I25" s="30" t="s">
        <v>138</v>
      </c>
      <c r="J25" s="115">
        <v>0</v>
      </c>
    </row>
    <row r="26" spans="1:14" x14ac:dyDescent="0.25">
      <c r="I26" s="30" t="s">
        <v>142</v>
      </c>
      <c r="J26" s="115">
        <v>0</v>
      </c>
    </row>
    <row r="27" spans="1:14" x14ac:dyDescent="0.25">
      <c r="B27" s="31" t="s">
        <v>98</v>
      </c>
      <c r="E27" s="443" t="s">
        <v>22</v>
      </c>
      <c r="F27" s="443"/>
      <c r="G27" s="443"/>
      <c r="H27" s="443"/>
      <c r="I27" s="30" t="s">
        <v>143</v>
      </c>
      <c r="J27" s="115">
        <v>0</v>
      </c>
      <c r="L27" s="67"/>
    </row>
    <row r="28" spans="1:14" x14ac:dyDescent="0.25">
      <c r="B28" t="s">
        <v>115</v>
      </c>
      <c r="E28" s="444" t="s">
        <v>163</v>
      </c>
      <c r="F28" s="444"/>
      <c r="G28" s="444"/>
      <c r="H28" s="444"/>
      <c r="I28" s="30" t="s">
        <v>144</v>
      </c>
      <c r="J28" s="115">
        <v>0</v>
      </c>
      <c r="L28" s="67"/>
    </row>
    <row r="29" spans="1:14" x14ac:dyDescent="0.25">
      <c r="I29" s="30" t="s">
        <v>23</v>
      </c>
      <c r="J29" s="117"/>
    </row>
    <row r="30" spans="1:14" x14ac:dyDescent="0.25">
      <c r="I30" s="4" t="s">
        <v>145</v>
      </c>
      <c r="J30" s="118"/>
    </row>
    <row r="31" spans="1:14" x14ac:dyDescent="0.25">
      <c r="I31" s="4" t="s">
        <v>108</v>
      </c>
      <c r="J31" s="118"/>
      <c r="L31" s="67">
        <f>SUM(I15:I19)</f>
        <v>182570</v>
      </c>
    </row>
  </sheetData>
  <mergeCells count="9">
    <mergeCell ref="A8:B8"/>
    <mergeCell ref="E27:H27"/>
    <mergeCell ref="E28:H2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Q243"/>
  <sheetViews>
    <sheetView view="pageBreakPreview" topLeftCell="A46" zoomScale="106" zoomScaleNormal="100" zoomScaleSheetLayoutView="106" workbookViewId="0">
      <selection activeCell="Q14" sqref="Q14"/>
    </sheetView>
  </sheetViews>
  <sheetFormatPr defaultRowHeight="15" x14ac:dyDescent="0.25"/>
  <cols>
    <col min="1" max="1" width="4.7109375" style="1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</cols>
  <sheetData>
    <row r="1" spans="1:17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7" ht="18" x14ac:dyDescent="0.25">
      <c r="A2" s="458" t="s">
        <v>426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7" x14ac:dyDescent="0.25">
      <c r="B3" s="2"/>
      <c r="C3" s="4"/>
      <c r="D3" s="2"/>
      <c r="E3" s="2"/>
      <c r="G3" s="4"/>
      <c r="H3" s="80"/>
      <c r="I3" s="100"/>
      <c r="J3" s="101" t="s">
        <v>169</v>
      </c>
      <c r="K3" s="102"/>
    </row>
    <row r="4" spans="1:17" x14ac:dyDescent="0.25">
      <c r="B4" s="2"/>
      <c r="C4" s="4"/>
      <c r="D4" s="2"/>
      <c r="E4" s="2"/>
      <c r="G4" s="4"/>
      <c r="H4" s="80"/>
      <c r="I4" s="103"/>
      <c r="J4" s="89" t="s">
        <v>111</v>
      </c>
      <c r="K4" s="114">
        <v>255</v>
      </c>
    </row>
    <row r="5" spans="1:17" x14ac:dyDescent="0.25">
      <c r="B5" s="2"/>
      <c r="C5" s="4"/>
      <c r="D5" s="2"/>
      <c r="E5" s="2"/>
      <c r="G5" s="4"/>
      <c r="H5" s="80"/>
      <c r="I5" s="103"/>
      <c r="J5" s="89" t="s">
        <v>114</v>
      </c>
      <c r="K5" s="114">
        <v>32</v>
      </c>
    </row>
    <row r="6" spans="1:17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170</v>
      </c>
      <c r="K6" s="104"/>
    </row>
    <row r="7" spans="1:17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</row>
    <row r="8" spans="1:17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7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</row>
    <row r="10" spans="1:17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7" x14ac:dyDescent="0.25">
      <c r="A11" s="51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7" x14ac:dyDescent="0.25">
      <c r="A12" s="98">
        <v>6</v>
      </c>
      <c r="B12" s="25" t="s">
        <v>310</v>
      </c>
      <c r="C12" s="25" t="s">
        <v>40</v>
      </c>
      <c r="D12" s="25" t="s">
        <v>178</v>
      </c>
      <c r="E12" s="25" t="s">
        <v>46</v>
      </c>
      <c r="F12" s="165"/>
      <c r="G12" s="58" t="s">
        <v>42</v>
      </c>
      <c r="H12" s="65">
        <v>10000</v>
      </c>
      <c r="I12" s="74">
        <v>2000</v>
      </c>
      <c r="J12" s="25" t="s">
        <v>43</v>
      </c>
      <c r="K12" s="25" t="s">
        <v>44</v>
      </c>
      <c r="M12">
        <f>H12/5</f>
        <v>2000</v>
      </c>
      <c r="Q12" s="29">
        <f>SUM(H12:H17)</f>
        <v>24000</v>
      </c>
    </row>
    <row r="13" spans="1:17" x14ac:dyDescent="0.25">
      <c r="A13" s="98">
        <v>6</v>
      </c>
      <c r="B13" s="25" t="s">
        <v>427</v>
      </c>
      <c r="C13" s="25" t="s">
        <v>50</v>
      </c>
      <c r="D13" s="25" t="s">
        <v>259</v>
      </c>
      <c r="E13" s="25" t="s">
        <v>69</v>
      </c>
      <c r="F13" s="165" t="s">
        <v>428</v>
      </c>
      <c r="G13" s="58" t="s">
        <v>42</v>
      </c>
      <c r="H13" s="65">
        <v>3000</v>
      </c>
      <c r="I13" s="74">
        <v>900</v>
      </c>
      <c r="J13" s="25" t="s">
        <v>43</v>
      </c>
      <c r="K13" s="25" t="s">
        <v>44</v>
      </c>
      <c r="M13">
        <f t="shared" ref="M13:M55" si="0">H13/5</f>
        <v>600</v>
      </c>
      <c r="Q13" s="29">
        <f>SUM(H19:H55)</f>
        <v>141100</v>
      </c>
    </row>
    <row r="14" spans="1:17" x14ac:dyDescent="0.25">
      <c r="A14" s="98">
        <v>6</v>
      </c>
      <c r="B14" s="25" t="s">
        <v>429</v>
      </c>
      <c r="C14" s="25" t="s">
        <v>40</v>
      </c>
      <c r="D14" s="25" t="s">
        <v>67</v>
      </c>
      <c r="E14" s="25" t="s">
        <v>61</v>
      </c>
      <c r="F14" s="165"/>
      <c r="G14" s="58" t="s">
        <v>42</v>
      </c>
      <c r="H14" s="65">
        <v>1000</v>
      </c>
      <c r="I14" s="74">
        <v>300</v>
      </c>
      <c r="J14" s="25" t="s">
        <v>43</v>
      </c>
      <c r="K14" s="25" t="s">
        <v>44</v>
      </c>
      <c r="M14">
        <f t="shared" si="0"/>
        <v>200</v>
      </c>
      <c r="Q14" s="29">
        <f>SUM(Q12:Q13)</f>
        <v>165100</v>
      </c>
    </row>
    <row r="15" spans="1:17" x14ac:dyDescent="0.25">
      <c r="A15" s="98">
        <v>6</v>
      </c>
      <c r="B15" s="25" t="s">
        <v>430</v>
      </c>
      <c r="C15" s="25" t="s">
        <v>50</v>
      </c>
      <c r="D15" s="25" t="s">
        <v>216</v>
      </c>
      <c r="E15" s="25" t="s">
        <v>45</v>
      </c>
      <c r="F15" s="165" t="s">
        <v>431</v>
      </c>
      <c r="G15" s="58" t="s">
        <v>42</v>
      </c>
      <c r="H15" s="65">
        <v>3000</v>
      </c>
      <c r="I15" s="74">
        <v>900</v>
      </c>
      <c r="J15" s="25" t="s">
        <v>43</v>
      </c>
      <c r="K15" s="25" t="s">
        <v>44</v>
      </c>
      <c r="M15">
        <f t="shared" si="0"/>
        <v>600</v>
      </c>
    </row>
    <row r="16" spans="1:17" x14ac:dyDescent="0.25">
      <c r="A16" s="98">
        <v>6</v>
      </c>
      <c r="B16" s="25" t="s">
        <v>432</v>
      </c>
      <c r="C16" s="25" t="s">
        <v>40</v>
      </c>
      <c r="D16" s="25" t="s">
        <v>248</v>
      </c>
      <c r="E16" s="25" t="s">
        <v>45</v>
      </c>
      <c r="F16" s="165" t="s">
        <v>433</v>
      </c>
      <c r="G16" s="58" t="s">
        <v>42</v>
      </c>
      <c r="H16" s="65">
        <v>1000</v>
      </c>
      <c r="I16" s="74">
        <v>200</v>
      </c>
      <c r="J16" s="25" t="s">
        <v>43</v>
      </c>
      <c r="K16" s="25" t="s">
        <v>44</v>
      </c>
      <c r="M16">
        <f t="shared" si="0"/>
        <v>200</v>
      </c>
    </row>
    <row r="17" spans="1:13" x14ac:dyDescent="0.25">
      <c r="A17" s="98">
        <v>6</v>
      </c>
      <c r="B17" s="25" t="s">
        <v>191</v>
      </c>
      <c r="C17" s="25" t="s">
        <v>40</v>
      </c>
      <c r="D17" s="25" t="s">
        <v>192</v>
      </c>
      <c r="E17" s="25" t="s">
        <v>53</v>
      </c>
      <c r="F17" s="165" t="s">
        <v>397</v>
      </c>
      <c r="G17" s="58" t="s">
        <v>42</v>
      </c>
      <c r="H17" s="65">
        <v>6000</v>
      </c>
      <c r="I17" s="74">
        <v>1200</v>
      </c>
      <c r="J17" s="25" t="s">
        <v>43</v>
      </c>
      <c r="K17" s="25" t="s">
        <v>44</v>
      </c>
      <c r="M17">
        <f t="shared" si="0"/>
        <v>1200</v>
      </c>
    </row>
    <row r="18" spans="1:13" x14ac:dyDescent="0.25">
      <c r="A18" s="98">
        <v>7</v>
      </c>
      <c r="B18" s="25" t="s">
        <v>387</v>
      </c>
      <c r="C18" s="25" t="s">
        <v>50</v>
      </c>
      <c r="D18" s="25" t="s">
        <v>180</v>
      </c>
      <c r="E18" s="25" t="s">
        <v>47</v>
      </c>
      <c r="F18" s="165" t="s">
        <v>388</v>
      </c>
      <c r="G18" s="208" t="s">
        <v>113</v>
      </c>
      <c r="H18" s="209">
        <v>1000</v>
      </c>
      <c r="I18" s="210" t="s">
        <v>77</v>
      </c>
      <c r="J18" s="25" t="s">
        <v>43</v>
      </c>
      <c r="K18" s="25" t="s">
        <v>44</v>
      </c>
      <c r="M18">
        <f t="shared" si="0"/>
        <v>200</v>
      </c>
    </row>
    <row r="19" spans="1:13" x14ac:dyDescent="0.25">
      <c r="A19" s="98">
        <v>7</v>
      </c>
      <c r="B19" s="25" t="s">
        <v>434</v>
      </c>
      <c r="C19" s="25" t="s">
        <v>40</v>
      </c>
      <c r="D19" s="25" t="s">
        <v>435</v>
      </c>
      <c r="E19" s="25" t="s">
        <v>61</v>
      </c>
      <c r="F19" s="165" t="s">
        <v>384</v>
      </c>
      <c r="G19" s="58" t="s">
        <v>42</v>
      </c>
      <c r="H19" s="65">
        <v>4000</v>
      </c>
      <c r="I19" s="74">
        <v>800</v>
      </c>
      <c r="J19" s="25" t="s">
        <v>43</v>
      </c>
      <c r="K19" s="25" t="s">
        <v>44</v>
      </c>
      <c r="M19">
        <f t="shared" si="0"/>
        <v>800</v>
      </c>
    </row>
    <row r="20" spans="1:13" x14ac:dyDescent="0.25">
      <c r="A20" s="98">
        <v>7</v>
      </c>
      <c r="B20" s="25" t="s">
        <v>307</v>
      </c>
      <c r="C20" s="25" t="s">
        <v>40</v>
      </c>
      <c r="D20" s="25" t="s">
        <v>178</v>
      </c>
      <c r="E20" s="25" t="s">
        <v>46</v>
      </c>
      <c r="F20" s="165"/>
      <c r="G20" s="58" t="s">
        <v>42</v>
      </c>
      <c r="H20" s="65">
        <v>24000</v>
      </c>
      <c r="I20" s="74">
        <v>4800</v>
      </c>
      <c r="J20" s="25" t="s">
        <v>43</v>
      </c>
      <c r="K20" s="25" t="s">
        <v>44</v>
      </c>
      <c r="M20">
        <f t="shared" si="0"/>
        <v>4800</v>
      </c>
    </row>
    <row r="21" spans="1:13" x14ac:dyDescent="0.25">
      <c r="A21" s="98">
        <v>7</v>
      </c>
      <c r="B21" s="25" t="s">
        <v>304</v>
      </c>
      <c r="C21" s="25" t="s">
        <v>50</v>
      </c>
      <c r="D21" s="25" t="s">
        <v>178</v>
      </c>
      <c r="E21" s="25" t="s">
        <v>46</v>
      </c>
      <c r="F21" s="25"/>
      <c r="G21" s="58" t="s">
        <v>42</v>
      </c>
      <c r="H21" s="65">
        <v>13000</v>
      </c>
      <c r="I21" s="74">
        <v>2600</v>
      </c>
      <c r="J21" s="25" t="s">
        <v>43</v>
      </c>
      <c r="K21" s="25" t="s">
        <v>44</v>
      </c>
      <c r="M21">
        <f t="shared" si="0"/>
        <v>2600</v>
      </c>
    </row>
    <row r="22" spans="1:13" x14ac:dyDescent="0.25">
      <c r="A22" s="98">
        <v>8</v>
      </c>
      <c r="B22" s="25" t="s">
        <v>319</v>
      </c>
      <c r="C22" s="25" t="s">
        <v>40</v>
      </c>
      <c r="D22" s="25" t="s">
        <v>175</v>
      </c>
      <c r="E22" s="25" t="s">
        <v>61</v>
      </c>
      <c r="F22" s="165"/>
      <c r="G22" s="58" t="s">
        <v>42</v>
      </c>
      <c r="H22" s="65">
        <v>22000</v>
      </c>
      <c r="I22" s="74">
        <v>4400</v>
      </c>
      <c r="J22" s="25" t="s">
        <v>43</v>
      </c>
      <c r="K22" s="25" t="s">
        <v>44</v>
      </c>
      <c r="M22">
        <f t="shared" si="0"/>
        <v>4400</v>
      </c>
    </row>
    <row r="23" spans="1:13" x14ac:dyDescent="0.25">
      <c r="A23" s="98">
        <v>8</v>
      </c>
      <c r="B23" s="25" t="s">
        <v>436</v>
      </c>
      <c r="C23" s="25" t="s">
        <v>40</v>
      </c>
      <c r="D23" s="25" t="s">
        <v>259</v>
      </c>
      <c r="E23" s="25" t="s">
        <v>69</v>
      </c>
      <c r="F23" s="165" t="s">
        <v>437</v>
      </c>
      <c r="G23" s="58" t="s">
        <v>42</v>
      </c>
      <c r="H23" s="65">
        <v>2000</v>
      </c>
      <c r="I23" s="74">
        <v>400</v>
      </c>
      <c r="J23" s="25" t="s">
        <v>43</v>
      </c>
      <c r="K23" s="25" t="s">
        <v>44</v>
      </c>
      <c r="M23">
        <f t="shared" si="0"/>
        <v>400</v>
      </c>
    </row>
    <row r="24" spans="1:13" x14ac:dyDescent="0.25">
      <c r="A24" s="98">
        <v>8</v>
      </c>
      <c r="B24" s="25" t="s">
        <v>438</v>
      </c>
      <c r="C24" s="25" t="s">
        <v>40</v>
      </c>
      <c r="D24" s="25" t="s">
        <v>259</v>
      </c>
      <c r="E24" s="25" t="s">
        <v>69</v>
      </c>
      <c r="F24" s="165" t="s">
        <v>377</v>
      </c>
      <c r="G24" s="58" t="s">
        <v>42</v>
      </c>
      <c r="H24" s="65">
        <v>2000</v>
      </c>
      <c r="I24" s="74">
        <v>400</v>
      </c>
      <c r="J24" s="25" t="s">
        <v>43</v>
      </c>
      <c r="K24" s="25" t="s">
        <v>44</v>
      </c>
      <c r="M24">
        <f t="shared" si="0"/>
        <v>400</v>
      </c>
    </row>
    <row r="25" spans="1:13" x14ac:dyDescent="0.25">
      <c r="A25" s="98">
        <v>9</v>
      </c>
      <c r="B25" s="25" t="s">
        <v>439</v>
      </c>
      <c r="C25" s="25" t="s">
        <v>40</v>
      </c>
      <c r="D25" s="25" t="s">
        <v>440</v>
      </c>
      <c r="E25" s="25" t="s">
        <v>110</v>
      </c>
      <c r="F25" s="165" t="s">
        <v>441</v>
      </c>
      <c r="G25" s="58" t="s">
        <v>42</v>
      </c>
      <c r="H25" s="65">
        <v>500</v>
      </c>
      <c r="I25" s="74">
        <v>100</v>
      </c>
      <c r="J25" s="25" t="s">
        <v>43</v>
      </c>
      <c r="K25" s="25" t="s">
        <v>44</v>
      </c>
      <c r="M25">
        <f t="shared" si="0"/>
        <v>100</v>
      </c>
    </row>
    <row r="26" spans="1:13" x14ac:dyDescent="0.25">
      <c r="A26" s="98">
        <v>9</v>
      </c>
      <c r="B26" s="25" t="s">
        <v>442</v>
      </c>
      <c r="C26" s="25" t="s">
        <v>40</v>
      </c>
      <c r="D26" s="25" t="s">
        <v>175</v>
      </c>
      <c r="E26" s="25" t="s">
        <v>45</v>
      </c>
      <c r="F26" s="165"/>
      <c r="G26" s="58" t="s">
        <v>42</v>
      </c>
      <c r="H26" s="65">
        <v>1000</v>
      </c>
      <c r="I26" s="74">
        <v>200</v>
      </c>
      <c r="J26" s="25" t="s">
        <v>43</v>
      </c>
      <c r="K26" s="25" t="s">
        <v>44</v>
      </c>
      <c r="M26">
        <f t="shared" si="0"/>
        <v>200</v>
      </c>
    </row>
    <row r="27" spans="1:13" x14ac:dyDescent="0.25">
      <c r="A27" s="98">
        <v>9</v>
      </c>
      <c r="B27" s="25" t="s">
        <v>443</v>
      </c>
      <c r="C27" s="25" t="s">
        <v>40</v>
      </c>
      <c r="D27" s="25" t="s">
        <v>259</v>
      </c>
      <c r="E27" s="25" t="s">
        <v>69</v>
      </c>
      <c r="F27" s="165" t="s">
        <v>444</v>
      </c>
      <c r="G27" s="58" t="s">
        <v>42</v>
      </c>
      <c r="H27" s="65">
        <v>1000</v>
      </c>
      <c r="I27" s="74">
        <v>200</v>
      </c>
      <c r="J27" s="25" t="s">
        <v>43</v>
      </c>
      <c r="K27" s="25" t="s">
        <v>44</v>
      </c>
      <c r="M27">
        <f t="shared" si="0"/>
        <v>200</v>
      </c>
    </row>
    <row r="28" spans="1:13" x14ac:dyDescent="0.25">
      <c r="A28" s="211">
        <v>9</v>
      </c>
      <c r="B28" s="25" t="s">
        <v>364</v>
      </c>
      <c r="C28" s="25" t="s">
        <v>40</v>
      </c>
      <c r="D28" s="25" t="s">
        <v>237</v>
      </c>
      <c r="E28" s="25" t="s">
        <v>61</v>
      </c>
      <c r="F28" s="165" t="s">
        <v>365</v>
      </c>
      <c r="G28" s="58" t="s">
        <v>42</v>
      </c>
      <c r="H28" s="65">
        <v>500</v>
      </c>
      <c r="I28" s="74">
        <v>150</v>
      </c>
      <c r="J28" s="25" t="s">
        <v>43</v>
      </c>
      <c r="K28" s="25" t="s">
        <v>44</v>
      </c>
      <c r="M28">
        <f t="shared" si="0"/>
        <v>100</v>
      </c>
    </row>
    <row r="29" spans="1:13" x14ac:dyDescent="0.25">
      <c r="A29" s="98">
        <v>16</v>
      </c>
      <c r="B29" s="25" t="s">
        <v>446</v>
      </c>
      <c r="C29" s="25" t="s">
        <v>40</v>
      </c>
      <c r="D29" s="25" t="s">
        <v>269</v>
      </c>
      <c r="E29" s="25" t="s">
        <v>45</v>
      </c>
      <c r="F29" s="165"/>
      <c r="G29" s="178" t="s">
        <v>42</v>
      </c>
      <c r="H29" s="179">
        <v>5000</v>
      </c>
      <c r="I29" s="180">
        <v>1000</v>
      </c>
      <c r="J29" s="25" t="s">
        <v>43</v>
      </c>
      <c r="K29" s="25" t="s">
        <v>44</v>
      </c>
      <c r="M29">
        <f t="shared" si="0"/>
        <v>1000</v>
      </c>
    </row>
    <row r="30" spans="1:13" x14ac:dyDescent="0.25">
      <c r="A30" s="98">
        <v>16</v>
      </c>
      <c r="B30" s="25" t="s">
        <v>261</v>
      </c>
      <c r="C30" s="25" t="s">
        <v>40</v>
      </c>
      <c r="D30" s="25" t="s">
        <v>447</v>
      </c>
      <c r="E30" s="25" t="s">
        <v>45</v>
      </c>
      <c r="F30" s="25"/>
      <c r="G30" s="178" t="s">
        <v>42</v>
      </c>
      <c r="H30" s="179">
        <v>1500</v>
      </c>
      <c r="I30" s="180">
        <v>300</v>
      </c>
      <c r="J30" s="25" t="s">
        <v>43</v>
      </c>
      <c r="K30" s="25" t="s">
        <v>44</v>
      </c>
      <c r="M30">
        <f t="shared" si="0"/>
        <v>300</v>
      </c>
    </row>
    <row r="31" spans="1:13" x14ac:dyDescent="0.25">
      <c r="A31" s="98">
        <v>16</v>
      </c>
      <c r="B31" s="25" t="s">
        <v>261</v>
      </c>
      <c r="C31" s="25" t="s">
        <v>40</v>
      </c>
      <c r="D31" s="25" t="s">
        <v>447</v>
      </c>
      <c r="E31" s="25" t="s">
        <v>45</v>
      </c>
      <c r="F31" s="25"/>
      <c r="G31" s="178" t="s">
        <v>42</v>
      </c>
      <c r="H31" s="179">
        <v>400</v>
      </c>
      <c r="I31" s="180" t="s">
        <v>77</v>
      </c>
      <c r="J31" s="25" t="s">
        <v>43</v>
      </c>
      <c r="K31" s="25" t="s">
        <v>44</v>
      </c>
      <c r="M31">
        <f t="shared" si="0"/>
        <v>80</v>
      </c>
    </row>
    <row r="32" spans="1:13" x14ac:dyDescent="0.25">
      <c r="A32" s="98">
        <v>16</v>
      </c>
      <c r="B32" s="25" t="s">
        <v>386</v>
      </c>
      <c r="C32" s="25" t="s">
        <v>40</v>
      </c>
      <c r="D32" s="25" t="s">
        <v>286</v>
      </c>
      <c r="E32" s="25" t="s">
        <v>45</v>
      </c>
      <c r="F32" s="165" t="s">
        <v>449</v>
      </c>
      <c r="G32" s="178" t="s">
        <v>42</v>
      </c>
      <c r="H32" s="179">
        <v>1500</v>
      </c>
      <c r="I32" s="180">
        <v>300</v>
      </c>
      <c r="J32" s="25" t="s">
        <v>43</v>
      </c>
      <c r="K32" s="25" t="s">
        <v>44</v>
      </c>
      <c r="M32">
        <f t="shared" si="0"/>
        <v>300</v>
      </c>
    </row>
    <row r="33" spans="1:16" x14ac:dyDescent="0.25">
      <c r="A33" s="98">
        <v>16</v>
      </c>
      <c r="B33" s="25" t="s">
        <v>448</v>
      </c>
      <c r="C33" s="25" t="s">
        <v>40</v>
      </c>
      <c r="D33" s="25" t="s">
        <v>286</v>
      </c>
      <c r="E33" s="25" t="s">
        <v>45</v>
      </c>
      <c r="F33" s="165" t="s">
        <v>331</v>
      </c>
      <c r="G33" s="178" t="s">
        <v>42</v>
      </c>
      <c r="H33" s="179">
        <v>8000</v>
      </c>
      <c r="I33" s="180">
        <v>1600</v>
      </c>
      <c r="J33" s="25" t="s">
        <v>43</v>
      </c>
      <c r="K33" s="25" t="s">
        <v>44</v>
      </c>
      <c r="M33">
        <f t="shared" si="0"/>
        <v>1600</v>
      </c>
    </row>
    <row r="34" spans="1:16" x14ac:dyDescent="0.25">
      <c r="A34" s="98">
        <v>16</v>
      </c>
      <c r="B34" s="25" t="s">
        <v>450</v>
      </c>
      <c r="C34" s="25" t="s">
        <v>40</v>
      </c>
      <c r="D34" s="25" t="s">
        <v>59</v>
      </c>
      <c r="E34" s="25" t="s">
        <v>92</v>
      </c>
      <c r="F34" s="165"/>
      <c r="G34" s="178" t="s">
        <v>42</v>
      </c>
      <c r="H34" s="179">
        <v>2000</v>
      </c>
      <c r="I34" s="180">
        <v>400</v>
      </c>
      <c r="J34" s="25" t="s">
        <v>43</v>
      </c>
      <c r="K34" s="25" t="s">
        <v>44</v>
      </c>
      <c r="M34">
        <f t="shared" si="0"/>
        <v>400</v>
      </c>
    </row>
    <row r="35" spans="1:16" x14ac:dyDescent="0.25">
      <c r="A35" s="98">
        <v>16</v>
      </c>
      <c r="B35" s="25" t="s">
        <v>451</v>
      </c>
      <c r="C35" s="25" t="s">
        <v>40</v>
      </c>
      <c r="D35" s="25" t="s">
        <v>257</v>
      </c>
      <c r="E35" s="25" t="s">
        <v>64</v>
      </c>
      <c r="F35" s="165"/>
      <c r="G35" s="212" t="s">
        <v>42</v>
      </c>
      <c r="H35" s="213">
        <v>500</v>
      </c>
      <c r="I35" s="214">
        <v>100</v>
      </c>
      <c r="J35" s="25" t="s">
        <v>43</v>
      </c>
      <c r="K35" s="25" t="s">
        <v>44</v>
      </c>
      <c r="M35">
        <f t="shared" si="0"/>
        <v>100</v>
      </c>
    </row>
    <row r="36" spans="1:16" x14ac:dyDescent="0.25">
      <c r="A36" s="98">
        <v>16</v>
      </c>
      <c r="B36" s="25" t="s">
        <v>402</v>
      </c>
      <c r="C36" s="25" t="s">
        <v>50</v>
      </c>
      <c r="D36" s="25" t="s">
        <v>405</v>
      </c>
      <c r="E36" s="25" t="s">
        <v>46</v>
      </c>
      <c r="F36" s="165" t="s">
        <v>371</v>
      </c>
      <c r="G36" s="212" t="s">
        <v>42</v>
      </c>
      <c r="H36" s="213">
        <v>5000</v>
      </c>
      <c r="I36" s="214">
        <v>1000</v>
      </c>
      <c r="J36" s="25" t="s">
        <v>43</v>
      </c>
      <c r="K36" s="25" t="s">
        <v>44</v>
      </c>
      <c r="M36">
        <f t="shared" si="0"/>
        <v>1000</v>
      </c>
    </row>
    <row r="37" spans="1:16" x14ac:dyDescent="0.25">
      <c r="A37" s="98">
        <v>16</v>
      </c>
      <c r="B37" s="25" t="s">
        <v>380</v>
      </c>
      <c r="C37" s="25" t="s">
        <v>40</v>
      </c>
      <c r="D37" s="25" t="s">
        <v>405</v>
      </c>
      <c r="E37" s="25" t="s">
        <v>46</v>
      </c>
      <c r="F37" s="165" t="s">
        <v>452</v>
      </c>
      <c r="G37" s="212" t="s">
        <v>42</v>
      </c>
      <c r="H37" s="213">
        <v>2500</v>
      </c>
      <c r="I37" s="214">
        <v>500</v>
      </c>
      <c r="J37" s="25" t="s">
        <v>43</v>
      </c>
      <c r="K37" s="25" t="s">
        <v>44</v>
      </c>
      <c r="M37">
        <f t="shared" si="0"/>
        <v>500</v>
      </c>
      <c r="P37" s="29">
        <f>SUM(H31,H39,H54)</f>
        <v>1600</v>
      </c>
    </row>
    <row r="38" spans="1:16" x14ac:dyDescent="0.25">
      <c r="A38" s="98">
        <v>17</v>
      </c>
      <c r="B38" s="25" t="s">
        <v>319</v>
      </c>
      <c r="C38" s="25" t="s">
        <v>40</v>
      </c>
      <c r="D38" s="25" t="s">
        <v>175</v>
      </c>
      <c r="E38" s="25" t="s">
        <v>61</v>
      </c>
      <c r="F38" s="165"/>
      <c r="G38" s="212" t="s">
        <v>42</v>
      </c>
      <c r="H38" s="213">
        <v>1000</v>
      </c>
      <c r="I38" s="214">
        <v>200</v>
      </c>
      <c r="J38" s="25" t="s">
        <v>43</v>
      </c>
      <c r="K38" s="25" t="s">
        <v>44</v>
      </c>
      <c r="M38">
        <f t="shared" si="0"/>
        <v>200</v>
      </c>
      <c r="P38" s="29">
        <f>SUM(H29:H30,H32:H38,H40:H53,H55)</f>
        <v>69500</v>
      </c>
    </row>
    <row r="39" spans="1:16" x14ac:dyDescent="0.25">
      <c r="A39" s="98">
        <v>17</v>
      </c>
      <c r="B39" s="25" t="s">
        <v>453</v>
      </c>
      <c r="C39" s="25" t="s">
        <v>40</v>
      </c>
      <c r="D39" s="25" t="s">
        <v>173</v>
      </c>
      <c r="E39" s="25" t="s">
        <v>46</v>
      </c>
      <c r="F39" s="25"/>
      <c r="G39" s="212" t="s">
        <v>42</v>
      </c>
      <c r="H39" s="213">
        <v>1000</v>
      </c>
      <c r="I39" s="214" t="s">
        <v>77</v>
      </c>
      <c r="J39" s="25" t="s">
        <v>43</v>
      </c>
      <c r="K39" s="25" t="s">
        <v>44</v>
      </c>
      <c r="M39">
        <f t="shared" si="0"/>
        <v>200</v>
      </c>
      <c r="P39" s="29">
        <f>SUM(P37:P38)</f>
        <v>71100</v>
      </c>
    </row>
    <row r="40" spans="1:16" x14ac:dyDescent="0.25">
      <c r="A40" s="98">
        <v>18</v>
      </c>
      <c r="B40" s="25" t="s">
        <v>454</v>
      </c>
      <c r="C40" s="25" t="s">
        <v>40</v>
      </c>
      <c r="D40" s="25" t="s">
        <v>175</v>
      </c>
      <c r="E40" s="25" t="s">
        <v>48</v>
      </c>
      <c r="F40" s="165" t="s">
        <v>455</v>
      </c>
      <c r="G40" s="212" t="s">
        <v>42</v>
      </c>
      <c r="H40" s="213">
        <v>1600</v>
      </c>
      <c r="I40" s="214">
        <v>320</v>
      </c>
      <c r="J40" s="25" t="s">
        <v>43</v>
      </c>
      <c r="K40" s="25" t="s">
        <v>44</v>
      </c>
      <c r="M40">
        <f t="shared" si="0"/>
        <v>320</v>
      </c>
      <c r="P40">
        <f>P39*0.2</f>
        <v>14220</v>
      </c>
    </row>
    <row r="41" spans="1:16" x14ac:dyDescent="0.25">
      <c r="A41" s="98">
        <v>18</v>
      </c>
      <c r="B41" s="25" t="s">
        <v>375</v>
      </c>
      <c r="C41" s="25" t="s">
        <v>50</v>
      </c>
      <c r="D41" s="25" t="s">
        <v>372</v>
      </c>
      <c r="E41" s="25" t="s">
        <v>94</v>
      </c>
      <c r="F41" s="165" t="s">
        <v>376</v>
      </c>
      <c r="G41" s="212" t="s">
        <v>42</v>
      </c>
      <c r="H41" s="213">
        <v>1000</v>
      </c>
      <c r="I41" s="214">
        <v>200</v>
      </c>
      <c r="J41" s="25" t="s">
        <v>43</v>
      </c>
      <c r="K41" s="25" t="s">
        <v>44</v>
      </c>
      <c r="M41">
        <f t="shared" si="0"/>
        <v>200</v>
      </c>
      <c r="P41" s="29">
        <f>SUM(P39:P40)</f>
        <v>85320</v>
      </c>
    </row>
    <row r="42" spans="1:16" x14ac:dyDescent="0.25">
      <c r="A42" s="98">
        <v>18</v>
      </c>
      <c r="B42" s="25" t="s">
        <v>456</v>
      </c>
      <c r="C42" s="25" t="s">
        <v>40</v>
      </c>
      <c r="D42" s="25" t="s">
        <v>175</v>
      </c>
      <c r="E42" s="25" t="s">
        <v>99</v>
      </c>
      <c r="F42" s="165" t="s">
        <v>457</v>
      </c>
      <c r="G42" s="212" t="s">
        <v>42</v>
      </c>
      <c r="H42" s="213">
        <v>1000</v>
      </c>
      <c r="I42" s="214">
        <v>200</v>
      </c>
      <c r="J42" s="25" t="s">
        <v>43</v>
      </c>
      <c r="K42" s="25" t="s">
        <v>44</v>
      </c>
      <c r="M42">
        <f t="shared" si="0"/>
        <v>200</v>
      </c>
    </row>
    <row r="43" spans="1:16" x14ac:dyDescent="0.25">
      <c r="A43" s="98">
        <v>18</v>
      </c>
      <c r="B43" s="25" t="s">
        <v>458</v>
      </c>
      <c r="C43" s="25" t="s">
        <v>40</v>
      </c>
      <c r="D43" s="25" t="s">
        <v>189</v>
      </c>
      <c r="E43" s="25" t="s">
        <v>46</v>
      </c>
      <c r="F43" s="165" t="s">
        <v>459</v>
      </c>
      <c r="G43" s="212" t="s">
        <v>42</v>
      </c>
      <c r="H43" s="213">
        <v>2000</v>
      </c>
      <c r="I43" s="214">
        <v>400</v>
      </c>
      <c r="J43" s="25" t="s">
        <v>43</v>
      </c>
      <c r="K43" s="25" t="s">
        <v>44</v>
      </c>
      <c r="M43">
        <f t="shared" si="0"/>
        <v>400</v>
      </c>
    </row>
    <row r="44" spans="1:16" x14ac:dyDescent="0.25">
      <c r="A44" s="98">
        <v>18</v>
      </c>
      <c r="B44" s="25" t="s">
        <v>272</v>
      </c>
      <c r="C44" s="25" t="s">
        <v>40</v>
      </c>
      <c r="D44" s="25" t="s">
        <v>273</v>
      </c>
      <c r="E44" s="25" t="s">
        <v>69</v>
      </c>
      <c r="F44" s="165" t="s">
        <v>460</v>
      </c>
      <c r="G44" s="212" t="s">
        <v>42</v>
      </c>
      <c r="H44" s="213">
        <v>1500</v>
      </c>
      <c r="I44" s="214">
        <v>300</v>
      </c>
      <c r="J44" s="25" t="s">
        <v>43</v>
      </c>
      <c r="K44" s="25" t="s">
        <v>44</v>
      </c>
      <c r="M44">
        <f t="shared" si="0"/>
        <v>300</v>
      </c>
    </row>
    <row r="45" spans="1:16" x14ac:dyDescent="0.25">
      <c r="A45" s="98">
        <v>18</v>
      </c>
      <c r="B45" s="25" t="s">
        <v>461</v>
      </c>
      <c r="C45" s="25" t="s">
        <v>40</v>
      </c>
      <c r="D45" s="25" t="s">
        <v>276</v>
      </c>
      <c r="E45" s="25" t="s">
        <v>82</v>
      </c>
      <c r="F45" s="165" t="s">
        <v>462</v>
      </c>
      <c r="G45" s="212" t="s">
        <v>42</v>
      </c>
      <c r="H45" s="213">
        <v>1500</v>
      </c>
      <c r="I45" s="214">
        <v>300</v>
      </c>
      <c r="J45" s="25" t="s">
        <v>43</v>
      </c>
      <c r="K45" s="25" t="s">
        <v>44</v>
      </c>
      <c r="M45">
        <f t="shared" si="0"/>
        <v>300</v>
      </c>
    </row>
    <row r="46" spans="1:16" x14ac:dyDescent="0.25">
      <c r="A46" s="98">
        <v>18</v>
      </c>
      <c r="B46" s="25" t="s">
        <v>463</v>
      </c>
      <c r="C46" s="25" t="s">
        <v>40</v>
      </c>
      <c r="D46" s="25" t="s">
        <v>321</v>
      </c>
      <c r="E46" s="25" t="s">
        <v>55</v>
      </c>
      <c r="F46" s="25"/>
      <c r="G46" s="212" t="s">
        <v>42</v>
      </c>
      <c r="H46" s="213">
        <v>200</v>
      </c>
      <c r="I46" s="214">
        <v>40</v>
      </c>
      <c r="J46" s="25" t="s">
        <v>43</v>
      </c>
      <c r="K46" s="25" t="s">
        <v>44</v>
      </c>
      <c r="M46">
        <f t="shared" si="0"/>
        <v>40</v>
      </c>
    </row>
    <row r="47" spans="1:16" x14ac:dyDescent="0.25">
      <c r="A47" s="98">
        <v>18</v>
      </c>
      <c r="B47" s="25" t="s">
        <v>464</v>
      </c>
      <c r="C47" s="25" t="s">
        <v>40</v>
      </c>
      <c r="D47" s="25" t="s">
        <v>295</v>
      </c>
      <c r="E47" s="25" t="s">
        <v>61</v>
      </c>
      <c r="F47" s="165" t="s">
        <v>465</v>
      </c>
      <c r="G47" s="212" t="s">
        <v>42</v>
      </c>
      <c r="H47" s="213">
        <v>500</v>
      </c>
      <c r="I47" s="214">
        <v>100</v>
      </c>
      <c r="J47" s="25" t="s">
        <v>43</v>
      </c>
      <c r="K47" s="25" t="s">
        <v>44</v>
      </c>
      <c r="M47">
        <f t="shared" si="0"/>
        <v>100</v>
      </c>
    </row>
    <row r="48" spans="1:16" x14ac:dyDescent="0.25">
      <c r="A48" s="98">
        <v>18</v>
      </c>
      <c r="B48" s="25" t="s">
        <v>466</v>
      </c>
      <c r="C48" s="25" t="s">
        <v>40</v>
      </c>
      <c r="D48" s="25" t="s">
        <v>206</v>
      </c>
      <c r="E48" s="25" t="s">
        <v>63</v>
      </c>
      <c r="F48" s="165" t="s">
        <v>467</v>
      </c>
      <c r="G48" s="212" t="s">
        <v>42</v>
      </c>
      <c r="H48" s="213">
        <v>300</v>
      </c>
      <c r="I48" s="214">
        <v>60</v>
      </c>
      <c r="J48" s="25" t="s">
        <v>43</v>
      </c>
      <c r="K48" s="25" t="s">
        <v>44</v>
      </c>
      <c r="M48">
        <f t="shared" si="0"/>
        <v>60</v>
      </c>
    </row>
    <row r="49" spans="1:13" x14ac:dyDescent="0.25">
      <c r="A49" s="98">
        <v>21</v>
      </c>
      <c r="B49" s="25" t="s">
        <v>468</v>
      </c>
      <c r="C49" s="25" t="s">
        <v>50</v>
      </c>
      <c r="D49" s="25" t="s">
        <v>181</v>
      </c>
      <c r="E49" s="25" t="s">
        <v>53</v>
      </c>
      <c r="F49" s="165" t="s">
        <v>469</v>
      </c>
      <c r="G49" s="212" t="s">
        <v>42</v>
      </c>
      <c r="H49" s="213">
        <v>300</v>
      </c>
      <c r="I49" s="214">
        <v>60</v>
      </c>
      <c r="J49" s="25" t="s">
        <v>43</v>
      </c>
      <c r="K49" s="25" t="s">
        <v>44</v>
      </c>
      <c r="M49">
        <f t="shared" si="0"/>
        <v>60</v>
      </c>
    </row>
    <row r="50" spans="1:13" x14ac:dyDescent="0.25">
      <c r="A50" s="98">
        <v>21</v>
      </c>
      <c r="B50" s="25" t="s">
        <v>188</v>
      </c>
      <c r="C50" s="25" t="s">
        <v>50</v>
      </c>
      <c r="D50" s="25" t="s">
        <v>178</v>
      </c>
      <c r="E50" s="25" t="s">
        <v>46</v>
      </c>
      <c r="F50" s="25"/>
      <c r="G50" s="212" t="s">
        <v>42</v>
      </c>
      <c r="H50" s="213">
        <v>25000</v>
      </c>
      <c r="I50" s="214">
        <v>5000</v>
      </c>
      <c r="J50" s="25" t="s">
        <v>43</v>
      </c>
      <c r="K50" s="25" t="s">
        <v>44</v>
      </c>
      <c r="M50">
        <f t="shared" si="0"/>
        <v>5000</v>
      </c>
    </row>
    <row r="51" spans="1:13" x14ac:dyDescent="0.25">
      <c r="A51" s="98">
        <v>22</v>
      </c>
      <c r="B51" s="25" t="s">
        <v>319</v>
      </c>
      <c r="C51" s="25" t="s">
        <v>40</v>
      </c>
      <c r="D51" s="25" t="s">
        <v>175</v>
      </c>
      <c r="E51" s="25" t="s">
        <v>61</v>
      </c>
      <c r="F51" s="165"/>
      <c r="G51" s="212" t="s">
        <v>42</v>
      </c>
      <c r="H51" s="213">
        <v>500</v>
      </c>
      <c r="I51" s="214">
        <v>100</v>
      </c>
      <c r="J51" s="25" t="s">
        <v>43</v>
      </c>
      <c r="K51" s="25" t="s">
        <v>44</v>
      </c>
      <c r="M51">
        <f t="shared" si="0"/>
        <v>100</v>
      </c>
    </row>
    <row r="52" spans="1:13" x14ac:dyDescent="0.25">
      <c r="A52" s="98">
        <v>22</v>
      </c>
      <c r="B52" s="25" t="s">
        <v>470</v>
      </c>
      <c r="C52" s="25" t="s">
        <v>50</v>
      </c>
      <c r="D52" s="25" t="s">
        <v>447</v>
      </c>
      <c r="E52" s="25" t="s">
        <v>45</v>
      </c>
      <c r="F52" s="165"/>
      <c r="G52" s="212" t="s">
        <v>42</v>
      </c>
      <c r="H52" s="213">
        <v>1000</v>
      </c>
      <c r="I52" s="214">
        <v>200</v>
      </c>
      <c r="J52" s="25" t="s">
        <v>43</v>
      </c>
      <c r="K52" s="25" t="s">
        <v>44</v>
      </c>
      <c r="M52">
        <f t="shared" si="0"/>
        <v>200</v>
      </c>
    </row>
    <row r="53" spans="1:13" x14ac:dyDescent="0.25">
      <c r="A53" s="98">
        <v>22</v>
      </c>
      <c r="B53" s="25" t="s">
        <v>507</v>
      </c>
      <c r="C53" s="25" t="s">
        <v>40</v>
      </c>
      <c r="D53" s="25" t="s">
        <v>237</v>
      </c>
      <c r="E53" s="25" t="s">
        <v>61</v>
      </c>
      <c r="F53" s="165"/>
      <c r="G53" s="212" t="s">
        <v>42</v>
      </c>
      <c r="H53" s="213">
        <v>100</v>
      </c>
      <c r="I53" s="214">
        <v>20</v>
      </c>
      <c r="J53" s="25" t="s">
        <v>43</v>
      </c>
      <c r="K53" s="25" t="s">
        <v>44</v>
      </c>
      <c r="M53">
        <f t="shared" si="0"/>
        <v>20</v>
      </c>
    </row>
    <row r="54" spans="1:13" x14ac:dyDescent="0.25">
      <c r="A54" s="132">
        <v>22</v>
      </c>
      <c r="B54" s="25" t="s">
        <v>471</v>
      </c>
      <c r="C54" s="25" t="s">
        <v>40</v>
      </c>
      <c r="D54" s="25" t="s">
        <v>49</v>
      </c>
      <c r="E54" s="25" t="s">
        <v>46</v>
      </c>
      <c r="F54" s="165"/>
      <c r="G54" s="212" t="s">
        <v>42</v>
      </c>
      <c r="H54" s="213">
        <v>200</v>
      </c>
      <c r="I54" s="214" t="s">
        <v>77</v>
      </c>
      <c r="J54" s="25" t="s">
        <v>43</v>
      </c>
      <c r="K54" s="25" t="s">
        <v>44</v>
      </c>
      <c r="M54">
        <f t="shared" si="0"/>
        <v>40</v>
      </c>
    </row>
    <row r="55" spans="1:13" x14ac:dyDescent="0.25">
      <c r="A55" s="97">
        <v>23</v>
      </c>
      <c r="B55" s="94" t="s">
        <v>393</v>
      </c>
      <c r="C55" s="25" t="s">
        <v>40</v>
      </c>
      <c r="D55" s="25" t="s">
        <v>189</v>
      </c>
      <c r="E55" s="25" t="s">
        <v>46</v>
      </c>
      <c r="F55" s="165"/>
      <c r="G55" s="212" t="s">
        <v>42</v>
      </c>
      <c r="H55" s="213">
        <v>6000</v>
      </c>
      <c r="I55" s="214">
        <v>1200</v>
      </c>
      <c r="J55" s="25" t="s">
        <v>43</v>
      </c>
      <c r="K55" s="25" t="s">
        <v>44</v>
      </c>
      <c r="M55">
        <f t="shared" si="0"/>
        <v>1200</v>
      </c>
    </row>
    <row r="56" spans="1:13" x14ac:dyDescent="0.25">
      <c r="A56" s="97"/>
      <c r="B56" s="94"/>
      <c r="C56" s="25"/>
      <c r="D56" s="25"/>
      <c r="E56" s="25"/>
      <c r="F56" s="165"/>
      <c r="G56" s="25"/>
      <c r="H56" s="93"/>
      <c r="I56" s="73"/>
      <c r="J56" s="25"/>
      <c r="K56" s="25"/>
    </row>
    <row r="57" spans="1:13" x14ac:dyDescent="0.25">
      <c r="H57" s="29"/>
      <c r="I57" s="108"/>
    </row>
    <row r="59" spans="1:13" x14ac:dyDescent="0.25">
      <c r="I59" s="110" t="s">
        <v>19</v>
      </c>
      <c r="J59" s="30"/>
    </row>
    <row r="60" spans="1:13" ht="16.5" customHeight="1" x14ac:dyDescent="0.25">
      <c r="B60" t="s">
        <v>20</v>
      </c>
      <c r="E60" t="s">
        <v>21</v>
      </c>
      <c r="I60" s="100" t="s">
        <v>136</v>
      </c>
      <c r="J60" s="115" t="s">
        <v>164</v>
      </c>
    </row>
    <row r="61" spans="1:13" x14ac:dyDescent="0.25">
      <c r="I61" s="100" t="s">
        <v>137</v>
      </c>
      <c r="J61" s="115" t="s">
        <v>165</v>
      </c>
      <c r="K61" s="67"/>
    </row>
    <row r="62" spans="1:13" x14ac:dyDescent="0.25">
      <c r="I62" s="100" t="s">
        <v>138</v>
      </c>
      <c r="J62" s="115">
        <v>0</v>
      </c>
    </row>
    <row r="63" spans="1:13" x14ac:dyDescent="0.25">
      <c r="B63" s="111" t="s">
        <v>98</v>
      </c>
      <c r="E63" s="455" t="s">
        <v>22</v>
      </c>
      <c r="F63" s="455"/>
      <c r="G63" s="455"/>
      <c r="H63" s="455"/>
      <c r="I63" s="100" t="s">
        <v>139</v>
      </c>
      <c r="J63" s="115" t="s">
        <v>141</v>
      </c>
    </row>
    <row r="64" spans="1:13" x14ac:dyDescent="0.25">
      <c r="B64" t="s">
        <v>115</v>
      </c>
      <c r="E64" s="444" t="s">
        <v>163</v>
      </c>
      <c r="F64" s="444"/>
      <c r="G64" s="444"/>
      <c r="H64" s="444"/>
      <c r="I64" s="100" t="s">
        <v>143</v>
      </c>
      <c r="J64" s="115">
        <v>0</v>
      </c>
    </row>
    <row r="65" spans="2:10" ht="16.5" x14ac:dyDescent="0.35">
      <c r="I65" s="112" t="s">
        <v>135</v>
      </c>
      <c r="J65" s="116" t="s">
        <v>140</v>
      </c>
    </row>
    <row r="66" spans="2:10" x14ac:dyDescent="0.25">
      <c r="I66" s="100" t="s">
        <v>23</v>
      </c>
      <c r="J66" s="117"/>
    </row>
    <row r="67" spans="2:10" x14ac:dyDescent="0.25">
      <c r="I67" s="113" t="s">
        <v>133</v>
      </c>
      <c r="J67" s="118">
        <v>290070</v>
      </c>
    </row>
    <row r="68" spans="2:10" x14ac:dyDescent="0.25">
      <c r="I68" s="113" t="s">
        <v>134</v>
      </c>
      <c r="J68" s="69"/>
    </row>
    <row r="69" spans="2:10" x14ac:dyDescent="0.25">
      <c r="B69" s="31"/>
      <c r="E69" s="31"/>
      <c r="F69" s="31"/>
      <c r="G69" s="31"/>
      <c r="I69" s="100"/>
      <c r="J69" s="30"/>
    </row>
    <row r="70" spans="2:10" x14ac:dyDescent="0.25">
      <c r="I70" s="100"/>
      <c r="J70" s="30"/>
    </row>
    <row r="71" spans="2:10" x14ac:dyDescent="0.25">
      <c r="I71" s="100"/>
      <c r="J71" s="30"/>
    </row>
    <row r="72" spans="2:10" x14ac:dyDescent="0.25">
      <c r="I72" s="100"/>
      <c r="J72" s="69"/>
    </row>
    <row r="73" spans="2:10" x14ac:dyDescent="0.25">
      <c r="I73" s="100"/>
      <c r="J73" s="69"/>
    </row>
    <row r="93" spans="12:12" x14ac:dyDescent="0.25">
      <c r="L93" s="29"/>
    </row>
    <row r="116" spans="12:12" x14ac:dyDescent="0.25">
      <c r="L116" s="29"/>
    </row>
    <row r="243" spans="12:12" x14ac:dyDescent="0.25">
      <c r="L243" s="29"/>
    </row>
  </sheetData>
  <mergeCells count="8">
    <mergeCell ref="E63:H63"/>
    <mergeCell ref="E64:H64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O26"/>
  <sheetViews>
    <sheetView view="pageBreakPreview" zoomScale="96" zoomScaleNormal="100" zoomScaleSheetLayoutView="96" workbookViewId="0">
      <selection activeCell="F20" sqref="F20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17.140625" customWidth="1"/>
    <col min="8" max="8" width="12.85546875" customWidth="1"/>
    <col min="9" max="9" width="15.28515625" customWidth="1"/>
    <col min="10" max="10" width="10.7109375" bestFit="1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1:15" ht="18" x14ac:dyDescent="0.25">
      <c r="A2" s="458" t="s">
        <v>426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217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>
        <v>2</v>
      </c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>
        <v>1</v>
      </c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x14ac:dyDescent="0.25">
      <c r="A12" s="72"/>
      <c r="B12" s="25"/>
      <c r="C12" s="25"/>
      <c r="D12" s="25"/>
      <c r="E12" s="25"/>
      <c r="F12" s="165"/>
      <c r="G12" s="55"/>
      <c r="H12" s="129"/>
      <c r="I12" s="93"/>
      <c r="J12" s="57"/>
      <c r="K12" s="94"/>
      <c r="L12" s="25"/>
      <c r="M12" s="173"/>
    </row>
    <row r="13" spans="1:15" x14ac:dyDescent="0.25">
      <c r="A13" s="72"/>
      <c r="B13" s="94"/>
      <c r="C13" s="25"/>
      <c r="D13" s="94"/>
      <c r="E13" s="94"/>
      <c r="F13" s="25"/>
      <c r="G13" s="94"/>
      <c r="H13" s="129"/>
      <c r="I13" s="93"/>
      <c r="J13" s="25"/>
      <c r="K13" s="94"/>
      <c r="L13" s="25"/>
      <c r="M13" s="173"/>
      <c r="O13" s="67"/>
    </row>
    <row r="14" spans="1:15" x14ac:dyDescent="0.25">
      <c r="A14" s="72"/>
      <c r="B14" s="94"/>
      <c r="C14" s="27"/>
      <c r="D14" s="27"/>
      <c r="E14" s="94"/>
      <c r="F14" s="25"/>
      <c r="G14" s="94"/>
      <c r="H14" s="129"/>
      <c r="I14" s="93"/>
      <c r="J14" s="66"/>
      <c r="K14" s="94"/>
      <c r="L14" s="94"/>
      <c r="O14" s="67"/>
    </row>
    <row r="15" spans="1:15" x14ac:dyDescent="0.25">
      <c r="A15" s="72"/>
      <c r="B15" s="94"/>
      <c r="C15" s="25"/>
      <c r="D15" s="94"/>
      <c r="E15" s="94"/>
      <c r="F15" s="165"/>
      <c r="G15" s="94"/>
      <c r="H15" s="130"/>
      <c r="I15" s="93"/>
      <c r="J15" s="25"/>
      <c r="K15" s="94"/>
      <c r="L15" s="94"/>
      <c r="O15" s="67"/>
    </row>
    <row r="16" spans="1:15" x14ac:dyDescent="0.25">
      <c r="I16" s="30"/>
      <c r="J16" s="30"/>
    </row>
    <row r="17" spans="2:10" x14ac:dyDescent="0.25">
      <c r="I17" s="59" t="s">
        <v>19</v>
      </c>
      <c r="J17" s="30"/>
    </row>
    <row r="18" spans="2:10" x14ac:dyDescent="0.25">
      <c r="I18" s="30" t="s">
        <v>136</v>
      </c>
      <c r="J18" s="30"/>
    </row>
    <row r="19" spans="2:10" x14ac:dyDescent="0.25">
      <c r="B19" t="s">
        <v>20</v>
      </c>
      <c r="E19" t="s">
        <v>21</v>
      </c>
      <c r="I19" s="30" t="s">
        <v>137</v>
      </c>
      <c r="J19" s="118">
        <v>37800</v>
      </c>
    </row>
    <row r="20" spans="2:10" x14ac:dyDescent="0.25">
      <c r="I20" s="30" t="s">
        <v>138</v>
      </c>
      <c r="J20" s="115">
        <v>0</v>
      </c>
    </row>
    <row r="21" spans="2:10" x14ac:dyDescent="0.25">
      <c r="I21" s="30" t="s">
        <v>142</v>
      </c>
      <c r="J21" s="115">
        <v>20</v>
      </c>
    </row>
    <row r="22" spans="2:10" x14ac:dyDescent="0.25">
      <c r="B22" s="31" t="s">
        <v>98</v>
      </c>
      <c r="E22" s="443" t="s">
        <v>22</v>
      </c>
      <c r="F22" s="443"/>
      <c r="G22" s="443"/>
      <c r="H22" s="443"/>
      <c r="I22" s="30" t="s">
        <v>143</v>
      </c>
      <c r="J22" s="115">
        <v>0</v>
      </c>
    </row>
    <row r="23" spans="2:10" x14ac:dyDescent="0.25">
      <c r="B23" t="s">
        <v>115</v>
      </c>
      <c r="E23" s="444" t="s">
        <v>163</v>
      </c>
      <c r="F23" s="444"/>
      <c r="G23" s="444"/>
      <c r="H23" s="444"/>
      <c r="I23" s="30" t="s">
        <v>144</v>
      </c>
      <c r="J23" s="115">
        <v>0</v>
      </c>
    </row>
    <row r="24" spans="2:10" x14ac:dyDescent="0.25">
      <c r="I24" s="30" t="s">
        <v>23</v>
      </c>
      <c r="J24" s="117"/>
    </row>
    <row r="25" spans="2:10" x14ac:dyDescent="0.25">
      <c r="I25" s="4" t="s">
        <v>145</v>
      </c>
      <c r="J25" s="118"/>
    </row>
    <row r="26" spans="2:10" x14ac:dyDescent="0.25">
      <c r="I26" s="4" t="s">
        <v>108</v>
      </c>
      <c r="J26" s="118"/>
    </row>
  </sheetData>
  <mergeCells count="9">
    <mergeCell ref="A8:B8"/>
    <mergeCell ref="E22:H22"/>
    <mergeCell ref="E23:H23"/>
    <mergeCell ref="A2:L2"/>
    <mergeCell ref="A1:L1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M204"/>
  <sheetViews>
    <sheetView view="pageBreakPreview" zoomScale="106" zoomScaleNormal="100" zoomScaleSheetLayoutView="106" workbookViewId="0">
      <selection activeCell="J20" sqref="J20"/>
    </sheetView>
  </sheetViews>
  <sheetFormatPr defaultRowHeight="15" x14ac:dyDescent="0.25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109" customWidth="1"/>
    <col min="10" max="10" width="9.5703125" customWidth="1"/>
    <col min="11" max="11" width="17.85546875" customWidth="1"/>
    <col min="13" max="13" width="11.5703125" bestFit="1" customWidth="1"/>
  </cols>
  <sheetData>
    <row r="1" spans="1:11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89"/>
    </row>
    <row r="2" spans="1:11" ht="18" x14ac:dyDescent="0.25">
      <c r="A2" s="1"/>
      <c r="B2" s="2"/>
      <c r="C2" s="458" t="s">
        <v>425</v>
      </c>
      <c r="D2" s="459"/>
      <c r="E2" s="459"/>
      <c r="F2" s="459"/>
      <c r="G2" s="459"/>
      <c r="H2" s="80"/>
      <c r="I2" s="99"/>
      <c r="J2" s="90"/>
      <c r="K2" s="3"/>
    </row>
    <row r="3" spans="1:11" x14ac:dyDescent="0.25">
      <c r="A3" s="1"/>
      <c r="B3" s="2"/>
      <c r="C3" s="4"/>
      <c r="D3" s="2"/>
      <c r="E3" s="2"/>
      <c r="G3" s="4"/>
      <c r="H3" s="80"/>
      <c r="I3" s="100"/>
      <c r="J3" s="101" t="s">
        <v>223</v>
      </c>
      <c r="K3" s="102"/>
    </row>
    <row r="4" spans="1:11" x14ac:dyDescent="0.25">
      <c r="A4" s="1"/>
      <c r="B4" s="2"/>
      <c r="C4" s="4"/>
      <c r="D4" s="2"/>
      <c r="E4" s="2"/>
      <c r="G4" s="4"/>
      <c r="H4" s="80"/>
      <c r="I4" s="103"/>
      <c r="J4" s="89" t="s">
        <v>111</v>
      </c>
      <c r="K4" s="114">
        <v>154</v>
      </c>
    </row>
    <row r="5" spans="1:11" x14ac:dyDescent="0.25">
      <c r="A5" s="1"/>
      <c r="B5" s="2"/>
      <c r="C5" s="4"/>
      <c r="D5" s="2"/>
      <c r="E5" s="2"/>
      <c r="G5" s="4"/>
      <c r="H5" s="80"/>
      <c r="I5" s="103"/>
      <c r="J5" s="89" t="s">
        <v>114</v>
      </c>
      <c r="K5" s="114">
        <v>34</v>
      </c>
    </row>
    <row r="6" spans="1:11" x14ac:dyDescent="0.25">
      <c r="A6" s="456" t="s">
        <v>147</v>
      </c>
      <c r="B6" s="456"/>
      <c r="C6" s="4"/>
      <c r="D6" s="2"/>
      <c r="E6" s="5"/>
      <c r="G6" s="4"/>
      <c r="H6" s="80"/>
      <c r="I6" s="100"/>
      <c r="J6" s="96" t="s">
        <v>222</v>
      </c>
      <c r="K6" s="104"/>
    </row>
    <row r="7" spans="1:11" x14ac:dyDescent="0.25">
      <c r="A7" s="7"/>
      <c r="B7" s="8"/>
      <c r="C7" s="77"/>
      <c r="D7" s="9"/>
      <c r="E7" s="9"/>
      <c r="F7" s="451" t="s">
        <v>1</v>
      </c>
      <c r="G7" s="457"/>
      <c r="H7" s="452"/>
      <c r="I7" s="105"/>
      <c r="J7" s="453" t="s">
        <v>2</v>
      </c>
      <c r="K7" s="454"/>
    </row>
    <row r="8" spans="1:11" x14ac:dyDescent="0.25">
      <c r="A8" s="441" t="s">
        <v>3</v>
      </c>
      <c r="B8" s="442"/>
      <c r="C8" s="19" t="s">
        <v>4</v>
      </c>
      <c r="D8" s="26" t="s">
        <v>5</v>
      </c>
      <c r="E8" s="10" t="s">
        <v>6</v>
      </c>
      <c r="F8" s="11" t="s">
        <v>7</v>
      </c>
      <c r="G8" s="78"/>
      <c r="H8" s="12" t="s">
        <v>8</v>
      </c>
      <c r="I8" s="71" t="s">
        <v>9</v>
      </c>
      <c r="J8" s="91"/>
      <c r="K8" s="14"/>
    </row>
    <row r="9" spans="1:11" x14ac:dyDescent="0.25">
      <c r="A9" s="15"/>
      <c r="B9" s="16"/>
      <c r="C9" s="78"/>
      <c r="D9" s="17"/>
      <c r="E9" s="16"/>
      <c r="F9" s="18" t="s">
        <v>10</v>
      </c>
      <c r="G9" s="19" t="s">
        <v>11</v>
      </c>
      <c r="H9" s="12" t="s">
        <v>12</v>
      </c>
      <c r="I9" s="106"/>
      <c r="J9" s="26" t="s">
        <v>13</v>
      </c>
      <c r="K9" s="26" t="s">
        <v>14</v>
      </c>
    </row>
    <row r="10" spans="1:11" x14ac:dyDescent="0.25">
      <c r="A10" s="20"/>
      <c r="B10" s="21"/>
      <c r="C10" s="79"/>
      <c r="D10" s="22"/>
      <c r="E10" s="22"/>
      <c r="F10" s="23"/>
      <c r="G10" s="81"/>
      <c r="H10" s="82" t="s">
        <v>15</v>
      </c>
      <c r="I10" s="107"/>
      <c r="J10" s="23"/>
      <c r="K10" s="24" t="s">
        <v>16</v>
      </c>
    </row>
    <row r="11" spans="1:11" x14ac:dyDescent="0.25">
      <c r="A11" s="68" t="s">
        <v>17</v>
      </c>
      <c r="B11" s="25"/>
      <c r="C11" s="25"/>
      <c r="D11" s="25"/>
      <c r="E11" s="25"/>
      <c r="F11" s="25"/>
      <c r="G11" s="25"/>
      <c r="H11" s="25"/>
      <c r="I11" s="73"/>
      <c r="J11" s="25"/>
      <c r="K11" s="25"/>
    </row>
    <row r="12" spans="1:11" x14ac:dyDescent="0.25">
      <c r="A12" s="98"/>
      <c r="B12" s="25"/>
      <c r="C12" s="25"/>
      <c r="D12" s="25"/>
      <c r="E12" s="25"/>
      <c r="F12" s="25"/>
      <c r="G12" s="58"/>
      <c r="H12" s="65"/>
      <c r="I12" s="74"/>
      <c r="J12" s="25"/>
      <c r="K12" s="25"/>
    </row>
    <row r="13" spans="1:11" x14ac:dyDescent="0.25">
      <c r="A13" s="98"/>
      <c r="B13" s="25"/>
      <c r="C13" s="25"/>
      <c r="D13" s="25"/>
      <c r="E13" s="25"/>
      <c r="F13" s="25"/>
      <c r="G13" s="58"/>
      <c r="H13" s="65"/>
      <c r="I13" s="74"/>
      <c r="J13" s="25"/>
      <c r="K13" s="25"/>
    </row>
    <row r="14" spans="1:11" x14ac:dyDescent="0.25">
      <c r="A14" s="98"/>
      <c r="B14" s="25"/>
      <c r="C14" s="25"/>
      <c r="D14" s="25"/>
      <c r="E14" s="25"/>
      <c r="F14" s="25"/>
      <c r="G14" s="58"/>
      <c r="H14" s="65"/>
      <c r="I14" s="74"/>
      <c r="J14" s="25"/>
      <c r="K14" s="25"/>
    </row>
    <row r="15" spans="1:11" x14ac:dyDescent="0.25">
      <c r="A15" s="98"/>
      <c r="B15" s="25"/>
      <c r="C15" s="25"/>
      <c r="D15" s="25"/>
      <c r="E15" s="25"/>
      <c r="F15" s="25"/>
      <c r="G15" s="58"/>
      <c r="H15" s="65"/>
      <c r="I15" s="74"/>
      <c r="J15" s="25"/>
      <c r="K15" s="25"/>
    </row>
    <row r="16" spans="1:11" x14ac:dyDescent="0.25">
      <c r="A16" s="98"/>
      <c r="B16" s="25"/>
      <c r="C16" s="25"/>
      <c r="D16" s="25"/>
      <c r="E16" s="25"/>
      <c r="F16" s="25"/>
      <c r="G16" s="58"/>
      <c r="H16" s="65"/>
      <c r="I16" s="74"/>
      <c r="J16" s="25"/>
      <c r="K16" s="25"/>
    </row>
    <row r="17" spans="1:13" x14ac:dyDescent="0.25">
      <c r="A17" s="97"/>
      <c r="B17" s="94"/>
      <c r="C17" s="25"/>
      <c r="D17" s="25"/>
      <c r="E17" s="25"/>
      <c r="F17" s="25"/>
      <c r="G17" s="25"/>
      <c r="H17" s="28"/>
      <c r="I17" s="73"/>
      <c r="J17" s="25"/>
      <c r="K17" s="25"/>
      <c r="M17" s="134"/>
    </row>
    <row r="18" spans="1:13" x14ac:dyDescent="0.25">
      <c r="H18" s="29"/>
      <c r="I18" s="108"/>
    </row>
    <row r="20" spans="1:13" x14ac:dyDescent="0.25">
      <c r="I20" s="110" t="s">
        <v>19</v>
      </c>
      <c r="J20" s="30"/>
    </row>
    <row r="21" spans="1:13" ht="16.5" customHeight="1" x14ac:dyDescent="0.25">
      <c r="B21" t="s">
        <v>20</v>
      </c>
      <c r="E21" t="s">
        <v>21</v>
      </c>
      <c r="I21" s="100" t="s">
        <v>136</v>
      </c>
      <c r="J21" s="115" t="s">
        <v>227</v>
      </c>
    </row>
    <row r="22" spans="1:13" x14ac:dyDescent="0.25">
      <c r="I22" s="100" t="s">
        <v>137</v>
      </c>
      <c r="J22" s="115" t="s">
        <v>228</v>
      </c>
      <c r="K22" s="67"/>
    </row>
    <row r="23" spans="1:13" x14ac:dyDescent="0.25">
      <c r="I23" s="100" t="s">
        <v>138</v>
      </c>
      <c r="J23" s="115">
        <v>0</v>
      </c>
    </row>
    <row r="24" spans="1:13" x14ac:dyDescent="0.25">
      <c r="B24" s="111" t="s">
        <v>98</v>
      </c>
      <c r="E24" s="455" t="s">
        <v>22</v>
      </c>
      <c r="F24" s="455"/>
      <c r="G24" s="455"/>
      <c r="H24" s="455"/>
      <c r="I24" s="100" t="s">
        <v>139</v>
      </c>
      <c r="J24" s="115" t="s">
        <v>229</v>
      </c>
    </row>
    <row r="25" spans="1:13" x14ac:dyDescent="0.25">
      <c r="B25" t="s">
        <v>115</v>
      </c>
      <c r="E25" s="444" t="s">
        <v>163</v>
      </c>
      <c r="F25" s="444"/>
      <c r="G25" s="444"/>
      <c r="H25" s="444"/>
      <c r="I25" s="100" t="s">
        <v>143</v>
      </c>
      <c r="J25" s="115">
        <v>0</v>
      </c>
    </row>
    <row r="26" spans="1:13" ht="16.5" x14ac:dyDescent="0.35">
      <c r="I26" s="112" t="s">
        <v>135</v>
      </c>
      <c r="J26" s="116" t="s">
        <v>230</v>
      </c>
    </row>
    <row r="27" spans="1:13" x14ac:dyDescent="0.25">
      <c r="I27" s="100" t="s">
        <v>23</v>
      </c>
      <c r="J27" s="117"/>
    </row>
    <row r="28" spans="1:13" x14ac:dyDescent="0.25">
      <c r="I28" s="113" t="s">
        <v>133</v>
      </c>
      <c r="J28" s="118" t="s">
        <v>224</v>
      </c>
    </row>
    <row r="29" spans="1:13" x14ac:dyDescent="0.25">
      <c r="I29" s="113" t="s">
        <v>134</v>
      </c>
      <c r="J29" s="69"/>
    </row>
    <row r="30" spans="1:13" x14ac:dyDescent="0.25">
      <c r="B30" s="31"/>
      <c r="E30" s="31"/>
      <c r="F30" s="31"/>
      <c r="G30" s="31"/>
      <c r="I30" s="100"/>
      <c r="J30" s="30"/>
    </row>
    <row r="31" spans="1:13" x14ac:dyDescent="0.25">
      <c r="I31" s="100"/>
      <c r="J31" s="30"/>
    </row>
    <row r="32" spans="1:13" x14ac:dyDescent="0.25">
      <c r="I32" s="100"/>
      <c r="J32" s="30"/>
    </row>
    <row r="33" spans="9:10" x14ac:dyDescent="0.25">
      <c r="I33" s="100"/>
      <c r="J33" s="69"/>
    </row>
    <row r="34" spans="9:10" x14ac:dyDescent="0.25">
      <c r="I34" s="100"/>
      <c r="J34" s="69"/>
    </row>
    <row r="54" spans="12:12" x14ac:dyDescent="0.25">
      <c r="L54" s="29"/>
    </row>
    <row r="77" spans="12:12" x14ac:dyDescent="0.25">
      <c r="L77" s="29"/>
    </row>
    <row r="204" spans="12:12" x14ac:dyDescent="0.25">
      <c r="L204" s="29"/>
    </row>
  </sheetData>
  <mergeCells count="8">
    <mergeCell ref="J7:K7"/>
    <mergeCell ref="A8:B8"/>
    <mergeCell ref="A6:B6"/>
    <mergeCell ref="E25:H25"/>
    <mergeCell ref="E24:H24"/>
    <mergeCell ref="A1:I1"/>
    <mergeCell ref="C2:G2"/>
    <mergeCell ref="F7:H7"/>
  </mergeCells>
  <pageMargins left="0.5" right="0.5" top="0.75" bottom="0.75" header="0.3" footer="0.3"/>
  <pageSetup paperSize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O28"/>
  <sheetViews>
    <sheetView tabSelected="1" view="pageBreakPreview" zoomScale="96" zoomScaleNormal="100" zoomScaleSheetLayoutView="96" workbookViewId="0">
      <selection activeCell="K24" sqref="K2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4" customWidth="1"/>
    <col min="5" max="5" width="15.7109375" customWidth="1"/>
    <col min="6" max="6" width="9.7109375" customWidth="1"/>
    <col min="7" max="7" width="17.140625" customWidth="1"/>
    <col min="8" max="8" width="14.7109375" customWidth="1"/>
    <col min="9" max="9" width="17.28515625" customWidth="1"/>
    <col min="10" max="10" width="10.7109375" bestFit="1" customWidth="1"/>
    <col min="11" max="11" width="8.28515625" customWidth="1"/>
    <col min="12" max="12" width="18.5703125" customWidth="1"/>
  </cols>
  <sheetData>
    <row r="1" spans="1:15" ht="23.25" x14ac:dyDescent="0.3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</row>
    <row r="2" spans="1:15" ht="18" x14ac:dyDescent="0.25">
      <c r="A2" s="1"/>
      <c r="B2" s="2"/>
      <c r="C2" s="458" t="s">
        <v>425</v>
      </c>
      <c r="D2" s="459"/>
      <c r="E2" s="459"/>
      <c r="F2" s="459"/>
      <c r="G2" s="459"/>
      <c r="H2" s="459"/>
      <c r="I2" s="29"/>
      <c r="J2" s="32"/>
      <c r="K2" s="3"/>
      <c r="L2" s="3"/>
    </row>
    <row r="3" spans="1:15" x14ac:dyDescent="0.25">
      <c r="A3" s="1"/>
      <c r="B3" s="2"/>
      <c r="C3" s="33"/>
      <c r="D3" s="2"/>
      <c r="E3" s="2"/>
      <c r="G3" s="2"/>
      <c r="H3" s="33"/>
      <c r="I3" s="29"/>
      <c r="J3" s="32"/>
      <c r="K3" s="448" t="s">
        <v>370</v>
      </c>
      <c r="L3" s="449"/>
    </row>
    <row r="4" spans="1:15" x14ac:dyDescent="0.25">
      <c r="A4" s="1"/>
      <c r="B4" s="2"/>
      <c r="C4" s="33"/>
      <c r="D4" s="2"/>
      <c r="E4" s="2"/>
      <c r="G4" s="2"/>
      <c r="H4" s="33"/>
      <c r="I4" s="29"/>
      <c r="J4" s="32"/>
      <c r="K4" s="35" t="s">
        <v>37</v>
      </c>
      <c r="L4" s="119"/>
    </row>
    <row r="5" spans="1:15" x14ac:dyDescent="0.25">
      <c r="A5" s="1"/>
      <c r="B5" s="2"/>
      <c r="C5" s="33"/>
      <c r="D5" s="2"/>
      <c r="E5" s="2"/>
      <c r="G5" s="2"/>
      <c r="H5" s="33"/>
      <c r="I5" s="29"/>
      <c r="J5" s="32"/>
      <c r="K5" s="35" t="s">
        <v>38</v>
      </c>
      <c r="L5" s="119"/>
    </row>
    <row r="6" spans="1:15" ht="18" x14ac:dyDescent="0.25">
      <c r="A6" s="450" t="s">
        <v>146</v>
      </c>
      <c r="B6" s="450"/>
      <c r="C6" s="36"/>
      <c r="D6" s="2"/>
      <c r="E6" s="5"/>
      <c r="F6" s="3"/>
      <c r="G6" s="2"/>
      <c r="H6" s="33"/>
      <c r="I6" s="29"/>
      <c r="J6" s="32"/>
      <c r="K6" s="6" t="s">
        <v>39</v>
      </c>
      <c r="L6" s="37"/>
    </row>
    <row r="7" spans="1:15" x14ac:dyDescent="0.25">
      <c r="A7" s="7"/>
      <c r="B7" s="8"/>
      <c r="C7" s="38" t="s">
        <v>24</v>
      </c>
      <c r="D7" s="9"/>
      <c r="E7" s="9"/>
      <c r="F7" s="39" t="s">
        <v>25</v>
      </c>
      <c r="G7" s="38" t="s">
        <v>26</v>
      </c>
      <c r="H7" s="451" t="s">
        <v>27</v>
      </c>
      <c r="I7" s="452"/>
      <c r="J7" s="40"/>
      <c r="K7" s="453" t="s">
        <v>2</v>
      </c>
      <c r="L7" s="454"/>
    </row>
    <row r="8" spans="1:15" x14ac:dyDescent="0.25">
      <c r="A8" s="441" t="s">
        <v>28</v>
      </c>
      <c r="B8" s="442"/>
      <c r="C8" s="39" t="s">
        <v>29</v>
      </c>
      <c r="D8" s="26" t="s">
        <v>5</v>
      </c>
      <c r="E8" s="10" t="s">
        <v>6</v>
      </c>
      <c r="F8" s="39" t="s">
        <v>30</v>
      </c>
      <c r="G8" s="41" t="s">
        <v>31</v>
      </c>
      <c r="H8" s="42"/>
      <c r="I8" s="43" t="s">
        <v>8</v>
      </c>
      <c r="J8" s="13" t="s">
        <v>9</v>
      </c>
      <c r="K8" s="14"/>
      <c r="L8" s="34"/>
    </row>
    <row r="9" spans="1:15" x14ac:dyDescent="0.25">
      <c r="A9" s="15"/>
      <c r="B9" s="16"/>
      <c r="C9" s="39" t="s">
        <v>32</v>
      </c>
      <c r="D9" s="17"/>
      <c r="E9" s="16"/>
      <c r="F9" s="39" t="s">
        <v>33</v>
      </c>
      <c r="G9" s="41" t="s">
        <v>34</v>
      </c>
      <c r="H9" s="44" t="s">
        <v>11</v>
      </c>
      <c r="I9" s="43" t="s">
        <v>12</v>
      </c>
      <c r="J9" s="45"/>
      <c r="K9" s="26" t="s">
        <v>13</v>
      </c>
      <c r="L9" s="26" t="s">
        <v>14</v>
      </c>
    </row>
    <row r="10" spans="1:15" x14ac:dyDescent="0.25">
      <c r="A10" s="20"/>
      <c r="B10" s="21"/>
      <c r="C10" s="46"/>
      <c r="D10" s="22"/>
      <c r="E10" s="22"/>
      <c r="F10" s="47" t="s">
        <v>35</v>
      </c>
      <c r="G10" s="24"/>
      <c r="H10" s="48"/>
      <c r="I10" s="49" t="s">
        <v>36</v>
      </c>
      <c r="J10" s="50"/>
      <c r="K10" s="23"/>
      <c r="L10" s="24" t="s">
        <v>16</v>
      </c>
    </row>
    <row r="11" spans="1:15" x14ac:dyDescent="0.25">
      <c r="A11" s="51" t="s">
        <v>17</v>
      </c>
      <c r="B11" s="52"/>
      <c r="C11" s="53"/>
      <c r="D11" s="52"/>
      <c r="E11" s="52"/>
      <c r="F11" s="25"/>
      <c r="G11" s="52"/>
      <c r="H11" s="53"/>
      <c r="I11" s="28"/>
      <c r="J11" s="54"/>
      <c r="K11" s="25"/>
      <c r="L11" s="25"/>
    </row>
    <row r="12" spans="1:15" x14ac:dyDescent="0.25">
      <c r="A12" s="72"/>
      <c r="B12" s="25"/>
      <c r="C12" s="25"/>
      <c r="D12" s="25"/>
      <c r="E12" s="25"/>
      <c r="F12" s="25"/>
      <c r="G12" s="55"/>
      <c r="H12" s="129"/>
      <c r="I12" s="56"/>
      <c r="J12" s="57"/>
      <c r="K12" s="27"/>
      <c r="L12" s="25"/>
    </row>
    <row r="13" spans="1:15" x14ac:dyDescent="0.25">
      <c r="A13" s="72"/>
      <c r="B13" s="94"/>
      <c r="C13" s="25"/>
      <c r="D13" s="94"/>
      <c r="E13" s="94"/>
      <c r="F13" s="25"/>
      <c r="G13" s="94"/>
      <c r="H13" s="129"/>
      <c r="I13" s="93"/>
      <c r="J13" s="25"/>
      <c r="K13" s="94"/>
      <c r="L13" s="25"/>
      <c r="O13" s="67"/>
    </row>
    <row r="14" spans="1:15" x14ac:dyDescent="0.25">
      <c r="A14" s="72"/>
      <c r="B14" s="94"/>
      <c r="C14" s="27"/>
      <c r="D14" s="27"/>
      <c r="E14" s="94"/>
      <c r="F14" s="25"/>
      <c r="G14" s="94"/>
      <c r="H14" s="129"/>
      <c r="I14" s="93"/>
      <c r="J14" s="66"/>
      <c r="K14" s="94"/>
      <c r="L14" s="94"/>
      <c r="O14" s="67"/>
    </row>
    <row r="15" spans="1:15" x14ac:dyDescent="0.25">
      <c r="A15" s="72"/>
      <c r="B15" s="94"/>
      <c r="C15" s="25"/>
      <c r="D15" s="94"/>
      <c r="E15" s="94"/>
      <c r="F15" s="25"/>
      <c r="G15" s="94"/>
      <c r="H15" s="130"/>
      <c r="I15" s="93"/>
      <c r="J15" s="25"/>
      <c r="K15" s="94"/>
      <c r="L15" s="94"/>
      <c r="O15" s="67"/>
    </row>
    <row r="16" spans="1:15" x14ac:dyDescent="0.25">
      <c r="A16" s="72"/>
      <c r="B16" s="94"/>
      <c r="C16" s="25"/>
      <c r="D16" s="94"/>
      <c r="E16" s="94"/>
      <c r="F16" s="25"/>
      <c r="G16" s="94"/>
      <c r="H16" s="171"/>
      <c r="I16" s="93"/>
      <c r="J16" s="25"/>
      <c r="K16" s="94"/>
      <c r="L16" s="94"/>
      <c r="O16" s="67"/>
    </row>
    <row r="17" spans="1:15" x14ac:dyDescent="0.25">
      <c r="A17" s="98"/>
      <c r="B17" s="25"/>
      <c r="C17" s="25"/>
      <c r="D17" s="25"/>
      <c r="E17" s="25"/>
      <c r="F17" s="25"/>
      <c r="G17" s="25"/>
      <c r="H17" s="131"/>
      <c r="I17" s="28"/>
      <c r="J17" s="25"/>
      <c r="K17" s="53"/>
      <c r="L17" s="25"/>
      <c r="O17" s="67"/>
    </row>
    <row r="18" spans="1:15" x14ac:dyDescent="0.25">
      <c r="I18" s="30"/>
      <c r="J18" s="30"/>
    </row>
    <row r="19" spans="1:15" x14ac:dyDescent="0.25">
      <c r="I19" s="59" t="s">
        <v>19</v>
      </c>
      <c r="J19" s="30"/>
    </row>
    <row r="20" spans="1:15" x14ac:dyDescent="0.25">
      <c r="I20" s="30" t="s">
        <v>136</v>
      </c>
      <c r="J20" s="30"/>
    </row>
    <row r="21" spans="1:15" x14ac:dyDescent="0.25">
      <c r="B21" t="s">
        <v>20</v>
      </c>
      <c r="E21" t="s">
        <v>21</v>
      </c>
      <c r="I21" s="30" t="s">
        <v>137</v>
      </c>
      <c r="J21" s="118" t="s">
        <v>225</v>
      </c>
      <c r="L21" t="s">
        <v>226</v>
      </c>
    </row>
    <row r="22" spans="1:15" x14ac:dyDescent="0.25">
      <c r="I22" s="30" t="s">
        <v>138</v>
      </c>
      <c r="J22" s="115">
        <v>0</v>
      </c>
    </row>
    <row r="23" spans="1:15" x14ac:dyDescent="0.25">
      <c r="I23" s="30" t="s">
        <v>142</v>
      </c>
      <c r="J23" s="115">
        <v>20</v>
      </c>
    </row>
    <row r="24" spans="1:15" x14ac:dyDescent="0.25">
      <c r="B24" s="31" t="s">
        <v>98</v>
      </c>
      <c r="E24" s="443" t="s">
        <v>22</v>
      </c>
      <c r="F24" s="443"/>
      <c r="G24" s="443"/>
      <c r="H24" s="443"/>
      <c r="I24" s="30" t="s">
        <v>143</v>
      </c>
      <c r="J24" s="115">
        <v>0</v>
      </c>
    </row>
    <row r="25" spans="1:15" x14ac:dyDescent="0.25">
      <c r="B25" t="s">
        <v>115</v>
      </c>
      <c r="E25" s="444" t="s">
        <v>163</v>
      </c>
      <c r="F25" s="444"/>
      <c r="G25" s="444"/>
      <c r="H25" s="444"/>
      <c r="I25" s="30" t="s">
        <v>144</v>
      </c>
      <c r="J25" s="115">
        <v>0</v>
      </c>
    </row>
    <row r="26" spans="1:15" x14ac:dyDescent="0.25">
      <c r="I26" s="30" t="s">
        <v>23</v>
      </c>
      <c r="J26" s="117"/>
    </row>
    <row r="27" spans="1:15" x14ac:dyDescent="0.25">
      <c r="I27" s="4" t="s">
        <v>145</v>
      </c>
      <c r="J27" s="118"/>
    </row>
    <row r="28" spans="1:15" x14ac:dyDescent="0.25">
      <c r="I28" s="4" t="s">
        <v>108</v>
      </c>
      <c r="J28" s="118"/>
    </row>
  </sheetData>
  <mergeCells count="9">
    <mergeCell ref="A1:J1"/>
    <mergeCell ref="C2:H2"/>
    <mergeCell ref="H7:I7"/>
    <mergeCell ref="K7:L7"/>
    <mergeCell ref="A8:B8"/>
    <mergeCell ref="K3:L3"/>
    <mergeCell ref="A6:B6"/>
    <mergeCell ref="E25:H25"/>
    <mergeCell ref="E24:H24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L18"/>
  <sheetViews>
    <sheetView view="pageLayout" zoomScaleNormal="100" workbookViewId="0">
      <selection activeCell="A2" sqref="A2:A3"/>
    </sheetView>
  </sheetViews>
  <sheetFormatPr defaultRowHeight="15" x14ac:dyDescent="0.25"/>
  <cols>
    <col min="1" max="1" width="13.28515625" customWidth="1"/>
    <col min="2" max="2" width="13.7109375" customWidth="1"/>
    <col min="3" max="3" width="15.140625" customWidth="1"/>
    <col min="4" max="4" width="18" customWidth="1"/>
    <col min="5" max="5" width="15.85546875" customWidth="1"/>
    <col min="6" max="6" width="17.28515625" customWidth="1"/>
    <col min="7" max="7" width="15.5703125" customWidth="1"/>
    <col min="8" max="8" width="10.5703125" customWidth="1"/>
    <col min="9" max="10" width="10.5703125" bestFit="1" customWidth="1"/>
    <col min="11" max="11" width="11.5703125" bestFit="1" customWidth="1"/>
    <col min="12" max="12" width="9.7109375" bestFit="1" customWidth="1"/>
  </cols>
  <sheetData>
    <row r="1" spans="1:12" ht="36.75" customHeight="1" thickBot="1" x14ac:dyDescent="0.3">
      <c r="A1" s="464" t="s">
        <v>424</v>
      </c>
      <c r="B1" s="464"/>
      <c r="C1" s="464"/>
      <c r="D1" s="464"/>
      <c r="E1" s="464"/>
      <c r="F1" s="464"/>
      <c r="G1" s="464"/>
    </row>
    <row r="2" spans="1:12" s="70" customFormat="1" ht="27.75" customHeight="1" x14ac:dyDescent="0.25">
      <c r="A2" s="468" t="s">
        <v>167</v>
      </c>
      <c r="B2" s="474" t="s">
        <v>148</v>
      </c>
      <c r="C2" s="475"/>
      <c r="D2" s="476" t="s">
        <v>149</v>
      </c>
      <c r="E2" s="477"/>
      <c r="F2" s="476" t="s">
        <v>161</v>
      </c>
      <c r="G2" s="477"/>
    </row>
    <row r="3" spans="1:12" ht="27.75" customHeight="1" thickBot="1" x14ac:dyDescent="0.3">
      <c r="A3" s="469"/>
      <c r="B3" s="142" t="s">
        <v>153</v>
      </c>
      <c r="C3" s="143" t="s">
        <v>154</v>
      </c>
      <c r="D3" s="142" t="s">
        <v>153</v>
      </c>
      <c r="E3" s="143" t="s">
        <v>154</v>
      </c>
      <c r="F3" s="142" t="s">
        <v>153</v>
      </c>
      <c r="G3" s="143" t="s">
        <v>154</v>
      </c>
    </row>
    <row r="4" spans="1:12" ht="27.75" customHeight="1" x14ac:dyDescent="0.25">
      <c r="A4" s="144" t="s">
        <v>125</v>
      </c>
      <c r="B4" s="145">
        <v>0</v>
      </c>
      <c r="C4" s="146">
        <f>B4*0.2+B4</f>
        <v>0</v>
      </c>
      <c r="D4" s="147">
        <v>0</v>
      </c>
      <c r="E4" s="148">
        <f>D4*0.2+D4</f>
        <v>0</v>
      </c>
      <c r="F4" s="149">
        <v>0</v>
      </c>
      <c r="G4" s="150">
        <f>F4*0.2+F4</f>
        <v>0</v>
      </c>
      <c r="I4" s="92"/>
      <c r="J4" s="463"/>
      <c r="K4" s="463"/>
      <c r="L4" s="92"/>
    </row>
    <row r="5" spans="1:12" ht="27.75" customHeight="1" x14ac:dyDescent="0.25">
      <c r="A5" s="144" t="s">
        <v>126</v>
      </c>
      <c r="B5" s="151">
        <v>0</v>
      </c>
      <c r="C5" s="146">
        <f t="shared" ref="C5:C15" si="0">B5*0.2+B5</f>
        <v>0</v>
      </c>
      <c r="D5" s="152">
        <v>0</v>
      </c>
      <c r="E5" s="148">
        <f t="shared" ref="E5:E15" si="1">D5*0.2+D5</f>
        <v>0</v>
      </c>
      <c r="F5" s="153">
        <v>0</v>
      </c>
      <c r="G5" s="150">
        <f>F5*0.2+F5</f>
        <v>0</v>
      </c>
      <c r="I5" s="92"/>
      <c r="J5" s="67"/>
    </row>
    <row r="6" spans="1:12" ht="27.75" customHeight="1" x14ac:dyDescent="0.25">
      <c r="A6" s="144" t="s">
        <v>127</v>
      </c>
      <c r="B6" s="151"/>
      <c r="C6" s="146">
        <f t="shared" si="0"/>
        <v>0</v>
      </c>
      <c r="D6" s="152"/>
      <c r="E6" s="148">
        <f t="shared" si="1"/>
        <v>0</v>
      </c>
      <c r="F6" s="154"/>
      <c r="G6" s="150">
        <f t="shared" ref="G6:G15" si="2">F6*0.2+F6</f>
        <v>0</v>
      </c>
      <c r="I6" s="92"/>
      <c r="J6" s="92"/>
    </row>
    <row r="7" spans="1:12" ht="27.75" customHeight="1" x14ac:dyDescent="0.25">
      <c r="A7" s="144" t="s">
        <v>128</v>
      </c>
      <c r="B7" s="155"/>
      <c r="C7" s="146">
        <f t="shared" si="0"/>
        <v>0</v>
      </c>
      <c r="D7" s="152"/>
      <c r="E7" s="148">
        <f t="shared" si="1"/>
        <v>0</v>
      </c>
      <c r="F7" s="154"/>
      <c r="G7" s="150">
        <f t="shared" si="2"/>
        <v>0</v>
      </c>
      <c r="I7" s="67"/>
      <c r="J7" s="92"/>
    </row>
    <row r="8" spans="1:12" ht="27.75" customHeight="1" x14ac:dyDescent="0.25">
      <c r="A8" s="144" t="s">
        <v>129</v>
      </c>
      <c r="B8" s="155"/>
      <c r="C8" s="146">
        <f t="shared" si="0"/>
        <v>0</v>
      </c>
      <c r="D8" s="152"/>
      <c r="E8" s="148">
        <f t="shared" si="1"/>
        <v>0</v>
      </c>
      <c r="F8" s="154"/>
      <c r="G8" s="150">
        <f t="shared" si="2"/>
        <v>0</v>
      </c>
      <c r="I8" s="87"/>
    </row>
    <row r="9" spans="1:12" ht="27.75" customHeight="1" x14ac:dyDescent="0.25">
      <c r="A9" s="144" t="s">
        <v>130</v>
      </c>
      <c r="B9" s="155"/>
      <c r="C9" s="146">
        <f t="shared" si="0"/>
        <v>0</v>
      </c>
      <c r="D9" s="152"/>
      <c r="E9" s="148">
        <f t="shared" si="1"/>
        <v>0</v>
      </c>
      <c r="F9" s="154"/>
      <c r="G9" s="150">
        <f t="shared" si="2"/>
        <v>0</v>
      </c>
      <c r="I9" s="67"/>
    </row>
    <row r="10" spans="1:12" ht="27.75" customHeight="1" x14ac:dyDescent="0.25">
      <c r="A10" s="144" t="s">
        <v>155</v>
      </c>
      <c r="B10" s="155"/>
      <c r="C10" s="146">
        <f t="shared" si="0"/>
        <v>0</v>
      </c>
      <c r="D10" s="152"/>
      <c r="E10" s="148">
        <f t="shared" si="1"/>
        <v>0</v>
      </c>
      <c r="F10" s="154"/>
      <c r="G10" s="150">
        <f t="shared" si="2"/>
        <v>0</v>
      </c>
    </row>
    <row r="11" spans="1:12" ht="27.75" customHeight="1" x14ac:dyDescent="0.25">
      <c r="A11" s="144" t="s">
        <v>156</v>
      </c>
      <c r="B11" s="155"/>
      <c r="C11" s="146">
        <f t="shared" si="0"/>
        <v>0</v>
      </c>
      <c r="D11" s="152"/>
      <c r="E11" s="148">
        <f t="shared" si="1"/>
        <v>0</v>
      </c>
      <c r="F11" s="154"/>
      <c r="G11" s="150">
        <f t="shared" si="2"/>
        <v>0</v>
      </c>
    </row>
    <row r="12" spans="1:12" ht="27.75" customHeight="1" x14ac:dyDescent="0.25">
      <c r="A12" s="144" t="s">
        <v>157</v>
      </c>
      <c r="B12" s="155"/>
      <c r="C12" s="146">
        <f t="shared" si="0"/>
        <v>0</v>
      </c>
      <c r="D12" s="152"/>
      <c r="E12" s="148">
        <f t="shared" si="1"/>
        <v>0</v>
      </c>
      <c r="F12" s="154"/>
      <c r="G12" s="150">
        <f t="shared" si="2"/>
        <v>0</v>
      </c>
    </row>
    <row r="13" spans="1:12" ht="27.75" customHeight="1" x14ac:dyDescent="0.25">
      <c r="A13" s="144" t="s">
        <v>158</v>
      </c>
      <c r="B13" s="155"/>
      <c r="C13" s="146">
        <f t="shared" si="0"/>
        <v>0</v>
      </c>
      <c r="D13" s="152"/>
      <c r="E13" s="148">
        <f t="shared" si="1"/>
        <v>0</v>
      </c>
      <c r="F13" s="154"/>
      <c r="G13" s="150">
        <f t="shared" si="2"/>
        <v>0</v>
      </c>
    </row>
    <row r="14" spans="1:12" ht="27.75" customHeight="1" x14ac:dyDescent="0.25">
      <c r="A14" s="144" t="s">
        <v>159</v>
      </c>
      <c r="B14" s="155"/>
      <c r="C14" s="146">
        <f t="shared" si="0"/>
        <v>0</v>
      </c>
      <c r="D14" s="152"/>
      <c r="E14" s="148">
        <f t="shared" si="1"/>
        <v>0</v>
      </c>
      <c r="F14" s="154"/>
      <c r="G14" s="150">
        <f t="shared" si="2"/>
        <v>0</v>
      </c>
    </row>
    <row r="15" spans="1:12" ht="27.75" customHeight="1" x14ac:dyDescent="0.25">
      <c r="A15" s="144" t="s">
        <v>160</v>
      </c>
      <c r="B15" s="155"/>
      <c r="C15" s="146">
        <f t="shared" si="0"/>
        <v>0</v>
      </c>
      <c r="D15" s="152"/>
      <c r="E15" s="148">
        <f t="shared" si="1"/>
        <v>0</v>
      </c>
      <c r="F15" s="154"/>
      <c r="G15" s="150">
        <f t="shared" si="2"/>
        <v>0</v>
      </c>
    </row>
    <row r="16" spans="1:12" ht="22.5" customHeight="1" thickBot="1" x14ac:dyDescent="0.3">
      <c r="A16" s="156"/>
      <c r="B16" s="157">
        <f t="shared" ref="B16:G16" si="3">SUM(B4:B15)</f>
        <v>0</v>
      </c>
      <c r="C16" s="158">
        <f t="shared" si="3"/>
        <v>0</v>
      </c>
      <c r="D16" s="159">
        <f t="shared" si="3"/>
        <v>0</v>
      </c>
      <c r="E16" s="160">
        <f t="shared" si="3"/>
        <v>0</v>
      </c>
      <c r="F16" s="161">
        <f t="shared" si="3"/>
        <v>0</v>
      </c>
      <c r="G16" s="160">
        <f t="shared" si="3"/>
        <v>0</v>
      </c>
    </row>
    <row r="17" spans="1:8" ht="19.5" thickBot="1" x14ac:dyDescent="0.35">
      <c r="A17" s="140" t="s">
        <v>274</v>
      </c>
      <c r="B17" s="465">
        <f>C16+E16+G16</f>
        <v>0</v>
      </c>
      <c r="C17" s="466"/>
      <c r="D17" s="466"/>
      <c r="E17" s="466"/>
      <c r="F17" s="466"/>
      <c r="G17" s="467"/>
      <c r="H17" s="141">
        <f>B17*0.2</f>
        <v>0</v>
      </c>
    </row>
    <row r="18" spans="1:8" ht="21.75" thickBot="1" x14ac:dyDescent="0.4">
      <c r="A18" s="470" t="s">
        <v>120</v>
      </c>
      <c r="B18" s="471"/>
      <c r="C18" s="471"/>
      <c r="D18" s="471"/>
      <c r="E18" s="471"/>
      <c r="F18" s="472">
        <f>B17+H17</f>
        <v>0</v>
      </c>
      <c r="G18" s="473"/>
      <c r="H18" s="134"/>
    </row>
  </sheetData>
  <mergeCells count="9">
    <mergeCell ref="J4:K4"/>
    <mergeCell ref="A1:G1"/>
    <mergeCell ref="B17:G17"/>
    <mergeCell ref="A2:A3"/>
    <mergeCell ref="A18:E18"/>
    <mergeCell ref="F18:G18"/>
    <mergeCell ref="B2:C2"/>
    <mergeCell ref="D2:E2"/>
    <mergeCell ref="F2:G2"/>
  </mergeCells>
  <printOptions horizontalCentered="1" verticalCentered="1"/>
  <pageMargins left="0.75" right="0.25" top="0.75" bottom="0.75" header="0.3" footer="0.3"/>
  <pageSetup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5"/>
  </sheetPr>
  <dimension ref="A1:F49"/>
  <sheetViews>
    <sheetView view="pageLayout" topLeftCell="A2" zoomScale="136" zoomScaleNormal="100" zoomScalePageLayoutView="136" workbookViewId="0">
      <selection activeCell="D12" sqref="D12"/>
    </sheetView>
  </sheetViews>
  <sheetFormatPr defaultRowHeight="15" x14ac:dyDescent="0.25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</cols>
  <sheetData>
    <row r="1" spans="1:6" ht="30.75" customHeight="1" x14ac:dyDescent="0.25"/>
    <row r="2" spans="1:6" ht="20.25" customHeight="1" x14ac:dyDescent="0.25">
      <c r="A2" s="63"/>
      <c r="B2" s="83" t="s">
        <v>150</v>
      </c>
      <c r="C2" s="64"/>
      <c r="D2" s="83" t="s">
        <v>151</v>
      </c>
      <c r="E2" s="64"/>
      <c r="F2" s="83" t="s">
        <v>152</v>
      </c>
    </row>
    <row r="3" spans="1:6" ht="15.75" x14ac:dyDescent="0.25">
      <c r="A3" s="84">
        <v>1</v>
      </c>
      <c r="B3" s="60" t="s">
        <v>106</v>
      </c>
      <c r="C3" s="84">
        <v>1</v>
      </c>
      <c r="D3" s="60" t="s">
        <v>57</v>
      </c>
      <c r="E3" s="84">
        <v>1</v>
      </c>
      <c r="F3" s="60" t="s">
        <v>72</v>
      </c>
    </row>
    <row r="4" spans="1:6" ht="15.75" x14ac:dyDescent="0.25">
      <c r="A4" s="85">
        <v>2</v>
      </c>
      <c r="B4" s="61" t="s">
        <v>99</v>
      </c>
      <c r="C4" s="85">
        <v>2</v>
      </c>
      <c r="D4" s="61" t="s">
        <v>65</v>
      </c>
      <c r="E4" s="85">
        <v>2</v>
      </c>
      <c r="F4" s="61" t="s">
        <v>41</v>
      </c>
    </row>
    <row r="5" spans="1:6" ht="15.75" x14ac:dyDescent="0.25">
      <c r="A5" s="85">
        <v>3</v>
      </c>
      <c r="B5" s="61" t="s">
        <v>103</v>
      </c>
      <c r="C5" s="85">
        <v>3</v>
      </c>
      <c r="D5" s="61" t="s">
        <v>46</v>
      </c>
      <c r="E5" s="85">
        <v>3</v>
      </c>
      <c r="F5" s="61" t="s">
        <v>51</v>
      </c>
    </row>
    <row r="6" spans="1:6" ht="15.75" x14ac:dyDescent="0.25">
      <c r="A6" s="85">
        <v>4</v>
      </c>
      <c r="B6" s="61" t="s">
        <v>62</v>
      </c>
      <c r="C6" s="85">
        <v>4</v>
      </c>
      <c r="D6" s="61" t="s">
        <v>64</v>
      </c>
      <c r="E6" s="85">
        <v>4</v>
      </c>
      <c r="F6" s="61" t="s">
        <v>47</v>
      </c>
    </row>
    <row r="7" spans="1:6" ht="15.75" x14ac:dyDescent="0.25">
      <c r="A7" s="85">
        <v>5</v>
      </c>
      <c r="B7" s="61" t="s">
        <v>54</v>
      </c>
      <c r="C7" s="85">
        <v>5</v>
      </c>
      <c r="D7" s="61" t="s">
        <v>48</v>
      </c>
      <c r="E7" s="85">
        <v>5</v>
      </c>
      <c r="F7" s="61" t="s">
        <v>81</v>
      </c>
    </row>
    <row r="8" spans="1:6" ht="15.75" x14ac:dyDescent="0.25">
      <c r="A8" s="85">
        <v>6</v>
      </c>
      <c r="B8" s="61" t="s">
        <v>55</v>
      </c>
      <c r="C8" s="85">
        <v>6</v>
      </c>
      <c r="D8" s="61" t="s">
        <v>88</v>
      </c>
      <c r="E8" s="85">
        <v>6</v>
      </c>
      <c r="F8" s="61" t="s">
        <v>45</v>
      </c>
    </row>
    <row r="9" spans="1:6" ht="15.75" x14ac:dyDescent="0.25">
      <c r="A9" s="85">
        <v>7</v>
      </c>
      <c r="B9" s="61" t="s">
        <v>83</v>
      </c>
      <c r="C9" s="85">
        <v>7</v>
      </c>
      <c r="D9" s="61" t="s">
        <v>53</v>
      </c>
      <c r="E9" s="85">
        <v>7</v>
      </c>
      <c r="F9" s="61" t="s">
        <v>110</v>
      </c>
    </row>
    <row r="10" spans="1:6" ht="15.75" x14ac:dyDescent="0.25">
      <c r="A10" s="85">
        <v>8</v>
      </c>
      <c r="B10" s="61" t="s">
        <v>90</v>
      </c>
      <c r="C10" s="85">
        <v>8</v>
      </c>
      <c r="D10" s="61" t="s">
        <v>112</v>
      </c>
      <c r="E10" s="85">
        <v>8</v>
      </c>
      <c r="F10" s="61" t="s">
        <v>105</v>
      </c>
    </row>
    <row r="11" spans="1:6" ht="15.75" x14ac:dyDescent="0.25">
      <c r="A11" s="85">
        <v>9</v>
      </c>
      <c r="B11" s="61" t="s">
        <v>86</v>
      </c>
      <c r="C11" s="85">
        <v>9</v>
      </c>
      <c r="D11" s="61" t="s">
        <v>61</v>
      </c>
      <c r="E11" s="85">
        <v>9</v>
      </c>
      <c r="F11" s="61" t="s">
        <v>101</v>
      </c>
    </row>
    <row r="12" spans="1:6" ht="15.75" x14ac:dyDescent="0.25">
      <c r="A12" s="85">
        <v>10</v>
      </c>
      <c r="B12" s="61" t="s">
        <v>80</v>
      </c>
      <c r="C12" s="85">
        <v>10</v>
      </c>
      <c r="D12" s="61" t="s">
        <v>67</v>
      </c>
      <c r="E12" s="85">
        <v>10</v>
      </c>
      <c r="F12" s="61" t="s">
        <v>93</v>
      </c>
    </row>
    <row r="13" spans="1:6" ht="15.75" x14ac:dyDescent="0.25">
      <c r="A13" s="85">
        <v>11</v>
      </c>
      <c r="B13" s="61" t="s">
        <v>92</v>
      </c>
      <c r="C13" s="85">
        <v>11</v>
      </c>
      <c r="D13" s="61" t="s">
        <v>73</v>
      </c>
      <c r="E13" s="85">
        <v>11</v>
      </c>
      <c r="F13" s="61" t="s">
        <v>94</v>
      </c>
    </row>
    <row r="14" spans="1:6" ht="15.75" x14ac:dyDescent="0.25">
      <c r="A14" s="85">
        <v>12</v>
      </c>
      <c r="B14" s="61" t="s">
        <v>104</v>
      </c>
      <c r="C14" s="85">
        <v>12</v>
      </c>
      <c r="D14" s="61" t="s">
        <v>60</v>
      </c>
      <c r="E14" s="85">
        <v>12</v>
      </c>
      <c r="F14" s="61" t="s">
        <v>96</v>
      </c>
    </row>
    <row r="15" spans="1:6" ht="15.75" x14ac:dyDescent="0.25">
      <c r="A15" s="85">
        <v>13</v>
      </c>
      <c r="B15" s="61" t="s">
        <v>74</v>
      </c>
      <c r="C15" s="85">
        <v>13</v>
      </c>
      <c r="D15" s="61" t="s">
        <v>56</v>
      </c>
      <c r="E15" s="85">
        <v>13</v>
      </c>
      <c r="F15" s="61" t="s">
        <v>97</v>
      </c>
    </row>
    <row r="16" spans="1:6" ht="15.75" x14ac:dyDescent="0.25">
      <c r="A16" s="85">
        <v>14</v>
      </c>
      <c r="B16" s="61" t="s">
        <v>70</v>
      </c>
      <c r="C16" s="85">
        <v>14</v>
      </c>
      <c r="D16" s="61" t="s">
        <v>66</v>
      </c>
      <c r="E16" s="85">
        <v>14</v>
      </c>
      <c r="F16" s="61" t="s">
        <v>58</v>
      </c>
    </row>
    <row r="17" spans="1:6" ht="15.75" x14ac:dyDescent="0.25">
      <c r="A17" s="85">
        <v>15</v>
      </c>
      <c r="B17" s="61" t="s">
        <v>63</v>
      </c>
      <c r="C17" s="85"/>
      <c r="D17" s="61"/>
      <c r="E17" s="85">
        <v>15</v>
      </c>
      <c r="F17" s="61" t="s">
        <v>107</v>
      </c>
    </row>
    <row r="18" spans="1:6" ht="15.75" x14ac:dyDescent="0.25">
      <c r="A18" s="85"/>
      <c r="B18" s="61"/>
      <c r="C18" s="85"/>
      <c r="D18" s="61"/>
      <c r="E18" s="85">
        <v>16</v>
      </c>
      <c r="F18" s="61" t="s">
        <v>82</v>
      </c>
    </row>
    <row r="19" spans="1:6" ht="15.75" x14ac:dyDescent="0.25">
      <c r="A19" s="85"/>
      <c r="B19" s="61"/>
      <c r="C19" s="85"/>
      <c r="D19" s="61"/>
      <c r="E19" s="85">
        <v>17</v>
      </c>
      <c r="F19" s="61" t="s">
        <v>100</v>
      </c>
    </row>
    <row r="20" spans="1:6" ht="15.75" x14ac:dyDescent="0.25">
      <c r="A20" s="85"/>
      <c r="B20" s="61"/>
      <c r="C20" s="85"/>
      <c r="D20" s="61"/>
      <c r="E20" s="85">
        <v>18</v>
      </c>
      <c r="F20" s="61" t="s">
        <v>69</v>
      </c>
    </row>
    <row r="21" spans="1:6" ht="15.75" x14ac:dyDescent="0.25">
      <c r="A21" s="86"/>
      <c r="B21" s="62"/>
      <c r="C21" s="86"/>
      <c r="D21" s="62"/>
      <c r="E21" s="86">
        <v>19</v>
      </c>
      <c r="F21" s="62" t="s">
        <v>75</v>
      </c>
    </row>
    <row r="34" spans="1:2" ht="18.75" x14ac:dyDescent="0.25">
      <c r="A34" s="63"/>
      <c r="B34" s="83" t="s">
        <v>150</v>
      </c>
    </row>
    <row r="35" spans="1:2" ht="15.75" x14ac:dyDescent="0.25">
      <c r="A35" s="84">
        <v>1</v>
      </c>
      <c r="B35" s="60" t="s">
        <v>106</v>
      </c>
    </row>
    <row r="36" spans="1:2" ht="15.75" x14ac:dyDescent="0.25">
      <c r="A36" s="85">
        <v>2</v>
      </c>
      <c r="B36" s="61" t="s">
        <v>99</v>
      </c>
    </row>
    <row r="37" spans="1:2" ht="15.75" x14ac:dyDescent="0.25">
      <c r="A37" s="85">
        <v>3</v>
      </c>
      <c r="B37" s="61" t="s">
        <v>103</v>
      </c>
    </row>
    <row r="38" spans="1:2" ht="15.75" x14ac:dyDescent="0.25">
      <c r="A38" s="85">
        <v>4</v>
      </c>
      <c r="B38" s="61" t="s">
        <v>62</v>
      </c>
    </row>
    <row r="39" spans="1:2" ht="15.75" x14ac:dyDescent="0.25">
      <c r="A39" s="85">
        <v>5</v>
      </c>
      <c r="B39" s="61" t="s">
        <v>54</v>
      </c>
    </row>
    <row r="40" spans="1:2" ht="15.75" x14ac:dyDescent="0.25">
      <c r="A40" s="85">
        <v>6</v>
      </c>
      <c r="B40" s="61" t="s">
        <v>55</v>
      </c>
    </row>
    <row r="41" spans="1:2" ht="15.75" x14ac:dyDescent="0.25">
      <c r="A41" s="85">
        <v>7</v>
      </c>
      <c r="B41" s="61" t="s">
        <v>83</v>
      </c>
    </row>
    <row r="42" spans="1:2" ht="15.75" x14ac:dyDescent="0.25">
      <c r="A42" s="85">
        <v>8</v>
      </c>
      <c r="B42" s="61" t="s">
        <v>90</v>
      </c>
    </row>
    <row r="43" spans="1:2" ht="15.75" x14ac:dyDescent="0.25">
      <c r="A43" s="85">
        <v>9</v>
      </c>
      <c r="B43" s="61" t="s">
        <v>86</v>
      </c>
    </row>
    <row r="44" spans="1:2" ht="15.75" x14ac:dyDescent="0.25">
      <c r="A44" s="85">
        <v>10</v>
      </c>
      <c r="B44" s="61" t="s">
        <v>80</v>
      </c>
    </row>
    <row r="45" spans="1:2" ht="15.75" x14ac:dyDescent="0.25">
      <c r="A45" s="85">
        <v>11</v>
      </c>
      <c r="B45" s="61" t="s">
        <v>92</v>
      </c>
    </row>
    <row r="46" spans="1:2" ht="15.75" x14ac:dyDescent="0.25">
      <c r="A46" s="85">
        <v>12</v>
      </c>
      <c r="B46" s="61" t="s">
        <v>104</v>
      </c>
    </row>
    <row r="47" spans="1:2" ht="15.75" x14ac:dyDescent="0.25">
      <c r="A47" s="85">
        <v>13</v>
      </c>
      <c r="B47" s="61" t="s">
        <v>74</v>
      </c>
    </row>
    <row r="48" spans="1:2" ht="15.75" x14ac:dyDescent="0.25">
      <c r="A48" s="85">
        <v>14</v>
      </c>
      <c r="B48" s="61" t="s">
        <v>70</v>
      </c>
    </row>
    <row r="49" spans="1:2" ht="15.75" x14ac:dyDescent="0.25">
      <c r="A49" s="85">
        <v>15</v>
      </c>
      <c r="B49" s="61" t="s">
        <v>63</v>
      </c>
    </row>
  </sheetData>
  <sortState xmlns:xlrd2="http://schemas.microsoft.com/office/spreadsheetml/2017/richdata2" ref="A2:F21">
    <sortCondition ref="F3"/>
  </sortState>
  <printOptions horizontalCentered="1"/>
  <pageMargins left="0.7" right="0.7" top="0.75" bottom="0.75" header="0.3" footer="0.3"/>
  <pageSetup orientation="landscape" r:id="rId1"/>
  <headerFooter>
    <oddHeader>&amp;C
&amp;"-,Bold"&amp;14PROVINCE OF BOHOL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23</vt:i4>
      </vt:variant>
    </vt:vector>
  </HeadingPairs>
  <TitlesOfParts>
    <vt:vector size="48" baseType="lpstr">
      <vt:lpstr>SUMMARY</vt:lpstr>
      <vt:lpstr>PRODUCTION SUMMARY 2019-APR (2</vt:lpstr>
      <vt:lpstr>December 2022 (Group)</vt:lpstr>
      <vt:lpstr>December 2022</vt:lpstr>
      <vt:lpstr>November 2022 </vt:lpstr>
      <vt:lpstr>October 2022</vt:lpstr>
      <vt:lpstr>September 2022 (Group)</vt:lpstr>
      <vt:lpstr>September 2022</vt:lpstr>
      <vt:lpstr>August 2022 (Group) </vt:lpstr>
      <vt:lpstr>July 2022</vt:lpstr>
      <vt:lpstr>June 2022</vt:lpstr>
      <vt:lpstr>June 2022 (Group)</vt:lpstr>
      <vt:lpstr>May 2022</vt:lpstr>
      <vt:lpstr>May 2022 (Group)</vt:lpstr>
      <vt:lpstr>PRODUCTION SUMMARY 2019-APR25</vt:lpstr>
      <vt:lpstr>April 2022 </vt:lpstr>
      <vt:lpstr>April (Group) </vt:lpstr>
      <vt:lpstr>March 2022</vt:lpstr>
      <vt:lpstr>March (Group) </vt:lpstr>
      <vt:lpstr>February 2022</vt:lpstr>
      <vt:lpstr>February (Group)</vt:lpstr>
      <vt:lpstr>January 2022</vt:lpstr>
      <vt:lpstr>January (Group)</vt:lpstr>
      <vt:lpstr>Region 7 Tilapia Production</vt:lpstr>
      <vt:lpstr>Province of Bohol</vt:lpstr>
      <vt:lpstr>'April (Group) '!Print_Area</vt:lpstr>
      <vt:lpstr>'April 2022 '!Print_Area</vt:lpstr>
      <vt:lpstr>'August 2022 (Group) '!Print_Area</vt:lpstr>
      <vt:lpstr>'December 2022'!Print_Area</vt:lpstr>
      <vt:lpstr>'December 2022 (Group)'!Print_Area</vt:lpstr>
      <vt:lpstr>'February (Group)'!Print_Area</vt:lpstr>
      <vt:lpstr>'February 2022'!Print_Area</vt:lpstr>
      <vt:lpstr>'January (Group)'!Print_Area</vt:lpstr>
      <vt:lpstr>'January 2022'!Print_Area</vt:lpstr>
      <vt:lpstr>'July 2022'!Print_Area</vt:lpstr>
      <vt:lpstr>'June 2022'!Print_Area</vt:lpstr>
      <vt:lpstr>'June 2022 (Group)'!Print_Area</vt:lpstr>
      <vt:lpstr>'March (Group) '!Print_Area</vt:lpstr>
      <vt:lpstr>'March 2022'!Print_Area</vt:lpstr>
      <vt:lpstr>'May 2022'!Print_Area</vt:lpstr>
      <vt:lpstr>'May 2022 (Group)'!Print_Area</vt:lpstr>
      <vt:lpstr>'November 2022 '!Print_Area</vt:lpstr>
      <vt:lpstr>'October 2022'!Print_Area</vt:lpstr>
      <vt:lpstr>'PRODUCTION SUMMARY 2019-APR (2'!Print_Area</vt:lpstr>
      <vt:lpstr>'PRODUCTION SUMMARY 2019-APR25'!Print_Area</vt:lpstr>
      <vt:lpstr>'September 2022'!Print_Area</vt:lpstr>
      <vt:lpstr>'September 2022 (Group)'!Print_Area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2026-04-12T05:57:24Z</dcterms:modified>
</cp:coreProperties>
</file>